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"/>
    </mc:Choice>
  </mc:AlternateContent>
  <xr:revisionPtr revIDLastSave="0" documentId="13_ncr:1_{42482799-050B-4C87-879D-9C5374BFAC42}" xr6:coauthVersionLast="47" xr6:coauthVersionMax="47" xr10:uidLastSave="{00000000-0000-0000-0000-000000000000}"/>
  <bookViews>
    <workbookView xWindow="12" yWindow="12" windowWidth="23016" windowHeight="12216" tabRatio="853" xr2:uid="{00000000-000D-0000-FFFF-FFFF00000000}"/>
  </bookViews>
  <sheets>
    <sheet name="Dashboard" sheetId="16" r:id="rId1"/>
    <sheet name="Prognos April" sheetId="18" r:id="rId2"/>
    <sheet name="Enheterna AO VGR" sheetId="7" r:id="rId3"/>
    <sheet name="Frölunda Torg" sheetId="4" r:id="rId4"/>
    <sheet name="Grimmered" sheetId="2" r:id="rId5"/>
    <sheet name="Majorna" sheetId="3" r:id="rId6"/>
    <sheet name="Pedagogen Park" sheetId="1" r:id="rId7"/>
    <sheet name="Åby" sheetId="5" r:id="rId8"/>
    <sheet name="Olskroken" sheetId="6" r:id="rId9"/>
    <sheet name="Avenyn" sheetId="8" r:id="rId10"/>
    <sheet name="Karlastaden" sheetId="9" r:id="rId11"/>
    <sheet name="Tanum och Fjällbacka" sheetId="10" r:id="rId12"/>
    <sheet name="Brålanda-Torpa" sheetId="11" r:id="rId13"/>
    <sheet name="Noltrop" sheetId="12" r:id="rId14"/>
    <sheet name="Lilla Edet" sheetId="13" r:id="rId15"/>
    <sheet name="Stavre" sheetId="14" r:id="rId16"/>
    <sheet name="Åmål" sheetId="15" r:id="rId17"/>
    <sheet name="_ChartData" sheetId="17" state="hidden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7" l="1" a="1"/>
  <c r="T2" i="17" s="1"/>
  <c r="S2" i="17" a="1"/>
  <c r="S2" i="17" s="1"/>
  <c r="Q2" i="17" a="1"/>
  <c r="Q2" i="17" s="1"/>
  <c r="P2" i="17" a="1"/>
  <c r="P2" i="17" s="1"/>
  <c r="O2" i="17" a="1"/>
  <c r="O2" i="17" s="1"/>
  <c r="M2" i="17" a="1"/>
  <c r="M2" i="17" s="1"/>
  <c r="L2" i="17" a="1"/>
  <c r="L2" i="17" s="1"/>
  <c r="J2" i="17" a="1"/>
  <c r="J2" i="17" s="1"/>
  <c r="I2" i="17" a="1"/>
  <c r="I2" i="17" s="1"/>
  <c r="H2" i="17" a="1"/>
  <c r="H2" i="17" s="1"/>
  <c r="Q226" i="16"/>
  <c r="Q227" i="16"/>
  <c r="Q228" i="16"/>
  <c r="Q239" i="16"/>
  <c r="Q240" i="16"/>
  <c r="Q241" i="16"/>
  <c r="Q242" i="16"/>
  <c r="Q243" i="16"/>
  <c r="Q244" i="16"/>
  <c r="Q250" i="16"/>
  <c r="Q254" i="16"/>
  <c r="Q262" i="16"/>
  <c r="Q263" i="16"/>
  <c r="Q264" i="16"/>
  <c r="Q265" i="16"/>
  <c r="Q267" i="16"/>
  <c r="Q276" i="16"/>
  <c r="Q278" i="16"/>
  <c r="Q280" i="16"/>
  <c r="Q286" i="16"/>
  <c r="Q287" i="16"/>
  <c r="Q288" i="16"/>
  <c r="Q289" i="16"/>
  <c r="Q298" i="16"/>
  <c r="Q300" i="16"/>
  <c r="Q301" i="16"/>
  <c r="P221" i="16"/>
  <c r="Q221" i="16" s="1"/>
  <c r="P222" i="16"/>
  <c r="Q222" i="16" s="1"/>
  <c r="P223" i="16"/>
  <c r="Q223" i="16" s="1"/>
  <c r="P224" i="16"/>
  <c r="Q224" i="16" s="1"/>
  <c r="P225" i="16"/>
  <c r="Q225" i="16" s="1"/>
  <c r="P226" i="16"/>
  <c r="P227" i="16"/>
  <c r="P228" i="16"/>
  <c r="P229" i="16"/>
  <c r="Q229" i="16" s="1"/>
  <c r="P230" i="16"/>
  <c r="Q230" i="16" s="1"/>
  <c r="P231" i="16"/>
  <c r="Q231" i="16" s="1"/>
  <c r="P232" i="16"/>
  <c r="Q232" i="16" s="1"/>
  <c r="P233" i="16"/>
  <c r="Q233" i="16" s="1"/>
  <c r="P234" i="16"/>
  <c r="Q234" i="16" s="1"/>
  <c r="P235" i="16"/>
  <c r="Q235" i="16" s="1"/>
  <c r="P236" i="16"/>
  <c r="Q236" i="16" s="1"/>
  <c r="P237" i="16"/>
  <c r="Q237" i="16" s="1"/>
  <c r="P238" i="16"/>
  <c r="Q238" i="16" s="1"/>
  <c r="P239" i="16"/>
  <c r="P240" i="16"/>
  <c r="P241" i="16"/>
  <c r="P242" i="16"/>
  <c r="P243" i="16"/>
  <c r="P244" i="16"/>
  <c r="P245" i="16"/>
  <c r="Q245" i="16" s="1"/>
  <c r="P246" i="16"/>
  <c r="Q246" i="16" s="1"/>
  <c r="P247" i="16"/>
  <c r="Q247" i="16" s="1"/>
  <c r="P248" i="16"/>
  <c r="Q248" i="16" s="1"/>
  <c r="P249" i="16"/>
  <c r="Q249" i="16" s="1"/>
  <c r="P250" i="16"/>
  <c r="P251" i="16"/>
  <c r="Q251" i="16" s="1"/>
  <c r="P252" i="16"/>
  <c r="Q252" i="16" s="1"/>
  <c r="P253" i="16"/>
  <c r="Q253" i="16" s="1"/>
  <c r="P254" i="16"/>
  <c r="P255" i="16"/>
  <c r="Q255" i="16" s="1"/>
  <c r="P256" i="16"/>
  <c r="Q256" i="16" s="1"/>
  <c r="P257" i="16"/>
  <c r="Q257" i="16" s="1"/>
  <c r="P258" i="16"/>
  <c r="Q258" i="16" s="1"/>
  <c r="P259" i="16"/>
  <c r="Q259" i="16" s="1"/>
  <c r="P260" i="16"/>
  <c r="Q260" i="16" s="1"/>
  <c r="P261" i="16"/>
  <c r="Q261" i="16" s="1"/>
  <c r="P262" i="16"/>
  <c r="P263" i="16"/>
  <c r="P264" i="16"/>
  <c r="P265" i="16"/>
  <c r="P266" i="16"/>
  <c r="Q266" i="16" s="1"/>
  <c r="P267" i="16"/>
  <c r="P268" i="16"/>
  <c r="Q268" i="16" s="1"/>
  <c r="P269" i="16"/>
  <c r="Q269" i="16" s="1"/>
  <c r="P270" i="16"/>
  <c r="Q270" i="16" s="1"/>
  <c r="P271" i="16"/>
  <c r="Q271" i="16" s="1"/>
  <c r="P272" i="16"/>
  <c r="Q272" i="16" s="1"/>
  <c r="P273" i="16"/>
  <c r="Q273" i="16" s="1"/>
  <c r="P274" i="16"/>
  <c r="Q274" i="16" s="1"/>
  <c r="P275" i="16"/>
  <c r="Q275" i="16" s="1"/>
  <c r="P276" i="16"/>
  <c r="P277" i="16"/>
  <c r="Q277" i="16" s="1"/>
  <c r="P278" i="16"/>
  <c r="P279" i="16"/>
  <c r="Q279" i="16" s="1"/>
  <c r="P280" i="16"/>
  <c r="P281" i="16"/>
  <c r="Q281" i="16" s="1"/>
  <c r="P282" i="16"/>
  <c r="Q282" i="16" s="1"/>
  <c r="P283" i="16"/>
  <c r="Q283" i="16" s="1"/>
  <c r="P284" i="16"/>
  <c r="Q284" i="16" s="1"/>
  <c r="P285" i="16"/>
  <c r="Q285" i="16" s="1"/>
  <c r="P286" i="16"/>
  <c r="P287" i="16"/>
  <c r="P288" i="16"/>
  <c r="P289" i="16"/>
  <c r="P290" i="16"/>
  <c r="Q290" i="16" s="1"/>
  <c r="P291" i="16"/>
  <c r="Q291" i="16" s="1"/>
  <c r="P292" i="16"/>
  <c r="Q292" i="16" s="1"/>
  <c r="P293" i="16"/>
  <c r="Q293" i="16" s="1"/>
  <c r="P294" i="16"/>
  <c r="Q294" i="16" s="1"/>
  <c r="P295" i="16"/>
  <c r="Q295" i="16" s="1"/>
  <c r="P296" i="16"/>
  <c r="Q296" i="16" s="1"/>
  <c r="P297" i="16"/>
  <c r="Q297" i="16" s="1"/>
  <c r="P298" i="16"/>
  <c r="P299" i="16"/>
  <c r="Q299" i="16" s="1"/>
  <c r="P300" i="16"/>
  <c r="P301" i="16"/>
  <c r="A193" i="16"/>
  <c r="A192" i="16"/>
  <c r="A191" i="16"/>
  <c r="A190" i="16"/>
  <c r="A188" i="16"/>
  <c r="D125" i="16"/>
  <c r="D101" i="16"/>
  <c r="A124" i="16"/>
  <c r="A99" i="16"/>
  <c r="B189" i="16"/>
  <c r="P220" i="16"/>
  <c r="C220" i="16"/>
  <c r="D220" i="16"/>
  <c r="E220" i="16"/>
  <c r="F220" i="16"/>
  <c r="G220" i="16"/>
  <c r="H220" i="16"/>
  <c r="I220" i="16"/>
  <c r="J220" i="16"/>
  <c r="K220" i="16"/>
  <c r="L220" i="16"/>
  <c r="M220" i="16"/>
  <c r="N220" i="16"/>
  <c r="C221" i="16"/>
  <c r="D221" i="16"/>
  <c r="E221" i="16"/>
  <c r="F221" i="16"/>
  <c r="G221" i="16"/>
  <c r="H221" i="16"/>
  <c r="I221" i="16"/>
  <c r="J221" i="16"/>
  <c r="K221" i="16"/>
  <c r="L221" i="16"/>
  <c r="M221" i="16"/>
  <c r="N221" i="16"/>
  <c r="C222" i="16"/>
  <c r="D222" i="16"/>
  <c r="E222" i="16"/>
  <c r="F222" i="16"/>
  <c r="G222" i="16"/>
  <c r="H222" i="16"/>
  <c r="I222" i="16"/>
  <c r="J222" i="16"/>
  <c r="K222" i="16"/>
  <c r="L222" i="16"/>
  <c r="M222" i="16"/>
  <c r="N222" i="16"/>
  <c r="C223" i="16"/>
  <c r="D223" i="16"/>
  <c r="E223" i="16"/>
  <c r="F223" i="16"/>
  <c r="G223" i="16"/>
  <c r="H223" i="16"/>
  <c r="I223" i="16"/>
  <c r="J223" i="16"/>
  <c r="K223" i="16"/>
  <c r="L223" i="16"/>
  <c r="M223" i="16"/>
  <c r="N223" i="16"/>
  <c r="C224" i="16"/>
  <c r="D224" i="16"/>
  <c r="E224" i="16"/>
  <c r="F224" i="16"/>
  <c r="G224" i="16"/>
  <c r="H224" i="16"/>
  <c r="I224" i="16"/>
  <c r="J224" i="16"/>
  <c r="K224" i="16"/>
  <c r="L224" i="16"/>
  <c r="M224" i="16"/>
  <c r="N224" i="16"/>
  <c r="C225" i="16"/>
  <c r="D225" i="16"/>
  <c r="E225" i="16"/>
  <c r="F225" i="16"/>
  <c r="G225" i="16"/>
  <c r="H225" i="16"/>
  <c r="I225" i="16"/>
  <c r="J225" i="16"/>
  <c r="K225" i="16"/>
  <c r="L225" i="16"/>
  <c r="M225" i="16"/>
  <c r="N225" i="16"/>
  <c r="C226" i="16"/>
  <c r="D226" i="16"/>
  <c r="E226" i="16"/>
  <c r="F226" i="16"/>
  <c r="G226" i="16"/>
  <c r="H226" i="16"/>
  <c r="I226" i="16"/>
  <c r="J226" i="16"/>
  <c r="K226" i="16"/>
  <c r="L226" i="16"/>
  <c r="M226" i="16"/>
  <c r="N226" i="16"/>
  <c r="C227" i="16"/>
  <c r="D227" i="16"/>
  <c r="E227" i="16"/>
  <c r="F227" i="16"/>
  <c r="G227" i="16"/>
  <c r="H227" i="16"/>
  <c r="I227" i="16"/>
  <c r="J227" i="16"/>
  <c r="K227" i="16"/>
  <c r="L227" i="16"/>
  <c r="M227" i="16"/>
  <c r="N227" i="16"/>
  <c r="C228" i="16"/>
  <c r="D228" i="16"/>
  <c r="E228" i="16"/>
  <c r="F228" i="16"/>
  <c r="G228" i="16"/>
  <c r="H228" i="16"/>
  <c r="I228" i="16"/>
  <c r="J228" i="16"/>
  <c r="K228" i="16"/>
  <c r="L228" i="16"/>
  <c r="M228" i="16"/>
  <c r="N228" i="16"/>
  <c r="C229" i="16"/>
  <c r="D229" i="16"/>
  <c r="E229" i="16"/>
  <c r="F229" i="16"/>
  <c r="G229" i="16"/>
  <c r="H229" i="16"/>
  <c r="I229" i="16"/>
  <c r="J229" i="16"/>
  <c r="K229" i="16"/>
  <c r="L229" i="16"/>
  <c r="M229" i="16"/>
  <c r="N229" i="16"/>
  <c r="C230" i="16"/>
  <c r="D230" i="16"/>
  <c r="E230" i="16"/>
  <c r="F230" i="16"/>
  <c r="G230" i="16"/>
  <c r="H230" i="16"/>
  <c r="I230" i="16"/>
  <c r="J230" i="16"/>
  <c r="K230" i="16"/>
  <c r="L230" i="16"/>
  <c r="M230" i="16"/>
  <c r="N230" i="16"/>
  <c r="C231" i="16"/>
  <c r="D231" i="16"/>
  <c r="E231" i="16"/>
  <c r="F231" i="16"/>
  <c r="G231" i="16"/>
  <c r="H231" i="16"/>
  <c r="I231" i="16"/>
  <c r="J231" i="16"/>
  <c r="K231" i="16"/>
  <c r="L231" i="16"/>
  <c r="M231" i="16"/>
  <c r="N231" i="16"/>
  <c r="C232" i="16"/>
  <c r="D232" i="16"/>
  <c r="E232" i="16"/>
  <c r="F232" i="16"/>
  <c r="G232" i="16"/>
  <c r="H232" i="16"/>
  <c r="I232" i="16"/>
  <c r="J232" i="16"/>
  <c r="K232" i="16"/>
  <c r="L232" i="16"/>
  <c r="M232" i="16"/>
  <c r="N232" i="16"/>
  <c r="C233" i="16"/>
  <c r="D233" i="16"/>
  <c r="E233" i="16"/>
  <c r="F233" i="16"/>
  <c r="G233" i="16"/>
  <c r="H233" i="16"/>
  <c r="I233" i="16"/>
  <c r="J233" i="16"/>
  <c r="K233" i="16"/>
  <c r="L233" i="16"/>
  <c r="M233" i="16"/>
  <c r="N233" i="16"/>
  <c r="C234" i="16"/>
  <c r="D234" i="16"/>
  <c r="E234" i="16"/>
  <c r="F234" i="16"/>
  <c r="G234" i="16"/>
  <c r="H234" i="16"/>
  <c r="I234" i="16"/>
  <c r="J234" i="16"/>
  <c r="K234" i="16"/>
  <c r="L234" i="16"/>
  <c r="M234" i="16"/>
  <c r="N234" i="16"/>
  <c r="C235" i="16"/>
  <c r="D235" i="16"/>
  <c r="E235" i="16"/>
  <c r="F235" i="16"/>
  <c r="G235" i="16"/>
  <c r="H235" i="16"/>
  <c r="I235" i="16"/>
  <c r="J235" i="16"/>
  <c r="K235" i="16"/>
  <c r="L235" i="16"/>
  <c r="M235" i="16"/>
  <c r="N235" i="16"/>
  <c r="C236" i="16"/>
  <c r="D236" i="16"/>
  <c r="E236" i="16"/>
  <c r="F236" i="16"/>
  <c r="G236" i="16"/>
  <c r="H236" i="16"/>
  <c r="I236" i="16"/>
  <c r="J236" i="16"/>
  <c r="K236" i="16"/>
  <c r="L236" i="16"/>
  <c r="M236" i="16"/>
  <c r="N236" i="16"/>
  <c r="C237" i="16"/>
  <c r="D237" i="16"/>
  <c r="E237" i="16"/>
  <c r="F237" i="16"/>
  <c r="G237" i="16"/>
  <c r="H237" i="16"/>
  <c r="I237" i="16"/>
  <c r="J237" i="16"/>
  <c r="K237" i="16"/>
  <c r="L237" i="16"/>
  <c r="M237" i="16"/>
  <c r="N237" i="16"/>
  <c r="C238" i="16"/>
  <c r="D238" i="16"/>
  <c r="E238" i="16"/>
  <c r="F238" i="16"/>
  <c r="G238" i="16"/>
  <c r="H238" i="16"/>
  <c r="I238" i="16"/>
  <c r="J238" i="16"/>
  <c r="K238" i="16"/>
  <c r="L238" i="16"/>
  <c r="M238" i="16"/>
  <c r="N238" i="16"/>
  <c r="C239" i="16"/>
  <c r="D239" i="16"/>
  <c r="E239" i="16"/>
  <c r="F239" i="16"/>
  <c r="G239" i="16"/>
  <c r="H239" i="16"/>
  <c r="I239" i="16"/>
  <c r="J239" i="16"/>
  <c r="K239" i="16"/>
  <c r="L239" i="16"/>
  <c r="M239" i="16"/>
  <c r="N239" i="16"/>
  <c r="C240" i="16"/>
  <c r="D240" i="16"/>
  <c r="E240" i="16"/>
  <c r="F240" i="16"/>
  <c r="G240" i="16"/>
  <c r="H240" i="16"/>
  <c r="I240" i="16"/>
  <c r="J240" i="16"/>
  <c r="K240" i="16"/>
  <c r="L240" i="16"/>
  <c r="M240" i="16"/>
  <c r="N240" i="16"/>
  <c r="C241" i="16"/>
  <c r="D241" i="16"/>
  <c r="E241" i="16"/>
  <c r="F241" i="16"/>
  <c r="G241" i="16"/>
  <c r="H241" i="16"/>
  <c r="I241" i="16"/>
  <c r="J241" i="16"/>
  <c r="K241" i="16"/>
  <c r="L241" i="16"/>
  <c r="M241" i="16"/>
  <c r="N241" i="16"/>
  <c r="C242" i="16"/>
  <c r="D242" i="16"/>
  <c r="E242" i="16"/>
  <c r="F242" i="16"/>
  <c r="G242" i="16"/>
  <c r="H242" i="16"/>
  <c r="I242" i="16"/>
  <c r="J242" i="16"/>
  <c r="K242" i="16"/>
  <c r="L242" i="16"/>
  <c r="M242" i="16"/>
  <c r="N242" i="16"/>
  <c r="C243" i="16"/>
  <c r="D243" i="16"/>
  <c r="E243" i="16"/>
  <c r="F243" i="16"/>
  <c r="G243" i="16"/>
  <c r="H243" i="16"/>
  <c r="I243" i="16"/>
  <c r="J243" i="16"/>
  <c r="K243" i="16"/>
  <c r="L243" i="16"/>
  <c r="M243" i="16"/>
  <c r="N243" i="16"/>
  <c r="C244" i="16"/>
  <c r="D244" i="16"/>
  <c r="E244" i="16"/>
  <c r="F244" i="16"/>
  <c r="G244" i="16"/>
  <c r="H244" i="16"/>
  <c r="I244" i="16"/>
  <c r="J244" i="16"/>
  <c r="K244" i="16"/>
  <c r="L244" i="16"/>
  <c r="M244" i="16"/>
  <c r="N244" i="16"/>
  <c r="C245" i="16"/>
  <c r="D245" i="16"/>
  <c r="E245" i="16"/>
  <c r="F245" i="16"/>
  <c r="G245" i="16"/>
  <c r="H245" i="16"/>
  <c r="I245" i="16"/>
  <c r="J245" i="16"/>
  <c r="K245" i="16"/>
  <c r="L245" i="16"/>
  <c r="M245" i="16"/>
  <c r="N245" i="16"/>
  <c r="C246" i="16"/>
  <c r="D246" i="16"/>
  <c r="E246" i="16"/>
  <c r="F246" i="16"/>
  <c r="G246" i="16"/>
  <c r="H246" i="16"/>
  <c r="I246" i="16"/>
  <c r="J246" i="16"/>
  <c r="K246" i="16"/>
  <c r="L246" i="16"/>
  <c r="M246" i="16"/>
  <c r="N246" i="16"/>
  <c r="C247" i="16"/>
  <c r="D247" i="16"/>
  <c r="E247" i="16"/>
  <c r="F247" i="16"/>
  <c r="G247" i="16"/>
  <c r="H247" i="16"/>
  <c r="I247" i="16"/>
  <c r="J247" i="16"/>
  <c r="K247" i="16"/>
  <c r="L247" i="16"/>
  <c r="M247" i="16"/>
  <c r="N247" i="16"/>
  <c r="C248" i="16"/>
  <c r="D248" i="16"/>
  <c r="E248" i="16"/>
  <c r="F248" i="16"/>
  <c r="G248" i="16"/>
  <c r="H248" i="16"/>
  <c r="I248" i="16"/>
  <c r="J248" i="16"/>
  <c r="K248" i="16"/>
  <c r="L248" i="16"/>
  <c r="M248" i="16"/>
  <c r="N248" i="16"/>
  <c r="C249" i="16"/>
  <c r="D249" i="16"/>
  <c r="E249" i="16"/>
  <c r="F249" i="16"/>
  <c r="G249" i="16"/>
  <c r="H249" i="16"/>
  <c r="I249" i="16"/>
  <c r="J249" i="16"/>
  <c r="K249" i="16"/>
  <c r="L249" i="16"/>
  <c r="M249" i="16"/>
  <c r="N249" i="16"/>
  <c r="C250" i="16"/>
  <c r="D250" i="16"/>
  <c r="E250" i="16"/>
  <c r="F250" i="16"/>
  <c r="G250" i="16"/>
  <c r="H250" i="16"/>
  <c r="I250" i="16"/>
  <c r="J250" i="16"/>
  <c r="K250" i="16"/>
  <c r="L250" i="16"/>
  <c r="M250" i="16"/>
  <c r="N250" i="16"/>
  <c r="C251" i="16"/>
  <c r="D251" i="16"/>
  <c r="E251" i="16"/>
  <c r="F251" i="16"/>
  <c r="G251" i="16"/>
  <c r="H251" i="16"/>
  <c r="I251" i="16"/>
  <c r="J251" i="16"/>
  <c r="K251" i="16"/>
  <c r="L251" i="16"/>
  <c r="M251" i="16"/>
  <c r="N251" i="16"/>
  <c r="C252" i="16"/>
  <c r="D252" i="16"/>
  <c r="E252" i="16"/>
  <c r="F252" i="16"/>
  <c r="G252" i="16"/>
  <c r="H252" i="16"/>
  <c r="I252" i="16"/>
  <c r="J252" i="16"/>
  <c r="K252" i="16"/>
  <c r="L252" i="16"/>
  <c r="M252" i="16"/>
  <c r="N252" i="16"/>
  <c r="C253" i="16"/>
  <c r="D253" i="16"/>
  <c r="E253" i="16"/>
  <c r="F253" i="16"/>
  <c r="G253" i="16"/>
  <c r="H253" i="16"/>
  <c r="I253" i="16"/>
  <c r="J253" i="16"/>
  <c r="K253" i="16"/>
  <c r="L253" i="16"/>
  <c r="M253" i="16"/>
  <c r="N253" i="16"/>
  <c r="C254" i="16"/>
  <c r="D254" i="16"/>
  <c r="E254" i="16"/>
  <c r="F254" i="16"/>
  <c r="G254" i="16"/>
  <c r="H254" i="16"/>
  <c r="I254" i="16"/>
  <c r="J254" i="16"/>
  <c r="K254" i="16"/>
  <c r="L254" i="16"/>
  <c r="M254" i="16"/>
  <c r="N254" i="16"/>
  <c r="C255" i="16"/>
  <c r="D255" i="16"/>
  <c r="E255" i="16"/>
  <c r="F255" i="16"/>
  <c r="G255" i="16"/>
  <c r="H255" i="16"/>
  <c r="I255" i="16"/>
  <c r="J255" i="16"/>
  <c r="K255" i="16"/>
  <c r="L255" i="16"/>
  <c r="M255" i="16"/>
  <c r="N255" i="16"/>
  <c r="C256" i="16"/>
  <c r="D256" i="16"/>
  <c r="E256" i="16"/>
  <c r="F256" i="16"/>
  <c r="G256" i="16"/>
  <c r="H256" i="16"/>
  <c r="I256" i="16"/>
  <c r="J256" i="16"/>
  <c r="K256" i="16"/>
  <c r="L256" i="16"/>
  <c r="M256" i="16"/>
  <c r="N256" i="16"/>
  <c r="C257" i="16"/>
  <c r="D257" i="16"/>
  <c r="E257" i="16"/>
  <c r="F257" i="16"/>
  <c r="G257" i="16"/>
  <c r="H257" i="16"/>
  <c r="I257" i="16"/>
  <c r="J257" i="16"/>
  <c r="K257" i="16"/>
  <c r="L257" i="16"/>
  <c r="M257" i="16"/>
  <c r="N257" i="16"/>
  <c r="C258" i="16"/>
  <c r="D258" i="16"/>
  <c r="E258" i="16"/>
  <c r="F258" i="16"/>
  <c r="G258" i="16"/>
  <c r="H258" i="16"/>
  <c r="I258" i="16"/>
  <c r="J258" i="16"/>
  <c r="K258" i="16"/>
  <c r="L258" i="16"/>
  <c r="M258" i="16"/>
  <c r="N258" i="16"/>
  <c r="C259" i="16"/>
  <c r="D259" i="16"/>
  <c r="E259" i="16"/>
  <c r="F259" i="16"/>
  <c r="G259" i="16"/>
  <c r="H259" i="16"/>
  <c r="I259" i="16"/>
  <c r="J259" i="16"/>
  <c r="K259" i="16"/>
  <c r="L259" i="16"/>
  <c r="M259" i="16"/>
  <c r="N259" i="16"/>
  <c r="C260" i="16"/>
  <c r="D260" i="16"/>
  <c r="E260" i="16"/>
  <c r="F260" i="16"/>
  <c r="G260" i="16"/>
  <c r="H260" i="16"/>
  <c r="I260" i="16"/>
  <c r="J260" i="16"/>
  <c r="K260" i="16"/>
  <c r="L260" i="16"/>
  <c r="M260" i="16"/>
  <c r="N260" i="16"/>
  <c r="C261" i="16"/>
  <c r="D261" i="16"/>
  <c r="E261" i="16"/>
  <c r="F261" i="16"/>
  <c r="G261" i="16"/>
  <c r="H261" i="16"/>
  <c r="I261" i="16"/>
  <c r="J261" i="16"/>
  <c r="K261" i="16"/>
  <c r="L261" i="16"/>
  <c r="M261" i="16"/>
  <c r="N261" i="16"/>
  <c r="C262" i="16"/>
  <c r="D262" i="16"/>
  <c r="E262" i="16"/>
  <c r="F262" i="16"/>
  <c r="G262" i="16"/>
  <c r="H262" i="16"/>
  <c r="I262" i="16"/>
  <c r="J262" i="16"/>
  <c r="K262" i="16"/>
  <c r="L262" i="16"/>
  <c r="M262" i="16"/>
  <c r="N262" i="16"/>
  <c r="C263" i="16"/>
  <c r="D263" i="16"/>
  <c r="E263" i="16"/>
  <c r="F263" i="16"/>
  <c r="G263" i="16"/>
  <c r="H263" i="16"/>
  <c r="I263" i="16"/>
  <c r="J263" i="16"/>
  <c r="K263" i="16"/>
  <c r="L263" i="16"/>
  <c r="M263" i="16"/>
  <c r="N263" i="16"/>
  <c r="C264" i="16"/>
  <c r="D264" i="16"/>
  <c r="E264" i="16"/>
  <c r="F264" i="16"/>
  <c r="G264" i="16"/>
  <c r="H264" i="16"/>
  <c r="I264" i="16"/>
  <c r="J264" i="16"/>
  <c r="K264" i="16"/>
  <c r="L264" i="16"/>
  <c r="M264" i="16"/>
  <c r="N264" i="16"/>
  <c r="C265" i="16"/>
  <c r="D265" i="16"/>
  <c r="E265" i="16"/>
  <c r="F265" i="16"/>
  <c r="G265" i="16"/>
  <c r="H265" i="16"/>
  <c r="I265" i="16"/>
  <c r="J265" i="16"/>
  <c r="K265" i="16"/>
  <c r="L265" i="16"/>
  <c r="M265" i="16"/>
  <c r="N265" i="16"/>
  <c r="C266" i="16"/>
  <c r="D266" i="16"/>
  <c r="E266" i="16"/>
  <c r="F266" i="16"/>
  <c r="G266" i="16"/>
  <c r="H266" i="16"/>
  <c r="I266" i="16"/>
  <c r="J266" i="16"/>
  <c r="K266" i="16"/>
  <c r="L266" i="16"/>
  <c r="M266" i="16"/>
  <c r="N266" i="16"/>
  <c r="C267" i="16"/>
  <c r="D267" i="16"/>
  <c r="E267" i="16"/>
  <c r="F267" i="16"/>
  <c r="G267" i="16"/>
  <c r="H267" i="16"/>
  <c r="I267" i="16"/>
  <c r="J267" i="16"/>
  <c r="K267" i="16"/>
  <c r="L267" i="16"/>
  <c r="M267" i="16"/>
  <c r="N267" i="16"/>
  <c r="C268" i="16"/>
  <c r="D268" i="16"/>
  <c r="E268" i="16"/>
  <c r="F268" i="16"/>
  <c r="G268" i="16"/>
  <c r="H268" i="16"/>
  <c r="I268" i="16"/>
  <c r="J268" i="16"/>
  <c r="K268" i="16"/>
  <c r="L268" i="16"/>
  <c r="M268" i="16"/>
  <c r="N268" i="16"/>
  <c r="C269" i="16"/>
  <c r="D269" i="16"/>
  <c r="E269" i="16"/>
  <c r="F269" i="16"/>
  <c r="G269" i="16"/>
  <c r="H269" i="16"/>
  <c r="I269" i="16"/>
  <c r="J269" i="16"/>
  <c r="K269" i="16"/>
  <c r="L269" i="16"/>
  <c r="M269" i="16"/>
  <c r="N269" i="16"/>
  <c r="C270" i="16"/>
  <c r="D270" i="16"/>
  <c r="E270" i="16"/>
  <c r="F270" i="16"/>
  <c r="G270" i="16"/>
  <c r="H270" i="16"/>
  <c r="I270" i="16"/>
  <c r="J270" i="16"/>
  <c r="K270" i="16"/>
  <c r="L270" i="16"/>
  <c r="M270" i="16"/>
  <c r="N270" i="16"/>
  <c r="C271" i="16"/>
  <c r="D271" i="16"/>
  <c r="E271" i="16"/>
  <c r="F271" i="16"/>
  <c r="G271" i="16"/>
  <c r="H271" i="16"/>
  <c r="I271" i="16"/>
  <c r="J271" i="16"/>
  <c r="K271" i="16"/>
  <c r="L271" i="16"/>
  <c r="M271" i="16"/>
  <c r="N271" i="16"/>
  <c r="C272" i="16"/>
  <c r="D272" i="16"/>
  <c r="E272" i="16"/>
  <c r="F272" i="16"/>
  <c r="G272" i="16"/>
  <c r="H272" i="16"/>
  <c r="I272" i="16"/>
  <c r="J272" i="16"/>
  <c r="K272" i="16"/>
  <c r="L272" i="16"/>
  <c r="M272" i="16"/>
  <c r="N272" i="16"/>
  <c r="C273" i="16"/>
  <c r="D273" i="16"/>
  <c r="E273" i="16"/>
  <c r="F273" i="16"/>
  <c r="G273" i="16"/>
  <c r="H273" i="16"/>
  <c r="I273" i="16"/>
  <c r="J273" i="16"/>
  <c r="K273" i="16"/>
  <c r="L273" i="16"/>
  <c r="M273" i="16"/>
  <c r="N273" i="16"/>
  <c r="C274" i="16"/>
  <c r="D274" i="16"/>
  <c r="E274" i="16"/>
  <c r="F274" i="16"/>
  <c r="G274" i="16"/>
  <c r="H274" i="16"/>
  <c r="I274" i="16"/>
  <c r="J274" i="16"/>
  <c r="K274" i="16"/>
  <c r="L274" i="16"/>
  <c r="M274" i="16"/>
  <c r="N274" i="16"/>
  <c r="C275" i="16"/>
  <c r="D275" i="16"/>
  <c r="E275" i="16"/>
  <c r="F275" i="16"/>
  <c r="G275" i="16"/>
  <c r="H275" i="16"/>
  <c r="I275" i="16"/>
  <c r="J275" i="16"/>
  <c r="K275" i="16"/>
  <c r="L275" i="16"/>
  <c r="M275" i="16"/>
  <c r="N275" i="16"/>
  <c r="C276" i="16"/>
  <c r="D276" i="16"/>
  <c r="E276" i="16"/>
  <c r="F276" i="16"/>
  <c r="G276" i="16"/>
  <c r="H276" i="16"/>
  <c r="I276" i="16"/>
  <c r="J276" i="16"/>
  <c r="K276" i="16"/>
  <c r="L276" i="16"/>
  <c r="M276" i="16"/>
  <c r="N276" i="16"/>
  <c r="C277" i="16"/>
  <c r="D277" i="16"/>
  <c r="E277" i="16"/>
  <c r="F277" i="16"/>
  <c r="G277" i="16"/>
  <c r="H277" i="16"/>
  <c r="I277" i="16"/>
  <c r="J277" i="16"/>
  <c r="K277" i="16"/>
  <c r="L277" i="16"/>
  <c r="M277" i="16"/>
  <c r="N277" i="16"/>
  <c r="C278" i="16"/>
  <c r="D278" i="16"/>
  <c r="E278" i="16"/>
  <c r="F278" i="16"/>
  <c r="G278" i="16"/>
  <c r="H278" i="16"/>
  <c r="I278" i="16"/>
  <c r="J278" i="16"/>
  <c r="K278" i="16"/>
  <c r="L278" i="16"/>
  <c r="M278" i="16"/>
  <c r="N278" i="16"/>
  <c r="C279" i="16"/>
  <c r="D279" i="16"/>
  <c r="E279" i="16"/>
  <c r="F279" i="16"/>
  <c r="G279" i="16"/>
  <c r="H279" i="16"/>
  <c r="I279" i="16"/>
  <c r="J279" i="16"/>
  <c r="K279" i="16"/>
  <c r="L279" i="16"/>
  <c r="M279" i="16"/>
  <c r="N279" i="16"/>
  <c r="C280" i="16"/>
  <c r="D280" i="16"/>
  <c r="E280" i="16"/>
  <c r="F280" i="16"/>
  <c r="G280" i="16"/>
  <c r="H280" i="16"/>
  <c r="I280" i="16"/>
  <c r="J280" i="16"/>
  <c r="K280" i="16"/>
  <c r="L280" i="16"/>
  <c r="M280" i="16"/>
  <c r="N280" i="16"/>
  <c r="C281" i="16"/>
  <c r="D281" i="16"/>
  <c r="E281" i="16"/>
  <c r="F281" i="16"/>
  <c r="G281" i="16"/>
  <c r="H281" i="16"/>
  <c r="I281" i="16"/>
  <c r="J281" i="16"/>
  <c r="K281" i="16"/>
  <c r="L281" i="16"/>
  <c r="M281" i="16"/>
  <c r="N281" i="16"/>
  <c r="C282" i="16"/>
  <c r="D282" i="16"/>
  <c r="E282" i="16"/>
  <c r="F282" i="16"/>
  <c r="G282" i="16"/>
  <c r="H282" i="16"/>
  <c r="I282" i="16"/>
  <c r="J282" i="16"/>
  <c r="K282" i="16"/>
  <c r="L282" i="16"/>
  <c r="M282" i="16"/>
  <c r="N282" i="16"/>
  <c r="C283" i="16"/>
  <c r="D283" i="16"/>
  <c r="E283" i="16"/>
  <c r="F283" i="16"/>
  <c r="G283" i="16"/>
  <c r="H283" i="16"/>
  <c r="I283" i="16"/>
  <c r="J283" i="16"/>
  <c r="K283" i="16"/>
  <c r="L283" i="16"/>
  <c r="M283" i="16"/>
  <c r="N283" i="16"/>
  <c r="C284" i="16"/>
  <c r="D284" i="16"/>
  <c r="E284" i="16"/>
  <c r="F284" i="16"/>
  <c r="G284" i="16"/>
  <c r="H284" i="16"/>
  <c r="I284" i="16"/>
  <c r="J284" i="16"/>
  <c r="K284" i="16"/>
  <c r="L284" i="16"/>
  <c r="M284" i="16"/>
  <c r="N284" i="16"/>
  <c r="C285" i="16"/>
  <c r="D285" i="16"/>
  <c r="E285" i="16"/>
  <c r="F285" i="16"/>
  <c r="G285" i="16"/>
  <c r="H285" i="16"/>
  <c r="I285" i="16"/>
  <c r="J285" i="16"/>
  <c r="K285" i="16"/>
  <c r="L285" i="16"/>
  <c r="M285" i="16"/>
  <c r="N285" i="16"/>
  <c r="C286" i="16"/>
  <c r="D286" i="16"/>
  <c r="E286" i="16"/>
  <c r="F286" i="16"/>
  <c r="G286" i="16"/>
  <c r="H286" i="16"/>
  <c r="I286" i="16"/>
  <c r="J286" i="16"/>
  <c r="K286" i="16"/>
  <c r="L286" i="16"/>
  <c r="M286" i="16"/>
  <c r="N286" i="16"/>
  <c r="C287" i="16"/>
  <c r="D287" i="16"/>
  <c r="E287" i="16"/>
  <c r="F287" i="16"/>
  <c r="G287" i="16"/>
  <c r="H287" i="16"/>
  <c r="I287" i="16"/>
  <c r="J287" i="16"/>
  <c r="K287" i="16"/>
  <c r="L287" i="16"/>
  <c r="M287" i="16"/>
  <c r="N287" i="16"/>
  <c r="C288" i="16"/>
  <c r="D288" i="16"/>
  <c r="E288" i="16"/>
  <c r="F288" i="16"/>
  <c r="G288" i="16"/>
  <c r="H288" i="16"/>
  <c r="I288" i="16"/>
  <c r="J288" i="16"/>
  <c r="K288" i="16"/>
  <c r="L288" i="16"/>
  <c r="M288" i="16"/>
  <c r="N288" i="16"/>
  <c r="C289" i="16"/>
  <c r="D289" i="16"/>
  <c r="E289" i="16"/>
  <c r="F289" i="16"/>
  <c r="G289" i="16"/>
  <c r="H289" i="16"/>
  <c r="I289" i="16"/>
  <c r="J289" i="16"/>
  <c r="K289" i="16"/>
  <c r="L289" i="16"/>
  <c r="M289" i="16"/>
  <c r="N289" i="16"/>
  <c r="C290" i="16"/>
  <c r="D290" i="16"/>
  <c r="E290" i="16"/>
  <c r="F290" i="16"/>
  <c r="G290" i="16"/>
  <c r="H290" i="16"/>
  <c r="I290" i="16"/>
  <c r="J290" i="16"/>
  <c r="K290" i="16"/>
  <c r="L290" i="16"/>
  <c r="M290" i="16"/>
  <c r="N290" i="16"/>
  <c r="C291" i="16"/>
  <c r="D291" i="16"/>
  <c r="E291" i="16"/>
  <c r="F291" i="16"/>
  <c r="G291" i="16"/>
  <c r="H291" i="16"/>
  <c r="I291" i="16"/>
  <c r="J291" i="16"/>
  <c r="K291" i="16"/>
  <c r="L291" i="16"/>
  <c r="M291" i="16"/>
  <c r="N291" i="16"/>
  <c r="C292" i="16"/>
  <c r="D292" i="16"/>
  <c r="E292" i="16"/>
  <c r="F292" i="16"/>
  <c r="G292" i="16"/>
  <c r="H292" i="16"/>
  <c r="I292" i="16"/>
  <c r="J292" i="16"/>
  <c r="K292" i="16"/>
  <c r="L292" i="16"/>
  <c r="M292" i="16"/>
  <c r="N292" i="16"/>
  <c r="C293" i="16"/>
  <c r="D293" i="16"/>
  <c r="E293" i="16"/>
  <c r="F293" i="16"/>
  <c r="G293" i="16"/>
  <c r="H293" i="16"/>
  <c r="I293" i="16"/>
  <c r="J293" i="16"/>
  <c r="K293" i="16"/>
  <c r="L293" i="16"/>
  <c r="M293" i="16"/>
  <c r="N293" i="16"/>
  <c r="C294" i="16"/>
  <c r="D294" i="16"/>
  <c r="E294" i="16"/>
  <c r="F294" i="16"/>
  <c r="G294" i="16"/>
  <c r="H294" i="16"/>
  <c r="I294" i="16"/>
  <c r="J294" i="16"/>
  <c r="K294" i="16"/>
  <c r="L294" i="16"/>
  <c r="M294" i="16"/>
  <c r="N294" i="16"/>
  <c r="C295" i="16"/>
  <c r="D295" i="16"/>
  <c r="E295" i="16"/>
  <c r="F295" i="16"/>
  <c r="G295" i="16"/>
  <c r="H295" i="16"/>
  <c r="I295" i="16"/>
  <c r="J295" i="16"/>
  <c r="K295" i="16"/>
  <c r="L295" i="16"/>
  <c r="M295" i="16"/>
  <c r="N295" i="16"/>
  <c r="C296" i="16"/>
  <c r="D296" i="16"/>
  <c r="E296" i="16"/>
  <c r="F296" i="16"/>
  <c r="G296" i="16"/>
  <c r="H296" i="16"/>
  <c r="I296" i="16"/>
  <c r="J296" i="16"/>
  <c r="K296" i="16"/>
  <c r="L296" i="16"/>
  <c r="M296" i="16"/>
  <c r="N296" i="16"/>
  <c r="C297" i="16"/>
  <c r="D297" i="16"/>
  <c r="E297" i="16"/>
  <c r="F297" i="16"/>
  <c r="G297" i="16"/>
  <c r="H297" i="16"/>
  <c r="I297" i="16"/>
  <c r="J297" i="16"/>
  <c r="K297" i="16"/>
  <c r="L297" i="16"/>
  <c r="M297" i="16"/>
  <c r="N297" i="16"/>
  <c r="C298" i="16"/>
  <c r="D298" i="16"/>
  <c r="E298" i="16"/>
  <c r="F298" i="16"/>
  <c r="G298" i="16"/>
  <c r="H298" i="16"/>
  <c r="I298" i="16"/>
  <c r="J298" i="16"/>
  <c r="K298" i="16"/>
  <c r="L298" i="16"/>
  <c r="M298" i="16"/>
  <c r="N298" i="16"/>
  <c r="C299" i="16"/>
  <c r="D299" i="16"/>
  <c r="E299" i="16"/>
  <c r="F299" i="16"/>
  <c r="G299" i="16"/>
  <c r="H299" i="16"/>
  <c r="I299" i="16"/>
  <c r="J299" i="16"/>
  <c r="K299" i="16"/>
  <c r="L299" i="16"/>
  <c r="M299" i="16"/>
  <c r="N299" i="16"/>
  <c r="C300" i="16"/>
  <c r="D300" i="16"/>
  <c r="E300" i="16"/>
  <c r="F300" i="16"/>
  <c r="G300" i="16"/>
  <c r="H300" i="16"/>
  <c r="I300" i="16"/>
  <c r="J300" i="16"/>
  <c r="K300" i="16"/>
  <c r="L300" i="16"/>
  <c r="M300" i="16"/>
  <c r="N300" i="16"/>
  <c r="C301" i="16"/>
  <c r="D301" i="16"/>
  <c r="E301" i="16"/>
  <c r="F301" i="16"/>
  <c r="G301" i="16"/>
  <c r="H301" i="16"/>
  <c r="I301" i="16"/>
  <c r="J301" i="16"/>
  <c r="K301" i="16"/>
  <c r="L301" i="16"/>
  <c r="M301" i="16"/>
  <c r="N301" i="16"/>
  <c r="G26" i="16"/>
  <c r="H26" i="16"/>
  <c r="M26" i="16"/>
  <c r="B25" i="16"/>
  <c r="L25" i="16"/>
  <c r="M25" i="16"/>
  <c r="F24" i="16"/>
  <c r="G24" i="16"/>
  <c r="H24" i="16"/>
  <c r="M24" i="16"/>
  <c r="C23" i="16"/>
  <c r="H23" i="16"/>
  <c r="M23" i="16"/>
  <c r="H22" i="16"/>
  <c r="I22" i="16"/>
  <c r="C20" i="16"/>
  <c r="H20" i="16"/>
  <c r="I20" i="16"/>
  <c r="J20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C37" i="12"/>
  <c r="D37" i="12"/>
  <c r="E37" i="12"/>
  <c r="F37" i="12"/>
  <c r="G37" i="12"/>
  <c r="H37" i="12"/>
  <c r="I37" i="12"/>
  <c r="J37" i="12"/>
  <c r="K37" i="12"/>
  <c r="L37" i="12"/>
  <c r="M37" i="12"/>
  <c r="B37" i="12"/>
  <c r="C38" i="12"/>
  <c r="D38" i="12"/>
  <c r="E38" i="12"/>
  <c r="F38" i="12"/>
  <c r="G38" i="12"/>
  <c r="H38" i="12"/>
  <c r="I38" i="12"/>
  <c r="J38" i="12"/>
  <c r="K38" i="12"/>
  <c r="L38" i="12"/>
  <c r="M38" i="12"/>
  <c r="B38" i="12"/>
  <c r="C21" i="18"/>
  <c r="E21" i="18" s="1"/>
  <c r="I19" i="18"/>
  <c r="I16" i="18"/>
  <c r="I15" i="18"/>
  <c r="B7" i="18"/>
  <c r="C39" i="15"/>
  <c r="C95" i="7" s="1"/>
  <c r="D39" i="15"/>
  <c r="D95" i="7" s="1"/>
  <c r="E39" i="15"/>
  <c r="E95" i="7" s="1"/>
  <c r="I26" i="18" s="1"/>
  <c r="F39" i="15"/>
  <c r="F95" i="7" s="1"/>
  <c r="G39" i="15"/>
  <c r="G95" i="7" s="1"/>
  <c r="H39" i="15"/>
  <c r="H95" i="7" s="1"/>
  <c r="I39" i="15"/>
  <c r="I95" i="7" s="1"/>
  <c r="J39" i="15"/>
  <c r="J95" i="7" s="1"/>
  <c r="K39" i="15"/>
  <c r="K95" i="7" s="1"/>
  <c r="L39" i="15"/>
  <c r="L95" i="7" s="1"/>
  <c r="M39" i="15"/>
  <c r="M95" i="7" s="1"/>
  <c r="B39" i="15"/>
  <c r="B95" i="7" s="1"/>
  <c r="C39" i="14"/>
  <c r="D39" i="14"/>
  <c r="E39" i="14"/>
  <c r="F39" i="14"/>
  <c r="G39" i="14"/>
  <c r="G89" i="7" s="1"/>
  <c r="H39" i="14"/>
  <c r="I39" i="14"/>
  <c r="I89" i="7" s="1"/>
  <c r="J39" i="14"/>
  <c r="J89" i="7" s="1"/>
  <c r="K39" i="14"/>
  <c r="K89" i="7" s="1"/>
  <c r="L39" i="14"/>
  <c r="L89" i="7" s="1"/>
  <c r="M39" i="14"/>
  <c r="M89" i="7" s="1"/>
  <c r="B39" i="14"/>
  <c r="B89" i="7" s="1"/>
  <c r="D30" i="14"/>
  <c r="C42" i="12"/>
  <c r="C77" i="7" s="1"/>
  <c r="D42" i="12"/>
  <c r="D77" i="7" s="1"/>
  <c r="E42" i="12"/>
  <c r="E77" i="7" s="1"/>
  <c r="I23" i="18" s="1"/>
  <c r="F42" i="12"/>
  <c r="F77" i="7" s="1"/>
  <c r="G42" i="12"/>
  <c r="G77" i="7" s="1"/>
  <c r="H42" i="12"/>
  <c r="H77" i="7" s="1"/>
  <c r="I42" i="12"/>
  <c r="I77" i="7" s="1"/>
  <c r="J42" i="12"/>
  <c r="J77" i="7" s="1"/>
  <c r="K42" i="12"/>
  <c r="K77" i="7" s="1"/>
  <c r="L42" i="12"/>
  <c r="L77" i="7" s="1"/>
  <c r="M42" i="12"/>
  <c r="M77" i="7" s="1"/>
  <c r="B42" i="12"/>
  <c r="B77" i="7" s="1"/>
  <c r="C39" i="13"/>
  <c r="D39" i="13"/>
  <c r="D83" i="7" s="1"/>
  <c r="E39" i="13"/>
  <c r="E83" i="7" s="1"/>
  <c r="I24" i="18" s="1"/>
  <c r="F39" i="13"/>
  <c r="G39" i="13"/>
  <c r="H39" i="13"/>
  <c r="I39" i="13"/>
  <c r="J39" i="13"/>
  <c r="J83" i="7" s="1"/>
  <c r="K39" i="13"/>
  <c r="K83" i="7" s="1"/>
  <c r="L39" i="13"/>
  <c r="L83" i="7" s="1"/>
  <c r="M39" i="13"/>
  <c r="B39" i="13"/>
  <c r="B83" i="7" s="1"/>
  <c r="I26" i="10"/>
  <c r="B30" i="10"/>
  <c r="D27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B27" i="11"/>
  <c r="C27" i="11"/>
  <c r="E27" i="11"/>
  <c r="F27" i="11"/>
  <c r="G27" i="11"/>
  <c r="H27" i="11"/>
  <c r="I27" i="11"/>
  <c r="J27" i="11"/>
  <c r="K27" i="11"/>
  <c r="L27" i="11"/>
  <c r="M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C22" i="11"/>
  <c r="D22" i="11"/>
  <c r="E22" i="11"/>
  <c r="F22" i="11"/>
  <c r="G22" i="11"/>
  <c r="H22" i="11"/>
  <c r="I22" i="11"/>
  <c r="J22" i="11"/>
  <c r="K22" i="11"/>
  <c r="L22" i="11"/>
  <c r="M22" i="11"/>
  <c r="B22" i="11"/>
  <c r="B39" i="11"/>
  <c r="B71" i="7" s="1"/>
  <c r="C39" i="10"/>
  <c r="C65" i="7" s="1"/>
  <c r="D39" i="10"/>
  <c r="D65" i="7" s="1"/>
  <c r="E39" i="10"/>
  <c r="E65" i="7" s="1"/>
  <c r="I21" i="18" s="1"/>
  <c r="F39" i="10"/>
  <c r="F65" i="7" s="1"/>
  <c r="G39" i="10"/>
  <c r="G65" i="7" s="1"/>
  <c r="H39" i="10"/>
  <c r="H65" i="7" s="1"/>
  <c r="I39" i="10"/>
  <c r="I65" i="7" s="1"/>
  <c r="J39" i="10"/>
  <c r="J65" i="7" s="1"/>
  <c r="K39" i="10"/>
  <c r="K65" i="7" s="1"/>
  <c r="L39" i="10"/>
  <c r="L65" i="7" s="1"/>
  <c r="M39" i="10"/>
  <c r="M65" i="7" s="1"/>
  <c r="B39" i="10"/>
  <c r="B65" i="7" s="1"/>
  <c r="G94" i="7"/>
  <c r="G27" i="16" s="1"/>
  <c r="H94" i="7"/>
  <c r="H27" i="16" s="1"/>
  <c r="J94" i="7"/>
  <c r="J27" i="16" s="1"/>
  <c r="L94" i="7"/>
  <c r="L27" i="16" s="1"/>
  <c r="J88" i="7"/>
  <c r="J26" i="16" s="1"/>
  <c r="L88" i="7"/>
  <c r="L26" i="16" s="1"/>
  <c r="C89" i="7"/>
  <c r="D89" i="7"/>
  <c r="E89" i="7"/>
  <c r="I25" i="18" s="1"/>
  <c r="F89" i="7"/>
  <c r="H89" i="7"/>
  <c r="C83" i="7"/>
  <c r="F83" i="7"/>
  <c r="G83" i="7"/>
  <c r="H83" i="7"/>
  <c r="I83" i="7"/>
  <c r="M83" i="7"/>
  <c r="D71" i="7"/>
  <c r="J71" i="7"/>
  <c r="K71" i="7"/>
  <c r="L71" i="7"/>
  <c r="C64" i="7"/>
  <c r="C22" i="16" s="1"/>
  <c r="F64" i="7"/>
  <c r="F22" i="16" s="1"/>
  <c r="G64" i="7"/>
  <c r="G22" i="16" s="1"/>
  <c r="H64" i="7"/>
  <c r="J64" i="7"/>
  <c r="J22" i="16" s="1"/>
  <c r="L64" i="7"/>
  <c r="L22" i="16" s="1"/>
  <c r="M64" i="7"/>
  <c r="M22" i="16" s="1"/>
  <c r="M35" i="15"/>
  <c r="L35" i="15"/>
  <c r="K35" i="15"/>
  <c r="J35" i="15"/>
  <c r="I35" i="15"/>
  <c r="H35" i="15"/>
  <c r="G35" i="15"/>
  <c r="F35" i="15"/>
  <c r="E35" i="15"/>
  <c r="D35" i="15"/>
  <c r="C35" i="15"/>
  <c r="B35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M18" i="15"/>
  <c r="M94" i="7" s="1"/>
  <c r="M27" i="16" s="1"/>
  <c r="L18" i="15"/>
  <c r="K18" i="15"/>
  <c r="K94" i="7" s="1"/>
  <c r="K27" i="16" s="1"/>
  <c r="J18" i="15"/>
  <c r="I18" i="15"/>
  <c r="I94" i="7" s="1"/>
  <c r="I27" i="16" s="1"/>
  <c r="H18" i="15"/>
  <c r="G18" i="15"/>
  <c r="F18" i="15"/>
  <c r="F94" i="7" s="1"/>
  <c r="F27" i="16" s="1"/>
  <c r="E18" i="15"/>
  <c r="E94" i="7" s="1"/>
  <c r="B26" i="18" s="1"/>
  <c r="D18" i="15"/>
  <c r="D94" i="7" s="1"/>
  <c r="D27" i="16" s="1"/>
  <c r="C18" i="15"/>
  <c r="C94" i="7" s="1"/>
  <c r="C27" i="16" s="1"/>
  <c r="B18" i="15"/>
  <c r="B94" i="7" s="1"/>
  <c r="M35" i="14"/>
  <c r="L35" i="14"/>
  <c r="K35" i="14"/>
  <c r="J35" i="14"/>
  <c r="I35" i="14"/>
  <c r="H35" i="14"/>
  <c r="G35" i="14"/>
  <c r="F35" i="14"/>
  <c r="E35" i="14"/>
  <c r="D35" i="14"/>
  <c r="C35" i="14"/>
  <c r="B35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M30" i="14"/>
  <c r="L30" i="14"/>
  <c r="K30" i="14"/>
  <c r="J30" i="14"/>
  <c r="I30" i="14"/>
  <c r="H30" i="14"/>
  <c r="G30" i="14"/>
  <c r="F30" i="14"/>
  <c r="E30" i="14"/>
  <c r="C30" i="14"/>
  <c r="B30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M22" i="14"/>
  <c r="L22" i="14"/>
  <c r="L36" i="14" s="1"/>
  <c r="K22" i="14"/>
  <c r="J22" i="14"/>
  <c r="I22" i="14"/>
  <c r="H22" i="14"/>
  <c r="G22" i="14"/>
  <c r="F22" i="14"/>
  <c r="E22" i="14"/>
  <c r="D22" i="14"/>
  <c r="C22" i="14"/>
  <c r="B22" i="14"/>
  <c r="M18" i="14"/>
  <c r="M88" i="7" s="1"/>
  <c r="L18" i="14"/>
  <c r="K18" i="14"/>
  <c r="K88" i="7" s="1"/>
  <c r="K26" i="16" s="1"/>
  <c r="J18" i="14"/>
  <c r="I18" i="14"/>
  <c r="I88" i="7" s="1"/>
  <c r="I26" i="16" s="1"/>
  <c r="H18" i="14"/>
  <c r="H88" i="7" s="1"/>
  <c r="G18" i="14"/>
  <c r="G88" i="7" s="1"/>
  <c r="F18" i="14"/>
  <c r="F88" i="7" s="1"/>
  <c r="F26" i="16" s="1"/>
  <c r="E18" i="14"/>
  <c r="E88" i="7" s="1"/>
  <c r="D18" i="14"/>
  <c r="D88" i="7" s="1"/>
  <c r="D26" i="16" s="1"/>
  <c r="C18" i="14"/>
  <c r="C88" i="7" s="1"/>
  <c r="C26" i="16" s="1"/>
  <c r="B18" i="14"/>
  <c r="B88" i="7" s="1"/>
  <c r="M35" i="13"/>
  <c r="L35" i="13"/>
  <c r="K35" i="13"/>
  <c r="J35" i="13"/>
  <c r="I35" i="13"/>
  <c r="H35" i="13"/>
  <c r="G35" i="13"/>
  <c r="F35" i="13"/>
  <c r="E35" i="13"/>
  <c r="D35" i="13"/>
  <c r="C35" i="13"/>
  <c r="B35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M22" i="13"/>
  <c r="M36" i="13" s="1"/>
  <c r="L22" i="13"/>
  <c r="K22" i="13"/>
  <c r="K36" i="13" s="1"/>
  <c r="J22" i="13"/>
  <c r="I22" i="13"/>
  <c r="I36" i="13" s="1"/>
  <c r="H22" i="13"/>
  <c r="H36" i="13" s="1"/>
  <c r="G22" i="13"/>
  <c r="G36" i="13" s="1"/>
  <c r="F22" i="13"/>
  <c r="F36" i="13" s="1"/>
  <c r="E22" i="13"/>
  <c r="D22" i="13"/>
  <c r="C22" i="13"/>
  <c r="B22" i="13"/>
  <c r="B36" i="13" s="1"/>
  <c r="M18" i="13"/>
  <c r="M82" i="7" s="1"/>
  <c r="L18" i="13"/>
  <c r="L82" i="7" s="1"/>
  <c r="K18" i="13"/>
  <c r="K82" i="7" s="1"/>
  <c r="K25" i="16" s="1"/>
  <c r="J18" i="13"/>
  <c r="J82" i="7" s="1"/>
  <c r="J25" i="16" s="1"/>
  <c r="I18" i="13"/>
  <c r="I82" i="7" s="1"/>
  <c r="I25" i="16" s="1"/>
  <c r="H18" i="13"/>
  <c r="H82" i="7" s="1"/>
  <c r="H25" i="16" s="1"/>
  <c r="G18" i="13"/>
  <c r="G82" i="7" s="1"/>
  <c r="G25" i="16" s="1"/>
  <c r="F18" i="13"/>
  <c r="F82" i="7" s="1"/>
  <c r="F25" i="16" s="1"/>
  <c r="E18" i="13"/>
  <c r="E82" i="7" s="1"/>
  <c r="D18" i="13"/>
  <c r="D82" i="7" s="1"/>
  <c r="D25" i="16" s="1"/>
  <c r="C18" i="13"/>
  <c r="C82" i="7" s="1"/>
  <c r="B18" i="13"/>
  <c r="B82" i="7" s="1"/>
  <c r="M36" i="12"/>
  <c r="L36" i="12"/>
  <c r="K36" i="12"/>
  <c r="J36" i="12"/>
  <c r="I36" i="12"/>
  <c r="H36" i="12"/>
  <c r="G36" i="12"/>
  <c r="F36" i="12"/>
  <c r="E36" i="12"/>
  <c r="D36" i="12"/>
  <c r="C36" i="12"/>
  <c r="B36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M20" i="12"/>
  <c r="M76" i="7" s="1"/>
  <c r="L20" i="12"/>
  <c r="L76" i="7" s="1"/>
  <c r="L24" i="16" s="1"/>
  <c r="K20" i="12"/>
  <c r="K76" i="7" s="1"/>
  <c r="K24" i="16" s="1"/>
  <c r="J20" i="12"/>
  <c r="J76" i="7" s="1"/>
  <c r="J24" i="16" s="1"/>
  <c r="I20" i="12"/>
  <c r="I76" i="7" s="1"/>
  <c r="I24" i="16" s="1"/>
  <c r="H20" i="12"/>
  <c r="H76" i="7" s="1"/>
  <c r="G20" i="12"/>
  <c r="G76" i="7" s="1"/>
  <c r="F20" i="12"/>
  <c r="F76" i="7" s="1"/>
  <c r="E20" i="12"/>
  <c r="E76" i="7" s="1"/>
  <c r="D20" i="12"/>
  <c r="D76" i="7" s="1"/>
  <c r="D24" i="16" s="1"/>
  <c r="C20" i="12"/>
  <c r="C76" i="7" s="1"/>
  <c r="B20" i="12"/>
  <c r="B76" i="7" s="1"/>
  <c r="B24" i="16" s="1"/>
  <c r="M39" i="11"/>
  <c r="M71" i="7" s="1"/>
  <c r="L39" i="11"/>
  <c r="K39" i="11"/>
  <c r="J39" i="11"/>
  <c r="I39" i="11"/>
  <c r="I71" i="7" s="1"/>
  <c r="H39" i="11"/>
  <c r="H71" i="7" s="1"/>
  <c r="G39" i="11"/>
  <c r="G71" i="7" s="1"/>
  <c r="F39" i="11"/>
  <c r="F71" i="7" s="1"/>
  <c r="E39" i="11"/>
  <c r="E71" i="7" s="1"/>
  <c r="I22" i="18" s="1"/>
  <c r="D39" i="11"/>
  <c r="C39" i="11"/>
  <c r="C71" i="7" s="1"/>
  <c r="M18" i="11"/>
  <c r="M70" i="7" s="1"/>
  <c r="L18" i="11"/>
  <c r="L70" i="7" s="1"/>
  <c r="L23" i="16" s="1"/>
  <c r="K18" i="11"/>
  <c r="K70" i="7" s="1"/>
  <c r="K23" i="16" s="1"/>
  <c r="J18" i="11"/>
  <c r="J70" i="7" s="1"/>
  <c r="J23" i="16" s="1"/>
  <c r="I18" i="11"/>
  <c r="I70" i="7" s="1"/>
  <c r="I23" i="16" s="1"/>
  <c r="H18" i="11"/>
  <c r="H70" i="7" s="1"/>
  <c r="G18" i="11"/>
  <c r="G70" i="7" s="1"/>
  <c r="G23" i="16" s="1"/>
  <c r="F18" i="11"/>
  <c r="F70" i="7" s="1"/>
  <c r="F23" i="16" s="1"/>
  <c r="E18" i="11"/>
  <c r="E70" i="7" s="1"/>
  <c r="B22" i="18" s="1"/>
  <c r="D18" i="11"/>
  <c r="D70" i="7" s="1"/>
  <c r="D23" i="16" s="1"/>
  <c r="C18" i="11"/>
  <c r="C70" i="7" s="1"/>
  <c r="B18" i="11"/>
  <c r="B70" i="7" s="1"/>
  <c r="M35" i="10"/>
  <c r="L35" i="10"/>
  <c r="K35" i="10"/>
  <c r="J35" i="10"/>
  <c r="I35" i="10"/>
  <c r="H35" i="10"/>
  <c r="G35" i="10"/>
  <c r="F35" i="10"/>
  <c r="E35" i="10"/>
  <c r="D35" i="10"/>
  <c r="C35" i="10"/>
  <c r="B35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M30" i="10"/>
  <c r="L30" i="10"/>
  <c r="K30" i="10"/>
  <c r="J30" i="10"/>
  <c r="I30" i="10"/>
  <c r="H30" i="10"/>
  <c r="G30" i="10"/>
  <c r="F30" i="10"/>
  <c r="E30" i="10"/>
  <c r="D30" i="10"/>
  <c r="C30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M26" i="10"/>
  <c r="L26" i="10"/>
  <c r="K26" i="10"/>
  <c r="J26" i="10"/>
  <c r="H26" i="10"/>
  <c r="G26" i="10"/>
  <c r="F26" i="10"/>
  <c r="E26" i="10"/>
  <c r="D26" i="10"/>
  <c r="C26" i="10"/>
  <c r="B26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M22" i="10"/>
  <c r="L22" i="10"/>
  <c r="L36" i="10" s="1"/>
  <c r="K22" i="10"/>
  <c r="J22" i="10"/>
  <c r="I22" i="10"/>
  <c r="H22" i="10"/>
  <c r="G22" i="10"/>
  <c r="F22" i="10"/>
  <c r="E22" i="10"/>
  <c r="D22" i="10"/>
  <c r="C22" i="10"/>
  <c r="B22" i="10"/>
  <c r="M18" i="10"/>
  <c r="L18" i="10"/>
  <c r="K18" i="10"/>
  <c r="K64" i="7" s="1"/>
  <c r="K22" i="16" s="1"/>
  <c r="J18" i="10"/>
  <c r="I18" i="10"/>
  <c r="I64" i="7" s="1"/>
  <c r="H18" i="10"/>
  <c r="G18" i="10"/>
  <c r="F18" i="10"/>
  <c r="E18" i="10"/>
  <c r="E64" i="7" s="1"/>
  <c r="D18" i="10"/>
  <c r="D64" i="7" s="1"/>
  <c r="D22" i="16" s="1"/>
  <c r="C18" i="10"/>
  <c r="B18" i="10"/>
  <c r="B64" i="7" s="1"/>
  <c r="C35" i="7"/>
  <c r="F35" i="7"/>
  <c r="H35" i="7"/>
  <c r="J35" i="7"/>
  <c r="K35" i="7"/>
  <c r="M35" i="7"/>
  <c r="C17" i="7"/>
  <c r="D17" i="7"/>
  <c r="E17" i="7"/>
  <c r="I13" i="18" s="1"/>
  <c r="F17" i="7"/>
  <c r="H17" i="7"/>
  <c r="J17" i="7"/>
  <c r="M17" i="7"/>
  <c r="C58" i="7"/>
  <c r="C21" i="16" s="1"/>
  <c r="F58" i="7"/>
  <c r="F21" i="16" s="1"/>
  <c r="I58" i="7"/>
  <c r="K58" i="7"/>
  <c r="K21" i="16" s="1"/>
  <c r="L58" i="7"/>
  <c r="L21" i="16" s="1"/>
  <c r="M58" i="7"/>
  <c r="M21" i="16" s="1"/>
  <c r="F59" i="7"/>
  <c r="B59" i="7"/>
  <c r="R21" i="16" s="1"/>
  <c r="B58" i="7"/>
  <c r="F52" i="7"/>
  <c r="F20" i="16" s="1"/>
  <c r="H52" i="7"/>
  <c r="K52" i="7"/>
  <c r="K20" i="16" s="1"/>
  <c r="M52" i="7"/>
  <c r="M20" i="16" s="1"/>
  <c r="C53" i="7"/>
  <c r="D53" i="7"/>
  <c r="E53" i="7"/>
  <c r="G53" i="7"/>
  <c r="H53" i="7"/>
  <c r="H54" i="7" s="1"/>
  <c r="H55" i="7" s="1"/>
  <c r="I53" i="7"/>
  <c r="B53" i="7"/>
  <c r="B52" i="7"/>
  <c r="M54" i="7"/>
  <c r="M55" i="7" s="1"/>
  <c r="C39" i="9"/>
  <c r="C59" i="7" s="1"/>
  <c r="C60" i="7" s="1"/>
  <c r="C61" i="7" s="1"/>
  <c r="D39" i="9"/>
  <c r="D59" i="7" s="1"/>
  <c r="E39" i="9"/>
  <c r="E59" i="7" s="1"/>
  <c r="I20" i="18" s="1"/>
  <c r="F39" i="9"/>
  <c r="G39" i="9"/>
  <c r="G59" i="7" s="1"/>
  <c r="H39" i="9"/>
  <c r="H59" i="7" s="1"/>
  <c r="I39" i="9"/>
  <c r="I59" i="7" s="1"/>
  <c r="J39" i="9"/>
  <c r="J59" i="7" s="1"/>
  <c r="J60" i="7" s="1"/>
  <c r="J61" i="7" s="1"/>
  <c r="K39" i="9"/>
  <c r="K59" i="7" s="1"/>
  <c r="K60" i="7" s="1"/>
  <c r="K61" i="7" s="1"/>
  <c r="L39" i="9"/>
  <c r="L59" i="7" s="1"/>
  <c r="M39" i="9"/>
  <c r="M59" i="7" s="1"/>
  <c r="B39" i="9"/>
  <c r="C39" i="8"/>
  <c r="D39" i="8"/>
  <c r="E39" i="8"/>
  <c r="F39" i="8"/>
  <c r="F53" i="7" s="1"/>
  <c r="G39" i="8"/>
  <c r="H39" i="8"/>
  <c r="I39" i="8"/>
  <c r="J39" i="8"/>
  <c r="J53" i="7" s="1"/>
  <c r="K39" i="8"/>
  <c r="K53" i="7" s="1"/>
  <c r="K54" i="7" s="1"/>
  <c r="K55" i="7" s="1"/>
  <c r="L39" i="8"/>
  <c r="L53" i="7" s="1"/>
  <c r="M39" i="8"/>
  <c r="M53" i="7" s="1"/>
  <c r="B39" i="8"/>
  <c r="C39" i="6"/>
  <c r="D39" i="6"/>
  <c r="E39" i="6"/>
  <c r="F39" i="6"/>
  <c r="G39" i="6"/>
  <c r="H39" i="6"/>
  <c r="I39" i="6"/>
  <c r="J39" i="6"/>
  <c r="K39" i="6"/>
  <c r="L39" i="6"/>
  <c r="M39" i="6"/>
  <c r="B39" i="6"/>
  <c r="C39" i="3"/>
  <c r="C29" i="7" s="1"/>
  <c r="D39" i="3"/>
  <c r="D29" i="7" s="1"/>
  <c r="E39" i="3"/>
  <c r="E29" i="7" s="1"/>
  <c r="F39" i="3"/>
  <c r="F29" i="7" s="1"/>
  <c r="G39" i="3"/>
  <c r="G29" i="7" s="1"/>
  <c r="H39" i="3"/>
  <c r="H29" i="7" s="1"/>
  <c r="I39" i="3"/>
  <c r="I29" i="7" s="1"/>
  <c r="J39" i="3"/>
  <c r="J29" i="7" s="1"/>
  <c r="K39" i="3"/>
  <c r="K29" i="7" s="1"/>
  <c r="L39" i="3"/>
  <c r="L29" i="7" s="1"/>
  <c r="M39" i="3"/>
  <c r="M29" i="7" s="1"/>
  <c r="B39" i="3"/>
  <c r="B29" i="7" s="1"/>
  <c r="B39" i="2"/>
  <c r="C39" i="4"/>
  <c r="D39" i="4"/>
  <c r="E39" i="4"/>
  <c r="F39" i="4"/>
  <c r="G39" i="4"/>
  <c r="G17" i="7" s="1"/>
  <c r="H39" i="4"/>
  <c r="I39" i="4"/>
  <c r="I17" i="7" s="1"/>
  <c r="J39" i="4"/>
  <c r="K39" i="4"/>
  <c r="K17" i="7" s="1"/>
  <c r="L39" i="4"/>
  <c r="L17" i="7" s="1"/>
  <c r="M39" i="4"/>
  <c r="B39" i="4"/>
  <c r="B17" i="7" s="1"/>
  <c r="C39" i="1"/>
  <c r="D39" i="1"/>
  <c r="D35" i="7" s="1"/>
  <c r="E39" i="1"/>
  <c r="E35" i="7" s="1"/>
  <c r="F39" i="1"/>
  <c r="G39" i="1"/>
  <c r="G35" i="7" s="1"/>
  <c r="H39" i="1"/>
  <c r="I39" i="1"/>
  <c r="I35" i="7" s="1"/>
  <c r="J39" i="1"/>
  <c r="K39" i="1"/>
  <c r="L39" i="1"/>
  <c r="L35" i="7" s="1"/>
  <c r="M39" i="1"/>
  <c r="B39" i="1"/>
  <c r="B35" i="7" s="1"/>
  <c r="M35" i="9"/>
  <c r="L35" i="9"/>
  <c r="K35" i="9"/>
  <c r="J35" i="9"/>
  <c r="I35" i="9"/>
  <c r="H35" i="9"/>
  <c r="G35" i="9"/>
  <c r="F35" i="9"/>
  <c r="E35" i="9"/>
  <c r="D35" i="9"/>
  <c r="C35" i="9"/>
  <c r="B35" i="9"/>
  <c r="M34" i="9"/>
  <c r="L34" i="9"/>
  <c r="K34" i="9"/>
  <c r="J34" i="9"/>
  <c r="I34" i="9"/>
  <c r="H34" i="9"/>
  <c r="G34" i="9"/>
  <c r="F34" i="9"/>
  <c r="E34" i="9"/>
  <c r="D34" i="9"/>
  <c r="C34" i="9"/>
  <c r="B34" i="9"/>
  <c r="M33" i="9"/>
  <c r="L33" i="9"/>
  <c r="K33" i="9"/>
  <c r="J33" i="9"/>
  <c r="I33" i="9"/>
  <c r="H33" i="9"/>
  <c r="G33" i="9"/>
  <c r="F33" i="9"/>
  <c r="E33" i="9"/>
  <c r="D33" i="9"/>
  <c r="C33" i="9"/>
  <c r="B33" i="9"/>
  <c r="M32" i="9"/>
  <c r="L32" i="9"/>
  <c r="K32" i="9"/>
  <c r="J32" i="9"/>
  <c r="I32" i="9"/>
  <c r="H32" i="9"/>
  <c r="G32" i="9"/>
  <c r="F32" i="9"/>
  <c r="E32" i="9"/>
  <c r="D32" i="9"/>
  <c r="C32" i="9"/>
  <c r="B32" i="9"/>
  <c r="M31" i="9"/>
  <c r="L31" i="9"/>
  <c r="K31" i="9"/>
  <c r="J31" i="9"/>
  <c r="I31" i="9"/>
  <c r="H31" i="9"/>
  <c r="G31" i="9"/>
  <c r="F31" i="9"/>
  <c r="E31" i="9"/>
  <c r="D31" i="9"/>
  <c r="C31" i="9"/>
  <c r="B31" i="9"/>
  <c r="M30" i="9"/>
  <c r="L30" i="9"/>
  <c r="K30" i="9"/>
  <c r="J30" i="9"/>
  <c r="I30" i="9"/>
  <c r="H30" i="9"/>
  <c r="G30" i="9"/>
  <c r="F30" i="9"/>
  <c r="E30" i="9"/>
  <c r="D30" i="9"/>
  <c r="C30" i="9"/>
  <c r="B30" i="9"/>
  <c r="M29" i="9"/>
  <c r="L29" i="9"/>
  <c r="K29" i="9"/>
  <c r="J29" i="9"/>
  <c r="I29" i="9"/>
  <c r="H29" i="9"/>
  <c r="G29" i="9"/>
  <c r="F29" i="9"/>
  <c r="E29" i="9"/>
  <c r="D29" i="9"/>
  <c r="C29" i="9"/>
  <c r="B29" i="9"/>
  <c r="M28" i="9"/>
  <c r="L28" i="9"/>
  <c r="K28" i="9"/>
  <c r="J28" i="9"/>
  <c r="I28" i="9"/>
  <c r="H28" i="9"/>
  <c r="G28" i="9"/>
  <c r="F28" i="9"/>
  <c r="E28" i="9"/>
  <c r="D28" i="9"/>
  <c r="C28" i="9"/>
  <c r="B28" i="9"/>
  <c r="M27" i="9"/>
  <c r="L27" i="9"/>
  <c r="K27" i="9"/>
  <c r="J27" i="9"/>
  <c r="I27" i="9"/>
  <c r="H27" i="9"/>
  <c r="G27" i="9"/>
  <c r="F27" i="9"/>
  <c r="E27" i="9"/>
  <c r="D27" i="9"/>
  <c r="C27" i="9"/>
  <c r="B27" i="9"/>
  <c r="M26" i="9"/>
  <c r="L26" i="9"/>
  <c r="K26" i="9"/>
  <c r="J26" i="9"/>
  <c r="I26" i="9"/>
  <c r="H26" i="9"/>
  <c r="G26" i="9"/>
  <c r="F26" i="9"/>
  <c r="E26" i="9"/>
  <c r="D26" i="9"/>
  <c r="C26" i="9"/>
  <c r="B26" i="9"/>
  <c r="M25" i="9"/>
  <c r="L25" i="9"/>
  <c r="K25" i="9"/>
  <c r="J25" i="9"/>
  <c r="I25" i="9"/>
  <c r="H25" i="9"/>
  <c r="G25" i="9"/>
  <c r="F25" i="9"/>
  <c r="E25" i="9"/>
  <c r="D25" i="9"/>
  <c r="C25" i="9"/>
  <c r="B25" i="9"/>
  <c r="M24" i="9"/>
  <c r="L24" i="9"/>
  <c r="K24" i="9"/>
  <c r="J24" i="9"/>
  <c r="I24" i="9"/>
  <c r="H24" i="9"/>
  <c r="G24" i="9"/>
  <c r="F24" i="9"/>
  <c r="E24" i="9"/>
  <c r="D24" i="9"/>
  <c r="C24" i="9"/>
  <c r="B24" i="9"/>
  <c r="M23" i="9"/>
  <c r="L23" i="9"/>
  <c r="K23" i="9"/>
  <c r="J23" i="9"/>
  <c r="I23" i="9"/>
  <c r="H23" i="9"/>
  <c r="G23" i="9"/>
  <c r="F23" i="9"/>
  <c r="E23" i="9"/>
  <c r="D23" i="9"/>
  <c r="C23" i="9"/>
  <c r="B23" i="9"/>
  <c r="M22" i="9"/>
  <c r="M36" i="9" s="1"/>
  <c r="L22" i="9"/>
  <c r="L36" i="9" s="1"/>
  <c r="K22" i="9"/>
  <c r="K36" i="9" s="1"/>
  <c r="J22" i="9"/>
  <c r="J36" i="9" s="1"/>
  <c r="I22" i="9"/>
  <c r="I36" i="9" s="1"/>
  <c r="H22" i="9"/>
  <c r="H36" i="9" s="1"/>
  <c r="G22" i="9"/>
  <c r="G36" i="9" s="1"/>
  <c r="F22" i="9"/>
  <c r="F36" i="9" s="1"/>
  <c r="E22" i="9"/>
  <c r="D22" i="9"/>
  <c r="C22" i="9"/>
  <c r="B22" i="9"/>
  <c r="B36" i="9" s="1"/>
  <c r="M18" i="9"/>
  <c r="L18" i="9"/>
  <c r="K18" i="9"/>
  <c r="J18" i="9"/>
  <c r="J58" i="7" s="1"/>
  <c r="J21" i="16" s="1"/>
  <c r="I18" i="9"/>
  <c r="H18" i="9"/>
  <c r="H58" i="7" s="1"/>
  <c r="G18" i="9"/>
  <c r="G58" i="7" s="1"/>
  <c r="F18" i="9"/>
  <c r="E18" i="9"/>
  <c r="E58" i="7" s="1"/>
  <c r="E21" i="16" s="1"/>
  <c r="D18" i="9"/>
  <c r="D58" i="7" s="1"/>
  <c r="D21" i="16" s="1"/>
  <c r="C18" i="9"/>
  <c r="B18" i="9"/>
  <c r="M35" i="8"/>
  <c r="L35" i="8"/>
  <c r="K35" i="8"/>
  <c r="J35" i="8"/>
  <c r="I35" i="8"/>
  <c r="H35" i="8"/>
  <c r="G35" i="8"/>
  <c r="F35" i="8"/>
  <c r="E35" i="8"/>
  <c r="D35" i="8"/>
  <c r="C35" i="8"/>
  <c r="B35" i="8"/>
  <c r="M34" i="8"/>
  <c r="L34" i="8"/>
  <c r="K34" i="8"/>
  <c r="J34" i="8"/>
  <c r="I34" i="8"/>
  <c r="H34" i="8"/>
  <c r="G34" i="8"/>
  <c r="F34" i="8"/>
  <c r="E34" i="8"/>
  <c r="D34" i="8"/>
  <c r="C34" i="8"/>
  <c r="B34" i="8"/>
  <c r="M33" i="8"/>
  <c r="L33" i="8"/>
  <c r="K33" i="8"/>
  <c r="J33" i="8"/>
  <c r="I33" i="8"/>
  <c r="H33" i="8"/>
  <c r="G33" i="8"/>
  <c r="F33" i="8"/>
  <c r="E33" i="8"/>
  <c r="D33" i="8"/>
  <c r="C33" i="8"/>
  <c r="B33" i="8"/>
  <c r="M32" i="8"/>
  <c r="L32" i="8"/>
  <c r="K32" i="8"/>
  <c r="J32" i="8"/>
  <c r="I32" i="8"/>
  <c r="H32" i="8"/>
  <c r="G32" i="8"/>
  <c r="F32" i="8"/>
  <c r="E32" i="8"/>
  <c r="D32" i="8"/>
  <c r="C32" i="8"/>
  <c r="B32" i="8"/>
  <c r="M31" i="8"/>
  <c r="L31" i="8"/>
  <c r="K31" i="8"/>
  <c r="J31" i="8"/>
  <c r="I31" i="8"/>
  <c r="H31" i="8"/>
  <c r="G31" i="8"/>
  <c r="F31" i="8"/>
  <c r="E31" i="8"/>
  <c r="D31" i="8"/>
  <c r="C31" i="8"/>
  <c r="B31" i="8"/>
  <c r="M30" i="8"/>
  <c r="L30" i="8"/>
  <c r="K30" i="8"/>
  <c r="J30" i="8"/>
  <c r="I30" i="8"/>
  <c r="H30" i="8"/>
  <c r="G30" i="8"/>
  <c r="F30" i="8"/>
  <c r="E30" i="8"/>
  <c r="D30" i="8"/>
  <c r="C30" i="8"/>
  <c r="B30" i="8"/>
  <c r="M29" i="8"/>
  <c r="L29" i="8"/>
  <c r="K29" i="8"/>
  <c r="J29" i="8"/>
  <c r="I29" i="8"/>
  <c r="H29" i="8"/>
  <c r="G29" i="8"/>
  <c r="F29" i="8"/>
  <c r="E29" i="8"/>
  <c r="D29" i="8"/>
  <c r="C29" i="8"/>
  <c r="B29" i="8"/>
  <c r="M28" i="8"/>
  <c r="L28" i="8"/>
  <c r="K28" i="8"/>
  <c r="J28" i="8"/>
  <c r="I28" i="8"/>
  <c r="H28" i="8"/>
  <c r="G28" i="8"/>
  <c r="F28" i="8"/>
  <c r="E28" i="8"/>
  <c r="D28" i="8"/>
  <c r="C28" i="8"/>
  <c r="B28" i="8"/>
  <c r="M27" i="8"/>
  <c r="L27" i="8"/>
  <c r="K27" i="8"/>
  <c r="J27" i="8"/>
  <c r="I27" i="8"/>
  <c r="H27" i="8"/>
  <c r="G27" i="8"/>
  <c r="F27" i="8"/>
  <c r="E27" i="8"/>
  <c r="D27" i="8"/>
  <c r="C27" i="8"/>
  <c r="B27" i="8"/>
  <c r="M26" i="8"/>
  <c r="L26" i="8"/>
  <c r="K26" i="8"/>
  <c r="J26" i="8"/>
  <c r="I26" i="8"/>
  <c r="H26" i="8"/>
  <c r="G26" i="8"/>
  <c r="F26" i="8"/>
  <c r="E26" i="8"/>
  <c r="D26" i="8"/>
  <c r="C26" i="8"/>
  <c r="B26" i="8"/>
  <c r="M25" i="8"/>
  <c r="L25" i="8"/>
  <c r="K25" i="8"/>
  <c r="J25" i="8"/>
  <c r="I25" i="8"/>
  <c r="H25" i="8"/>
  <c r="G25" i="8"/>
  <c r="F25" i="8"/>
  <c r="E25" i="8"/>
  <c r="D25" i="8"/>
  <c r="C25" i="8"/>
  <c r="B25" i="8"/>
  <c r="M24" i="8"/>
  <c r="L24" i="8"/>
  <c r="K24" i="8"/>
  <c r="J24" i="8"/>
  <c r="I24" i="8"/>
  <c r="H24" i="8"/>
  <c r="G24" i="8"/>
  <c r="F24" i="8"/>
  <c r="E24" i="8"/>
  <c r="D24" i="8"/>
  <c r="C24" i="8"/>
  <c r="B24" i="8"/>
  <c r="M23" i="8"/>
  <c r="L23" i="8"/>
  <c r="K23" i="8"/>
  <c r="J23" i="8"/>
  <c r="I23" i="8"/>
  <c r="H23" i="8"/>
  <c r="G23" i="8"/>
  <c r="F23" i="8"/>
  <c r="E23" i="8"/>
  <c r="D23" i="8"/>
  <c r="C23" i="8"/>
  <c r="B23" i="8"/>
  <c r="M22" i="8"/>
  <c r="L22" i="8"/>
  <c r="K22" i="8"/>
  <c r="J22" i="8"/>
  <c r="I22" i="8"/>
  <c r="H22" i="8"/>
  <c r="G22" i="8"/>
  <c r="F22" i="8"/>
  <c r="E22" i="8"/>
  <c r="D22" i="8"/>
  <c r="C22" i="8"/>
  <c r="B22" i="8"/>
  <c r="M18" i="8"/>
  <c r="L18" i="8"/>
  <c r="L52" i="7" s="1"/>
  <c r="K18" i="8"/>
  <c r="J18" i="8"/>
  <c r="J52" i="7" s="1"/>
  <c r="I18" i="8"/>
  <c r="I52" i="7" s="1"/>
  <c r="H18" i="8"/>
  <c r="G18" i="8"/>
  <c r="G52" i="7" s="1"/>
  <c r="G20" i="16" s="1"/>
  <c r="F18" i="8"/>
  <c r="E18" i="8"/>
  <c r="E52" i="7" s="1"/>
  <c r="D18" i="8"/>
  <c r="D52" i="7" s="1"/>
  <c r="D20" i="16" s="1"/>
  <c r="C18" i="8"/>
  <c r="C52" i="7" s="1"/>
  <c r="C54" i="7" s="1"/>
  <c r="C55" i="7" s="1"/>
  <c r="B18" i="8"/>
  <c r="E136" i="16" l="1"/>
  <c r="E134" i="16"/>
  <c r="E149" i="16"/>
  <c r="E147" i="16"/>
  <c r="E126" i="16"/>
  <c r="E161" i="16"/>
  <c r="E184" i="16"/>
  <c r="E148" i="16"/>
  <c r="E110" i="16"/>
  <c r="E171" i="16"/>
  <c r="E135" i="16"/>
  <c r="E121" i="16"/>
  <c r="E170" i="16"/>
  <c r="E120" i="16"/>
  <c r="E181" i="16"/>
  <c r="E145" i="16"/>
  <c r="E119" i="16"/>
  <c r="E107" i="16"/>
  <c r="E180" i="16"/>
  <c r="E168" i="16"/>
  <c r="E132" i="16"/>
  <c r="E118" i="16"/>
  <c r="E106" i="16"/>
  <c r="E179" i="16"/>
  <c r="E167" i="16"/>
  <c r="E155" i="16"/>
  <c r="E143" i="16"/>
  <c r="E131" i="16"/>
  <c r="E117" i="16"/>
  <c r="E105" i="16"/>
  <c r="E178" i="16"/>
  <c r="E166" i="16"/>
  <c r="E154" i="16"/>
  <c r="E142" i="16"/>
  <c r="E130" i="16"/>
  <c r="E173" i="16"/>
  <c r="E172" i="16"/>
  <c r="E177" i="16"/>
  <c r="E129" i="16"/>
  <c r="E115" i="16"/>
  <c r="E103" i="16"/>
  <c r="E176" i="16"/>
  <c r="E164" i="16"/>
  <c r="E152" i="16"/>
  <c r="E140" i="16"/>
  <c r="E128" i="16"/>
  <c r="E112" i="16"/>
  <c r="E137" i="16"/>
  <c r="E159" i="16"/>
  <c r="E158" i="16"/>
  <c r="E157" i="16"/>
  <c r="E156" i="16"/>
  <c r="E116" i="16"/>
  <c r="E165" i="16"/>
  <c r="E141" i="16"/>
  <c r="E114" i="16"/>
  <c r="E102" i="16"/>
  <c r="E175" i="16"/>
  <c r="E163" i="16"/>
  <c r="E151" i="16"/>
  <c r="E127" i="16"/>
  <c r="E111" i="16"/>
  <c r="E109" i="16"/>
  <c r="E182" i="16"/>
  <c r="E108" i="16"/>
  <c r="E169" i="16"/>
  <c r="E133" i="16"/>
  <c r="E144" i="16"/>
  <c r="E104" i="16"/>
  <c r="E113" i="16"/>
  <c r="E186" i="16"/>
  <c r="E174" i="16"/>
  <c r="E162" i="16"/>
  <c r="E150" i="16"/>
  <c r="G21" i="16"/>
  <c r="G60" i="7"/>
  <c r="G61" i="7" s="1"/>
  <c r="B27" i="16"/>
  <c r="N27" i="16"/>
  <c r="C26" i="18"/>
  <c r="E26" i="18" s="1"/>
  <c r="R22" i="16"/>
  <c r="R17" i="16"/>
  <c r="F54" i="7"/>
  <c r="F55" i="7" s="1"/>
  <c r="R20" i="16"/>
  <c r="I21" i="16"/>
  <c r="I60" i="7"/>
  <c r="I61" i="7" s="1"/>
  <c r="G54" i="7"/>
  <c r="G55" i="7" s="1"/>
  <c r="E54" i="7"/>
  <c r="E55" i="7" s="1"/>
  <c r="E20" i="16"/>
  <c r="L60" i="7"/>
  <c r="L61" i="7" s="1"/>
  <c r="C24" i="16"/>
  <c r="N24" i="16"/>
  <c r="C36" i="14"/>
  <c r="R24" i="16"/>
  <c r="C25" i="18"/>
  <c r="E25" i="18" s="1"/>
  <c r="B26" i="16"/>
  <c r="N26" i="16"/>
  <c r="C20" i="18"/>
  <c r="E20" i="18" s="1"/>
  <c r="N21" i="16"/>
  <c r="B21" i="16"/>
  <c r="C22" i="18"/>
  <c r="E22" i="18" s="1"/>
  <c r="N23" i="16"/>
  <c r="B23" i="16"/>
  <c r="C25" i="16"/>
  <c r="N25" i="16"/>
  <c r="C24" i="18"/>
  <c r="E24" i="18" s="1"/>
  <c r="O21" i="16" a="1"/>
  <c r="O21" i="16" s="1"/>
  <c r="I54" i="7"/>
  <c r="I55" i="7" s="1"/>
  <c r="N22" i="16"/>
  <c r="B22" i="16"/>
  <c r="B36" i="10"/>
  <c r="B23" i="18"/>
  <c r="E24" i="16"/>
  <c r="B24" i="18"/>
  <c r="E25" i="16"/>
  <c r="B25" i="18"/>
  <c r="D25" i="18" s="1"/>
  <c r="F25" i="18" s="1"/>
  <c r="G25" i="18" s="1"/>
  <c r="H25" i="18" s="1"/>
  <c r="E26" i="16"/>
  <c r="H60" i="7"/>
  <c r="H61" i="7" s="1"/>
  <c r="H21" i="16"/>
  <c r="G36" i="14"/>
  <c r="C90" i="7"/>
  <c r="C91" i="7" s="1"/>
  <c r="J54" i="7"/>
  <c r="J55" i="7" s="1"/>
  <c r="F36" i="10"/>
  <c r="I36" i="14"/>
  <c r="G36" i="10"/>
  <c r="J36" i="14"/>
  <c r="O22" i="16" a="1"/>
  <c r="O22" i="16" s="1"/>
  <c r="R23" i="16"/>
  <c r="O23" i="16" a="1"/>
  <c r="O23" i="16" s="1"/>
  <c r="F60" i="7"/>
  <c r="F61" i="7" s="1"/>
  <c r="B21" i="18"/>
  <c r="D21" i="18" s="1"/>
  <c r="F21" i="18" s="1"/>
  <c r="G21" i="18" s="1"/>
  <c r="H21" i="18" s="1"/>
  <c r="E22" i="16"/>
  <c r="H36" i="14"/>
  <c r="L20" i="16"/>
  <c r="L54" i="7"/>
  <c r="L55" i="7" s="1"/>
  <c r="J36" i="10"/>
  <c r="M36" i="14"/>
  <c r="R25" i="16"/>
  <c r="N20" i="16"/>
  <c r="B20" i="16"/>
  <c r="L36" i="13"/>
  <c r="R14" i="16"/>
  <c r="O20" i="16" a="1"/>
  <c r="O20" i="16" s="1"/>
  <c r="O24" i="16" a="1"/>
  <c r="O24" i="16" s="1"/>
  <c r="C19" i="18"/>
  <c r="E19" i="18" s="1"/>
  <c r="R16" i="16"/>
  <c r="K36" i="10"/>
  <c r="B36" i="14"/>
  <c r="B90" i="7"/>
  <c r="B91" i="7" s="1"/>
  <c r="R26" i="16"/>
  <c r="O26" i="16" a="1"/>
  <c r="O26" i="16" s="1"/>
  <c r="R27" i="16"/>
  <c r="O27" i="16" a="1"/>
  <c r="O27" i="16" s="1"/>
  <c r="M36" i="10"/>
  <c r="O25" i="16" a="1"/>
  <c r="O25" i="16" s="1"/>
  <c r="C36" i="10"/>
  <c r="F36" i="14"/>
  <c r="E27" i="16"/>
  <c r="H36" i="10"/>
  <c r="K36" i="14"/>
  <c r="D36" i="14"/>
  <c r="C96" i="7"/>
  <c r="C97" i="7" s="1"/>
  <c r="E23" i="16"/>
  <c r="O299" i="16"/>
  <c r="O275" i="16"/>
  <c r="O269" i="16"/>
  <c r="O263" i="16"/>
  <c r="O257" i="16"/>
  <c r="O251" i="16"/>
  <c r="O245" i="16"/>
  <c r="O239" i="16"/>
  <c r="O233" i="16"/>
  <c r="O227" i="16"/>
  <c r="O221" i="16"/>
  <c r="O222" i="16"/>
  <c r="O287" i="16"/>
  <c r="O289" i="16"/>
  <c r="O283" i="16"/>
  <c r="O277" i="16"/>
  <c r="O271" i="16"/>
  <c r="O265" i="16"/>
  <c r="O259" i="16"/>
  <c r="E138" i="16" s="1"/>
  <c r="O253" i="16"/>
  <c r="O247" i="16"/>
  <c r="O241" i="16"/>
  <c r="O235" i="16"/>
  <c r="O234" i="16"/>
  <c r="O229" i="16"/>
  <c r="O223" i="16"/>
  <c r="O281" i="16"/>
  <c r="O295" i="16"/>
  <c r="E183" i="16" s="1"/>
  <c r="O300" i="16"/>
  <c r="O294" i="16"/>
  <c r="O288" i="16"/>
  <c r="O282" i="16"/>
  <c r="O276" i="16"/>
  <c r="O270" i="16"/>
  <c r="E160" i="16" s="1"/>
  <c r="O264" i="16"/>
  <c r="O258" i="16"/>
  <c r="O252" i="16"/>
  <c r="O246" i="16"/>
  <c r="O242" i="16"/>
  <c r="O240" i="16"/>
  <c r="O228" i="16"/>
  <c r="O224" i="16"/>
  <c r="O301" i="16"/>
  <c r="O298" i="16"/>
  <c r="O296" i="16"/>
  <c r="O292" i="16"/>
  <c r="O291" i="16"/>
  <c r="E153" i="16" s="1"/>
  <c r="O286" i="16"/>
  <c r="O284" i="16"/>
  <c r="O280" i="16"/>
  <c r="O278" i="16"/>
  <c r="O274" i="16"/>
  <c r="O273" i="16"/>
  <c r="O267" i="16"/>
  <c r="O266" i="16"/>
  <c r="E146" i="16" s="1"/>
  <c r="O262" i="16"/>
  <c r="O261" i="16"/>
  <c r="O260" i="16"/>
  <c r="E139" i="16" s="1"/>
  <c r="O256" i="16"/>
  <c r="O255" i="16"/>
  <c r="O254" i="16"/>
  <c r="O250" i="16"/>
  <c r="O249" i="16"/>
  <c r="O248" i="16"/>
  <c r="O244" i="16"/>
  <c r="O243" i="16"/>
  <c r="O238" i="16"/>
  <c r="O237" i="16"/>
  <c r="O236" i="16"/>
  <c r="O232" i="16"/>
  <c r="O231" i="16"/>
  <c r="O230" i="16"/>
  <c r="O226" i="16"/>
  <c r="O225" i="16"/>
  <c r="O293" i="16"/>
  <c r="O297" i="16"/>
  <c r="E185" i="16" s="1"/>
  <c r="O290" i="16"/>
  <c r="O285" i="16"/>
  <c r="O279" i="16"/>
  <c r="O272" i="16"/>
  <c r="O268" i="16"/>
  <c r="D26" i="18"/>
  <c r="E36" i="13"/>
  <c r="D24" i="18"/>
  <c r="F39" i="12"/>
  <c r="L39" i="12"/>
  <c r="J39" i="12"/>
  <c r="I39" i="12"/>
  <c r="K39" i="12"/>
  <c r="H39" i="12"/>
  <c r="B39" i="12"/>
  <c r="F9" i="7"/>
  <c r="C39" i="12"/>
  <c r="C23" i="18"/>
  <c r="C9" i="7"/>
  <c r="G39" i="12"/>
  <c r="H9" i="7"/>
  <c r="M39" i="12"/>
  <c r="I9" i="7"/>
  <c r="J9" i="7"/>
  <c r="K9" i="7"/>
  <c r="B78" i="7"/>
  <c r="B79" i="7" s="1"/>
  <c r="G9" i="7"/>
  <c r="L9" i="7"/>
  <c r="D23" i="18"/>
  <c r="D22" i="18"/>
  <c r="F22" i="18" s="1"/>
  <c r="G22" i="18" s="1"/>
  <c r="H22" i="18" s="1"/>
  <c r="E60" i="7"/>
  <c r="E61" i="7" s="1"/>
  <c r="B20" i="18"/>
  <c r="B19" i="18"/>
  <c r="E96" i="7"/>
  <c r="E97" i="7" s="1"/>
  <c r="E36" i="14"/>
  <c r="E39" i="12"/>
  <c r="E36" i="10"/>
  <c r="E36" i="9"/>
  <c r="H36" i="11"/>
  <c r="G36" i="11"/>
  <c r="F36" i="11"/>
  <c r="E9" i="7"/>
  <c r="E36" i="11"/>
  <c r="M36" i="15"/>
  <c r="L36" i="15"/>
  <c r="K36" i="15"/>
  <c r="J36" i="15"/>
  <c r="I36" i="15"/>
  <c r="H36" i="15"/>
  <c r="G36" i="15"/>
  <c r="F36" i="15"/>
  <c r="E36" i="15"/>
  <c r="C36" i="15"/>
  <c r="B36" i="15"/>
  <c r="D96" i="7"/>
  <c r="D97" i="7" s="1"/>
  <c r="D36" i="15"/>
  <c r="J36" i="13"/>
  <c r="C36" i="13"/>
  <c r="B9" i="7"/>
  <c r="B84" i="7"/>
  <c r="B85" i="7" s="1"/>
  <c r="D9" i="7"/>
  <c r="D36" i="13"/>
  <c r="D39" i="12"/>
  <c r="I36" i="10"/>
  <c r="B36" i="11"/>
  <c r="C10" i="7"/>
  <c r="D10" i="7"/>
  <c r="E10" i="7"/>
  <c r="F10" i="7"/>
  <c r="G10" i="7"/>
  <c r="H10" i="7"/>
  <c r="I10" i="7"/>
  <c r="J10" i="7"/>
  <c r="J11" i="7" s="1"/>
  <c r="J12" i="7" s="1"/>
  <c r="K10" i="7"/>
  <c r="K11" i="7" s="1"/>
  <c r="K12" i="7" s="1"/>
  <c r="L10" i="7"/>
  <c r="M10" i="7"/>
  <c r="M36" i="11"/>
  <c r="L36" i="11"/>
  <c r="K36" i="11"/>
  <c r="J36" i="11"/>
  <c r="I36" i="11"/>
  <c r="M9" i="7"/>
  <c r="M72" i="7"/>
  <c r="M73" i="7" s="1"/>
  <c r="D36" i="11"/>
  <c r="C36" i="11"/>
  <c r="B10" i="7"/>
  <c r="D36" i="10"/>
  <c r="C66" i="7"/>
  <c r="C67" i="7" s="1"/>
  <c r="C84" i="7"/>
  <c r="C85" i="7" s="1"/>
  <c r="D84" i="7"/>
  <c r="D85" i="7" s="1"/>
  <c r="F84" i="7"/>
  <c r="F85" i="7" s="1"/>
  <c r="G84" i="7"/>
  <c r="G85" i="7" s="1"/>
  <c r="H84" i="7"/>
  <c r="H85" i="7" s="1"/>
  <c r="I84" i="7"/>
  <c r="I85" i="7" s="1"/>
  <c r="J84" i="7"/>
  <c r="J85" i="7" s="1"/>
  <c r="K84" i="7"/>
  <c r="K85" i="7" s="1"/>
  <c r="L84" i="7"/>
  <c r="L85" i="7" s="1"/>
  <c r="M84" i="7"/>
  <c r="M85" i="7" s="1"/>
  <c r="C78" i="7"/>
  <c r="C79" i="7" s="1"/>
  <c r="C72" i="7"/>
  <c r="C73" i="7" s="1"/>
  <c r="E72" i="7"/>
  <c r="E73" i="7" s="1"/>
  <c r="F72" i="7"/>
  <c r="F73" i="7" s="1"/>
  <c r="G72" i="7"/>
  <c r="G73" i="7" s="1"/>
  <c r="H72" i="7"/>
  <c r="H73" i="7" s="1"/>
  <c r="I72" i="7"/>
  <c r="I73" i="7" s="1"/>
  <c r="K72" i="7"/>
  <c r="K73" i="7" s="1"/>
  <c r="D66" i="7"/>
  <c r="D67" i="7" s="1"/>
  <c r="E66" i="7"/>
  <c r="E67" i="7" s="1"/>
  <c r="F66" i="7"/>
  <c r="F67" i="7" s="1"/>
  <c r="G66" i="7"/>
  <c r="G67" i="7" s="1"/>
  <c r="H66" i="7"/>
  <c r="H67" i="7" s="1"/>
  <c r="I66" i="7"/>
  <c r="I67" i="7" s="1"/>
  <c r="B54" i="7"/>
  <c r="B55" i="7" s="1"/>
  <c r="D72" i="7"/>
  <c r="D73" i="7" s="1"/>
  <c r="J72" i="7"/>
  <c r="J73" i="7" s="1"/>
  <c r="L72" i="7"/>
  <c r="L73" i="7" s="1"/>
  <c r="F96" i="7"/>
  <c r="F97" i="7" s="1"/>
  <c r="G96" i="7"/>
  <c r="G97" i="7" s="1"/>
  <c r="H96" i="7"/>
  <c r="H97" i="7" s="1"/>
  <c r="J96" i="7"/>
  <c r="J97" i="7" s="1"/>
  <c r="M96" i="7"/>
  <c r="M97" i="7" s="1"/>
  <c r="E90" i="7"/>
  <c r="E91" i="7" s="1"/>
  <c r="F90" i="7"/>
  <c r="F91" i="7" s="1"/>
  <c r="G90" i="7"/>
  <c r="G91" i="7" s="1"/>
  <c r="I90" i="7"/>
  <c r="I91" i="7" s="1"/>
  <c r="K90" i="7"/>
  <c r="K91" i="7" s="1"/>
  <c r="M90" i="7"/>
  <c r="M91" i="7" s="1"/>
  <c r="J66" i="7"/>
  <c r="J67" i="7" s="1"/>
  <c r="K66" i="7"/>
  <c r="K67" i="7" s="1"/>
  <c r="L66" i="7"/>
  <c r="L67" i="7" s="1"/>
  <c r="M66" i="7"/>
  <c r="M67" i="7" s="1"/>
  <c r="B66" i="7"/>
  <c r="B67" i="7" s="1"/>
  <c r="D90" i="7"/>
  <c r="D91" i="7" s="1"/>
  <c r="H90" i="7"/>
  <c r="H91" i="7" s="1"/>
  <c r="J90" i="7"/>
  <c r="J91" i="7" s="1"/>
  <c r="L90" i="7"/>
  <c r="L91" i="7" s="1"/>
  <c r="B96" i="7"/>
  <c r="B97" i="7" s="1"/>
  <c r="B72" i="7"/>
  <c r="B73" i="7" s="1"/>
  <c r="E84" i="7"/>
  <c r="E85" i="7" s="1"/>
  <c r="L96" i="7"/>
  <c r="L97" i="7" s="1"/>
  <c r="I96" i="7"/>
  <c r="I97" i="7" s="1"/>
  <c r="K96" i="7"/>
  <c r="K97" i="7" s="1"/>
  <c r="M78" i="7"/>
  <c r="M79" i="7" s="1"/>
  <c r="L78" i="7"/>
  <c r="L79" i="7" s="1"/>
  <c r="K78" i="7"/>
  <c r="K79" i="7" s="1"/>
  <c r="J78" i="7"/>
  <c r="J79" i="7" s="1"/>
  <c r="I78" i="7"/>
  <c r="I79" i="7" s="1"/>
  <c r="H78" i="7"/>
  <c r="H79" i="7" s="1"/>
  <c r="G78" i="7"/>
  <c r="G79" i="7" s="1"/>
  <c r="F78" i="7"/>
  <c r="F79" i="7" s="1"/>
  <c r="E78" i="7"/>
  <c r="E79" i="7" s="1"/>
  <c r="D78" i="7"/>
  <c r="D79" i="7" s="1"/>
  <c r="M60" i="7"/>
  <c r="M61" i="7" s="1"/>
  <c r="D54" i="7"/>
  <c r="D55" i="7" s="1"/>
  <c r="D60" i="7"/>
  <c r="D61" i="7" s="1"/>
  <c r="B60" i="7"/>
  <c r="B61" i="7" s="1"/>
  <c r="D36" i="9"/>
  <c r="C36" i="9"/>
  <c r="B36" i="8"/>
  <c r="D36" i="8"/>
  <c r="M36" i="8"/>
  <c r="L36" i="8"/>
  <c r="K36" i="8"/>
  <c r="J36" i="8"/>
  <c r="H36" i="8"/>
  <c r="G36" i="8"/>
  <c r="F36" i="8"/>
  <c r="E36" i="8"/>
  <c r="C36" i="8"/>
  <c r="I36" i="8"/>
  <c r="M35" i="1"/>
  <c r="L35" i="1"/>
  <c r="K35" i="1"/>
  <c r="J35" i="1"/>
  <c r="I35" i="1"/>
  <c r="H35" i="1"/>
  <c r="G35" i="1"/>
  <c r="F35" i="1"/>
  <c r="E35" i="1"/>
  <c r="D35" i="1"/>
  <c r="C35" i="1"/>
  <c r="B35" i="1"/>
  <c r="M34" i="1"/>
  <c r="L34" i="1"/>
  <c r="K34" i="1"/>
  <c r="J34" i="1"/>
  <c r="I34" i="1"/>
  <c r="H34" i="1"/>
  <c r="G34" i="1"/>
  <c r="F34" i="1"/>
  <c r="E34" i="1"/>
  <c r="D34" i="1"/>
  <c r="C34" i="1"/>
  <c r="B34" i="1"/>
  <c r="M33" i="1"/>
  <c r="L33" i="1"/>
  <c r="K33" i="1"/>
  <c r="J33" i="1"/>
  <c r="I33" i="1"/>
  <c r="H33" i="1"/>
  <c r="G33" i="1"/>
  <c r="F33" i="1"/>
  <c r="E33" i="1"/>
  <c r="D33" i="1"/>
  <c r="C33" i="1"/>
  <c r="B33" i="1"/>
  <c r="M32" i="1"/>
  <c r="L32" i="1"/>
  <c r="K32" i="1"/>
  <c r="J32" i="1"/>
  <c r="I32" i="1"/>
  <c r="H32" i="1"/>
  <c r="G32" i="1"/>
  <c r="F32" i="1"/>
  <c r="E32" i="1"/>
  <c r="D32" i="1"/>
  <c r="C32" i="1"/>
  <c r="B32" i="1"/>
  <c r="M31" i="1"/>
  <c r="L31" i="1"/>
  <c r="K31" i="1"/>
  <c r="J31" i="1"/>
  <c r="I31" i="1"/>
  <c r="H31" i="1"/>
  <c r="G31" i="1"/>
  <c r="F31" i="1"/>
  <c r="E31" i="1"/>
  <c r="D31" i="1"/>
  <c r="C31" i="1"/>
  <c r="B31" i="1"/>
  <c r="M30" i="1"/>
  <c r="L30" i="1"/>
  <c r="K30" i="1"/>
  <c r="J30" i="1"/>
  <c r="I30" i="1"/>
  <c r="H30" i="1"/>
  <c r="G30" i="1"/>
  <c r="F30" i="1"/>
  <c r="E30" i="1"/>
  <c r="D30" i="1"/>
  <c r="C30" i="1"/>
  <c r="B30" i="1"/>
  <c r="M29" i="1"/>
  <c r="L29" i="1"/>
  <c r="K29" i="1"/>
  <c r="J29" i="1"/>
  <c r="I29" i="1"/>
  <c r="H29" i="1"/>
  <c r="G29" i="1"/>
  <c r="F29" i="1"/>
  <c r="E29" i="1"/>
  <c r="D29" i="1"/>
  <c r="C29" i="1"/>
  <c r="B29" i="1"/>
  <c r="M28" i="1"/>
  <c r="L28" i="1"/>
  <c r="K28" i="1"/>
  <c r="J28" i="1"/>
  <c r="I28" i="1"/>
  <c r="H28" i="1"/>
  <c r="G28" i="1"/>
  <c r="F28" i="1"/>
  <c r="E28" i="1"/>
  <c r="D28" i="1"/>
  <c r="C28" i="1"/>
  <c r="B28" i="1"/>
  <c r="M27" i="1"/>
  <c r="L27" i="1"/>
  <c r="K27" i="1"/>
  <c r="J27" i="1"/>
  <c r="I27" i="1"/>
  <c r="H27" i="1"/>
  <c r="G27" i="1"/>
  <c r="F27" i="1"/>
  <c r="E27" i="1"/>
  <c r="D27" i="1"/>
  <c r="C27" i="1"/>
  <c r="B27" i="1"/>
  <c r="M26" i="1"/>
  <c r="L26" i="1"/>
  <c r="K26" i="1"/>
  <c r="J26" i="1"/>
  <c r="I26" i="1"/>
  <c r="H26" i="1"/>
  <c r="G26" i="1"/>
  <c r="F26" i="1"/>
  <c r="E26" i="1"/>
  <c r="D26" i="1"/>
  <c r="C26" i="1"/>
  <c r="B26" i="1"/>
  <c r="M25" i="1"/>
  <c r="L25" i="1"/>
  <c r="K25" i="1"/>
  <c r="J25" i="1"/>
  <c r="I25" i="1"/>
  <c r="H25" i="1"/>
  <c r="G25" i="1"/>
  <c r="F25" i="1"/>
  <c r="E25" i="1"/>
  <c r="D25" i="1"/>
  <c r="C25" i="1"/>
  <c r="B25" i="1"/>
  <c r="M24" i="1"/>
  <c r="L24" i="1"/>
  <c r="K24" i="1"/>
  <c r="J24" i="1"/>
  <c r="I24" i="1"/>
  <c r="H24" i="1"/>
  <c r="G24" i="1"/>
  <c r="F24" i="1"/>
  <c r="E24" i="1"/>
  <c r="D24" i="1"/>
  <c r="C24" i="1"/>
  <c r="B24" i="1"/>
  <c r="M23" i="1"/>
  <c r="L23" i="1"/>
  <c r="K23" i="1"/>
  <c r="J23" i="1"/>
  <c r="I23" i="1"/>
  <c r="H23" i="1"/>
  <c r="G23" i="1"/>
  <c r="F23" i="1"/>
  <c r="E23" i="1"/>
  <c r="D23" i="1"/>
  <c r="C23" i="1"/>
  <c r="B23" i="1"/>
  <c r="M22" i="1"/>
  <c r="M36" i="1" s="1"/>
  <c r="L22" i="1"/>
  <c r="L36" i="1" s="1"/>
  <c r="K22" i="1"/>
  <c r="K36" i="1" s="1"/>
  <c r="J22" i="1"/>
  <c r="J36" i="1" s="1"/>
  <c r="I22" i="1"/>
  <c r="I36" i="1" s="1"/>
  <c r="H22" i="1"/>
  <c r="H36" i="1" s="1"/>
  <c r="G22" i="1"/>
  <c r="G36" i="1" s="1"/>
  <c r="F22" i="1"/>
  <c r="E22" i="1"/>
  <c r="D22" i="1"/>
  <c r="C22" i="1"/>
  <c r="B22" i="1"/>
  <c r="M18" i="1"/>
  <c r="M34" i="7" s="1"/>
  <c r="M17" i="16" s="1"/>
  <c r="L18" i="1"/>
  <c r="L34" i="7" s="1"/>
  <c r="L17" i="16" s="1"/>
  <c r="K18" i="1"/>
  <c r="K34" i="7" s="1"/>
  <c r="K17" i="16" s="1"/>
  <c r="J18" i="1"/>
  <c r="J34" i="7" s="1"/>
  <c r="J17" i="16" s="1"/>
  <c r="I18" i="1"/>
  <c r="I34" i="7" s="1"/>
  <c r="I17" i="16" s="1"/>
  <c r="H18" i="1"/>
  <c r="H34" i="7" s="1"/>
  <c r="H17" i="16" s="1"/>
  <c r="G18" i="1"/>
  <c r="G34" i="7" s="1"/>
  <c r="G17" i="16" s="1"/>
  <c r="F18" i="1"/>
  <c r="F34" i="7" s="1"/>
  <c r="E18" i="1"/>
  <c r="E34" i="7" s="1"/>
  <c r="D18" i="1"/>
  <c r="D34" i="7" s="1"/>
  <c r="D17" i="16" s="1"/>
  <c r="C18" i="1"/>
  <c r="C34" i="7" s="1"/>
  <c r="C17" i="16" s="1"/>
  <c r="B18" i="1"/>
  <c r="B34" i="7" s="1"/>
  <c r="C16" i="18" l="1"/>
  <c r="E16" i="18" s="1"/>
  <c r="N17" i="16"/>
  <c r="B17" i="16"/>
  <c r="Q21" i="16"/>
  <c r="P21" i="16"/>
  <c r="Q27" i="16"/>
  <c r="P27" i="16"/>
  <c r="Q20" i="16"/>
  <c r="P20" i="16"/>
  <c r="Q25" i="16"/>
  <c r="P25" i="16"/>
  <c r="F24" i="18"/>
  <c r="G24" i="18" s="1"/>
  <c r="H24" i="18" s="1"/>
  <c r="K24" i="18" s="1"/>
  <c r="B192" i="16"/>
  <c r="B193" i="16"/>
  <c r="D126" i="16"/>
  <c r="D138" i="16"/>
  <c r="D150" i="16"/>
  <c r="D162" i="16"/>
  <c r="D174" i="16"/>
  <c r="D186" i="16"/>
  <c r="C191" i="16" s="1"/>
  <c r="C137" i="16"/>
  <c r="C149" i="16"/>
  <c r="C161" i="16"/>
  <c r="C173" i="16"/>
  <c r="C185" i="16"/>
  <c r="B136" i="16"/>
  <c r="B148" i="16"/>
  <c r="B160" i="16"/>
  <c r="B172" i="16"/>
  <c r="B184" i="16"/>
  <c r="D111" i="16"/>
  <c r="C103" i="16"/>
  <c r="C115" i="16"/>
  <c r="B107" i="16"/>
  <c r="B119" i="16"/>
  <c r="D127" i="16"/>
  <c r="D139" i="16"/>
  <c r="D151" i="16"/>
  <c r="D163" i="16"/>
  <c r="D175" i="16"/>
  <c r="C126" i="16"/>
  <c r="C138" i="16"/>
  <c r="C150" i="16"/>
  <c r="C162" i="16"/>
  <c r="C174" i="16"/>
  <c r="C186" i="16"/>
  <c r="B137" i="16"/>
  <c r="B149" i="16"/>
  <c r="B161" i="16"/>
  <c r="B173" i="16"/>
  <c r="B185" i="16"/>
  <c r="D112" i="16"/>
  <c r="C104" i="16"/>
  <c r="C116" i="16"/>
  <c r="B108" i="16"/>
  <c r="B120" i="16"/>
  <c r="D128" i="16"/>
  <c r="D140" i="16"/>
  <c r="D152" i="16"/>
  <c r="D164" i="16"/>
  <c r="D176" i="16"/>
  <c r="C127" i="16"/>
  <c r="C139" i="16"/>
  <c r="C151" i="16"/>
  <c r="C163" i="16"/>
  <c r="C175" i="16"/>
  <c r="B126" i="16"/>
  <c r="B138" i="16"/>
  <c r="B150" i="16"/>
  <c r="B162" i="16"/>
  <c r="B174" i="16"/>
  <c r="B186" i="16"/>
  <c r="B191" i="16" s="1"/>
  <c r="D113" i="16"/>
  <c r="C105" i="16"/>
  <c r="C117" i="16"/>
  <c r="B109" i="16"/>
  <c r="B121" i="16"/>
  <c r="D129" i="16"/>
  <c r="D141" i="16"/>
  <c r="D153" i="16"/>
  <c r="D165" i="16"/>
  <c r="D177" i="16"/>
  <c r="C128" i="16"/>
  <c r="C140" i="16"/>
  <c r="C152" i="16"/>
  <c r="C164" i="16"/>
  <c r="C176" i="16"/>
  <c r="B127" i="16"/>
  <c r="B139" i="16"/>
  <c r="B151" i="16"/>
  <c r="B163" i="16"/>
  <c r="B175" i="16"/>
  <c r="D102" i="16"/>
  <c r="C190" i="16" s="1"/>
  <c r="D114" i="16"/>
  <c r="C106" i="16"/>
  <c r="C118" i="16"/>
  <c r="B110" i="16"/>
  <c r="D130" i="16"/>
  <c r="D142" i="16"/>
  <c r="D154" i="16"/>
  <c r="D166" i="16"/>
  <c r="D178" i="16"/>
  <c r="C129" i="16"/>
  <c r="C141" i="16"/>
  <c r="C153" i="16"/>
  <c r="C165" i="16"/>
  <c r="C177" i="16"/>
  <c r="B128" i="16"/>
  <c r="B140" i="16"/>
  <c r="B152" i="16"/>
  <c r="B164" i="16"/>
  <c r="B176" i="16"/>
  <c r="D103" i="16"/>
  <c r="D115" i="16"/>
  <c r="C107" i="16"/>
  <c r="C119" i="16"/>
  <c r="B111" i="16"/>
  <c r="D131" i="16"/>
  <c r="D143" i="16"/>
  <c r="D155" i="16"/>
  <c r="D167" i="16"/>
  <c r="D179" i="16"/>
  <c r="C130" i="16"/>
  <c r="C142" i="16"/>
  <c r="C154" i="16"/>
  <c r="C166" i="16"/>
  <c r="C178" i="16"/>
  <c r="B129" i="16"/>
  <c r="B141" i="16"/>
  <c r="B153" i="16"/>
  <c r="B165" i="16"/>
  <c r="B177" i="16"/>
  <c r="D104" i="16"/>
  <c r="D116" i="16"/>
  <c r="C108" i="16"/>
  <c r="C120" i="16"/>
  <c r="B112" i="16"/>
  <c r="D132" i="16"/>
  <c r="D144" i="16"/>
  <c r="D156" i="16"/>
  <c r="D168" i="16"/>
  <c r="D180" i="16"/>
  <c r="C131" i="16"/>
  <c r="C143" i="16"/>
  <c r="C155" i="16"/>
  <c r="C167" i="16"/>
  <c r="C179" i="16"/>
  <c r="B130" i="16"/>
  <c r="B142" i="16"/>
  <c r="B154" i="16"/>
  <c r="B166" i="16"/>
  <c r="B178" i="16"/>
  <c r="D105" i="16"/>
  <c r="D117" i="16"/>
  <c r="C109" i="16"/>
  <c r="C121" i="16"/>
  <c r="B113" i="16"/>
  <c r="D133" i="16"/>
  <c r="D145" i="16"/>
  <c r="D157" i="16"/>
  <c r="D169" i="16"/>
  <c r="D181" i="16"/>
  <c r="C132" i="16"/>
  <c r="C144" i="16"/>
  <c r="C156" i="16"/>
  <c r="C168" i="16"/>
  <c r="C180" i="16"/>
  <c r="B131" i="16"/>
  <c r="B143" i="16"/>
  <c r="B155" i="16"/>
  <c r="B167" i="16"/>
  <c r="B179" i="16"/>
  <c r="D106" i="16"/>
  <c r="D118" i="16"/>
  <c r="C110" i="16"/>
  <c r="B102" i="16"/>
  <c r="B190" i="16" s="1"/>
  <c r="B114" i="16"/>
  <c r="D134" i="16"/>
  <c r="D146" i="16"/>
  <c r="D158" i="16"/>
  <c r="D170" i="16"/>
  <c r="D182" i="16"/>
  <c r="C133" i="16"/>
  <c r="C145" i="16"/>
  <c r="C157" i="16"/>
  <c r="C169" i="16"/>
  <c r="C181" i="16"/>
  <c r="B132" i="16"/>
  <c r="B144" i="16"/>
  <c r="B156" i="16"/>
  <c r="B168" i="16"/>
  <c r="B180" i="16"/>
  <c r="D107" i="16"/>
  <c r="D119" i="16"/>
  <c r="C111" i="16"/>
  <c r="B103" i="16"/>
  <c r="B115" i="16"/>
  <c r="D135" i="16"/>
  <c r="D147" i="16"/>
  <c r="D159" i="16"/>
  <c r="D171" i="16"/>
  <c r="D183" i="16"/>
  <c r="C134" i="16"/>
  <c r="C146" i="16"/>
  <c r="C158" i="16"/>
  <c r="C170" i="16"/>
  <c r="C182" i="16"/>
  <c r="B133" i="16"/>
  <c r="B145" i="16"/>
  <c r="B157" i="16"/>
  <c r="B169" i="16"/>
  <c r="B181" i="16"/>
  <c r="D108" i="16"/>
  <c r="D120" i="16"/>
  <c r="C112" i="16"/>
  <c r="B104" i="16"/>
  <c r="B116" i="16"/>
  <c r="D136" i="16"/>
  <c r="C147" i="16"/>
  <c r="B158" i="16"/>
  <c r="B105" i="16"/>
  <c r="C159" i="16"/>
  <c r="B170" i="16"/>
  <c r="B117" i="16"/>
  <c r="D149" i="16"/>
  <c r="C160" i="16"/>
  <c r="B171" i="16"/>
  <c r="B118" i="16"/>
  <c r="D137" i="16"/>
  <c r="C148" i="16"/>
  <c r="B159" i="16"/>
  <c r="B106" i="16"/>
  <c r="D148" i="16"/>
  <c r="D173" i="16"/>
  <c r="D160" i="16"/>
  <c r="C171" i="16"/>
  <c r="B182" i="16"/>
  <c r="D161" i="16"/>
  <c r="C172" i="16"/>
  <c r="B183" i="16"/>
  <c r="D172" i="16"/>
  <c r="C183" i="16"/>
  <c r="D109" i="16"/>
  <c r="C184" i="16"/>
  <c r="D110" i="16"/>
  <c r="D184" i="16"/>
  <c r="B134" i="16"/>
  <c r="D121" i="16"/>
  <c r="D185" i="16"/>
  <c r="B135" i="16"/>
  <c r="C135" i="16"/>
  <c r="C136" i="16"/>
  <c r="B147" i="16"/>
  <c r="C102" i="16"/>
  <c r="C113" i="16"/>
  <c r="C114" i="16"/>
  <c r="B146" i="16"/>
  <c r="Q23" i="16"/>
  <c r="P23" i="16"/>
  <c r="Q24" i="16"/>
  <c r="P24" i="16"/>
  <c r="O17" i="16" a="1"/>
  <c r="O17" i="16" s="1"/>
  <c r="F26" i="18"/>
  <c r="G26" i="18" s="1"/>
  <c r="H26" i="18" s="1"/>
  <c r="K26" i="18" s="1"/>
  <c r="C8" i="16" a="1"/>
  <c r="C8" i="16" s="1"/>
  <c r="P22" i="16"/>
  <c r="Q22" i="16"/>
  <c r="Q26" i="16"/>
  <c r="P26" i="16"/>
  <c r="B16" i="18"/>
  <c r="E17" i="16"/>
  <c r="B8" i="16" a="1"/>
  <c r="B8" i="16" s="1"/>
  <c r="F8" i="16" a="1"/>
  <c r="F8" i="16" s="1"/>
  <c r="F17" i="16"/>
  <c r="K25" i="18"/>
  <c r="J25" i="18"/>
  <c r="L11" i="7"/>
  <c r="L12" i="7" s="1"/>
  <c r="F11" i="7"/>
  <c r="F12" i="7" s="1"/>
  <c r="G11" i="7"/>
  <c r="G12" i="7" s="1"/>
  <c r="C11" i="7"/>
  <c r="C12" i="7" s="1"/>
  <c r="B11" i="7"/>
  <c r="B12" i="7" s="1"/>
  <c r="I11" i="7"/>
  <c r="I12" i="7" s="1"/>
  <c r="H11" i="7"/>
  <c r="H12" i="7" s="1"/>
  <c r="E23" i="18"/>
  <c r="F23" i="18" s="1"/>
  <c r="G23" i="18" s="1"/>
  <c r="H23" i="18" s="1"/>
  <c r="K22" i="18"/>
  <c r="J22" i="18"/>
  <c r="K21" i="18"/>
  <c r="J21" i="18"/>
  <c r="D16" i="18"/>
  <c r="F16" i="18" s="1"/>
  <c r="G16" i="18" s="1"/>
  <c r="H16" i="18" s="1"/>
  <c r="D20" i="18"/>
  <c r="F20" i="18" s="1"/>
  <c r="G20" i="18" s="1"/>
  <c r="H20" i="18" s="1"/>
  <c r="D19" i="18"/>
  <c r="F19" i="18" s="1"/>
  <c r="G19" i="18" s="1"/>
  <c r="H19" i="18" s="1"/>
  <c r="F36" i="1"/>
  <c r="E11" i="7"/>
  <c r="E12" i="7" s="1"/>
  <c r="E36" i="1"/>
  <c r="D11" i="7"/>
  <c r="D12" i="7" s="1"/>
  <c r="M11" i="7"/>
  <c r="M12" i="7" s="1"/>
  <c r="D36" i="1"/>
  <c r="B36" i="1"/>
  <c r="C36" i="1"/>
  <c r="C47" i="7"/>
  <c r="D47" i="7"/>
  <c r="E47" i="7"/>
  <c r="I18" i="18" s="1"/>
  <c r="F47" i="7"/>
  <c r="G47" i="7"/>
  <c r="H47" i="7"/>
  <c r="I47" i="7"/>
  <c r="J47" i="7"/>
  <c r="K47" i="7"/>
  <c r="L47" i="7"/>
  <c r="M47" i="7"/>
  <c r="B47" i="7"/>
  <c r="C41" i="7"/>
  <c r="D41" i="7"/>
  <c r="E41" i="7"/>
  <c r="I17" i="18" s="1"/>
  <c r="F41" i="7"/>
  <c r="G41" i="7"/>
  <c r="H41" i="7"/>
  <c r="I41" i="7"/>
  <c r="J41" i="7"/>
  <c r="K41" i="7"/>
  <c r="L41" i="7"/>
  <c r="M41" i="7"/>
  <c r="B41" i="7"/>
  <c r="F36" i="7"/>
  <c r="F37" i="7" s="1"/>
  <c r="G36" i="7"/>
  <c r="G37" i="7" s="1"/>
  <c r="H36" i="7"/>
  <c r="H37" i="7" s="1"/>
  <c r="I36" i="7"/>
  <c r="I37" i="7" s="1"/>
  <c r="D8" i="16" l="1"/>
  <c r="E8" i="16"/>
  <c r="R19" i="16"/>
  <c r="J26" i="18"/>
  <c r="J24" i="18"/>
  <c r="Q17" i="16"/>
  <c r="P17" i="16"/>
  <c r="R18" i="16"/>
  <c r="J23" i="18"/>
  <c r="K23" i="18"/>
  <c r="K16" i="18"/>
  <c r="J16" i="18"/>
  <c r="K20" i="18"/>
  <c r="J20" i="18"/>
  <c r="K19" i="18"/>
  <c r="J19" i="18"/>
  <c r="M36" i="7"/>
  <c r="M37" i="7" s="1"/>
  <c r="K36" i="7"/>
  <c r="K37" i="7" s="1"/>
  <c r="J36" i="7"/>
  <c r="J37" i="7" s="1"/>
  <c r="L36" i="7"/>
  <c r="L37" i="7" s="1"/>
  <c r="E36" i="7"/>
  <c r="E37" i="7" s="1"/>
  <c r="M35" i="6" l="1"/>
  <c r="L35" i="6"/>
  <c r="K35" i="6"/>
  <c r="J35" i="6"/>
  <c r="I35" i="6"/>
  <c r="H35" i="6"/>
  <c r="G35" i="6"/>
  <c r="F35" i="6"/>
  <c r="E35" i="6"/>
  <c r="D35" i="6"/>
  <c r="C35" i="6"/>
  <c r="B35" i="6"/>
  <c r="M34" i="6"/>
  <c r="L34" i="6"/>
  <c r="K34" i="6"/>
  <c r="J34" i="6"/>
  <c r="I34" i="6"/>
  <c r="H34" i="6"/>
  <c r="G34" i="6"/>
  <c r="F34" i="6"/>
  <c r="E34" i="6"/>
  <c r="D34" i="6"/>
  <c r="C34" i="6"/>
  <c r="B34" i="6"/>
  <c r="M33" i="6"/>
  <c r="L33" i="6"/>
  <c r="K33" i="6"/>
  <c r="J33" i="6"/>
  <c r="I33" i="6"/>
  <c r="H33" i="6"/>
  <c r="G33" i="6"/>
  <c r="F33" i="6"/>
  <c r="E33" i="6"/>
  <c r="D33" i="6"/>
  <c r="C33" i="6"/>
  <c r="B33" i="6"/>
  <c r="M32" i="6"/>
  <c r="L32" i="6"/>
  <c r="K32" i="6"/>
  <c r="J32" i="6"/>
  <c r="I32" i="6"/>
  <c r="H32" i="6"/>
  <c r="G32" i="6"/>
  <c r="F32" i="6"/>
  <c r="E32" i="6"/>
  <c r="D32" i="6"/>
  <c r="C32" i="6"/>
  <c r="B32" i="6"/>
  <c r="M31" i="6"/>
  <c r="L31" i="6"/>
  <c r="K31" i="6"/>
  <c r="J31" i="6"/>
  <c r="I31" i="6"/>
  <c r="H31" i="6"/>
  <c r="G31" i="6"/>
  <c r="F31" i="6"/>
  <c r="E31" i="6"/>
  <c r="D31" i="6"/>
  <c r="C31" i="6"/>
  <c r="B31" i="6"/>
  <c r="M30" i="6"/>
  <c r="L30" i="6"/>
  <c r="K30" i="6"/>
  <c r="J30" i="6"/>
  <c r="I30" i="6"/>
  <c r="H30" i="6"/>
  <c r="G30" i="6"/>
  <c r="F30" i="6"/>
  <c r="E30" i="6"/>
  <c r="D30" i="6"/>
  <c r="C30" i="6"/>
  <c r="B30" i="6"/>
  <c r="M29" i="6"/>
  <c r="L29" i="6"/>
  <c r="K29" i="6"/>
  <c r="J29" i="6"/>
  <c r="I29" i="6"/>
  <c r="H29" i="6"/>
  <c r="G29" i="6"/>
  <c r="F29" i="6"/>
  <c r="E29" i="6"/>
  <c r="D29" i="6"/>
  <c r="C29" i="6"/>
  <c r="B29" i="6"/>
  <c r="M28" i="6"/>
  <c r="L28" i="6"/>
  <c r="K28" i="6"/>
  <c r="J28" i="6"/>
  <c r="I28" i="6"/>
  <c r="H28" i="6"/>
  <c r="G28" i="6"/>
  <c r="F28" i="6"/>
  <c r="E28" i="6"/>
  <c r="D28" i="6"/>
  <c r="C28" i="6"/>
  <c r="B28" i="6"/>
  <c r="M27" i="6"/>
  <c r="L27" i="6"/>
  <c r="K27" i="6"/>
  <c r="J27" i="6"/>
  <c r="I27" i="6"/>
  <c r="H27" i="6"/>
  <c r="G27" i="6"/>
  <c r="F27" i="6"/>
  <c r="E27" i="6"/>
  <c r="D27" i="6"/>
  <c r="C27" i="6"/>
  <c r="B27" i="6"/>
  <c r="M26" i="6"/>
  <c r="L26" i="6"/>
  <c r="K26" i="6"/>
  <c r="J26" i="6"/>
  <c r="I26" i="6"/>
  <c r="H26" i="6"/>
  <c r="G26" i="6"/>
  <c r="F26" i="6"/>
  <c r="E26" i="6"/>
  <c r="D26" i="6"/>
  <c r="C26" i="6"/>
  <c r="B26" i="6"/>
  <c r="M25" i="6"/>
  <c r="L25" i="6"/>
  <c r="K25" i="6"/>
  <c r="J25" i="6"/>
  <c r="I25" i="6"/>
  <c r="H25" i="6"/>
  <c r="G25" i="6"/>
  <c r="F25" i="6"/>
  <c r="E25" i="6"/>
  <c r="D25" i="6"/>
  <c r="C25" i="6"/>
  <c r="B25" i="6"/>
  <c r="M24" i="6"/>
  <c r="L24" i="6"/>
  <c r="K24" i="6"/>
  <c r="J24" i="6"/>
  <c r="I24" i="6"/>
  <c r="H24" i="6"/>
  <c r="G24" i="6"/>
  <c r="F24" i="6"/>
  <c r="E24" i="6"/>
  <c r="D24" i="6"/>
  <c r="C24" i="6"/>
  <c r="B24" i="6"/>
  <c r="M23" i="6"/>
  <c r="L23" i="6"/>
  <c r="K23" i="6"/>
  <c r="J23" i="6"/>
  <c r="I23" i="6"/>
  <c r="H23" i="6"/>
  <c r="G23" i="6"/>
  <c r="F23" i="6"/>
  <c r="E23" i="6"/>
  <c r="D23" i="6"/>
  <c r="C23" i="6"/>
  <c r="B23" i="6"/>
  <c r="M22" i="6"/>
  <c r="L22" i="6"/>
  <c r="K22" i="6"/>
  <c r="J22" i="6"/>
  <c r="I22" i="6"/>
  <c r="I36" i="6" s="1"/>
  <c r="H22" i="6"/>
  <c r="H36" i="6" s="1"/>
  <c r="G22" i="6"/>
  <c r="G36" i="6" s="1"/>
  <c r="F22" i="6"/>
  <c r="F36" i="6" s="1"/>
  <c r="E22" i="6"/>
  <c r="D22" i="6"/>
  <c r="C22" i="6"/>
  <c r="B22" i="6"/>
  <c r="M18" i="6"/>
  <c r="M46" i="7" s="1"/>
  <c r="L18" i="6"/>
  <c r="L46" i="7" s="1"/>
  <c r="K18" i="6"/>
  <c r="K46" i="7" s="1"/>
  <c r="J18" i="6"/>
  <c r="J46" i="7" s="1"/>
  <c r="I18" i="6"/>
  <c r="I46" i="7" s="1"/>
  <c r="H18" i="6"/>
  <c r="H46" i="7" s="1"/>
  <c r="G18" i="6"/>
  <c r="G46" i="7" s="1"/>
  <c r="F18" i="6"/>
  <c r="F46" i="7" s="1"/>
  <c r="E18" i="6"/>
  <c r="E46" i="7" s="1"/>
  <c r="E19" i="16" s="1"/>
  <c r="D18" i="6"/>
  <c r="D46" i="7" s="1"/>
  <c r="C18" i="6"/>
  <c r="C46" i="7" s="1"/>
  <c r="B18" i="6"/>
  <c r="B46" i="7" s="1"/>
  <c r="D48" i="7" l="1"/>
  <c r="D49" i="7" s="1"/>
  <c r="D19" i="16"/>
  <c r="F19" i="16"/>
  <c r="F48" i="7"/>
  <c r="F49" i="7" s="1"/>
  <c r="G19" i="16"/>
  <c r="G48" i="7"/>
  <c r="G49" i="7" s="1"/>
  <c r="H19" i="16"/>
  <c r="H48" i="7"/>
  <c r="H49" i="7" s="1"/>
  <c r="B48" i="7"/>
  <c r="B49" i="7" s="1"/>
  <c r="N19" i="16"/>
  <c r="C18" i="18"/>
  <c r="E18" i="18" s="1"/>
  <c r="B19" i="16"/>
  <c r="O19" i="16" a="1"/>
  <c r="O19" i="16" s="1"/>
  <c r="C48" i="7"/>
  <c r="C49" i="7" s="1"/>
  <c r="C19" i="16"/>
  <c r="I19" i="16"/>
  <c r="I48" i="7"/>
  <c r="I49" i="7" s="1"/>
  <c r="J19" i="16"/>
  <c r="J48" i="7"/>
  <c r="J49" i="7" s="1"/>
  <c r="K19" i="16"/>
  <c r="K48" i="7"/>
  <c r="K49" i="7" s="1"/>
  <c r="L19" i="16"/>
  <c r="L48" i="7"/>
  <c r="L49" i="7" s="1"/>
  <c r="M19" i="16"/>
  <c r="M48" i="7"/>
  <c r="M49" i="7" s="1"/>
  <c r="E48" i="7"/>
  <c r="E49" i="7" s="1"/>
  <c r="B18" i="18"/>
  <c r="E36" i="6"/>
  <c r="M36" i="6"/>
  <c r="L36" i="6"/>
  <c r="K36" i="6"/>
  <c r="J36" i="6"/>
  <c r="B36" i="6"/>
  <c r="D36" i="6"/>
  <c r="C36" i="6"/>
  <c r="M35" i="5"/>
  <c r="L35" i="5"/>
  <c r="K35" i="5"/>
  <c r="J35" i="5"/>
  <c r="I35" i="5"/>
  <c r="H35" i="5"/>
  <c r="G35" i="5"/>
  <c r="F35" i="5"/>
  <c r="E35" i="5"/>
  <c r="D35" i="5"/>
  <c r="C35" i="5"/>
  <c r="B35" i="5"/>
  <c r="M34" i="5"/>
  <c r="L34" i="5"/>
  <c r="K34" i="5"/>
  <c r="J34" i="5"/>
  <c r="I34" i="5"/>
  <c r="H34" i="5"/>
  <c r="G34" i="5"/>
  <c r="F34" i="5"/>
  <c r="E34" i="5"/>
  <c r="D34" i="5"/>
  <c r="C34" i="5"/>
  <c r="B34" i="5"/>
  <c r="M33" i="5"/>
  <c r="L33" i="5"/>
  <c r="K33" i="5"/>
  <c r="J33" i="5"/>
  <c r="I33" i="5"/>
  <c r="H33" i="5"/>
  <c r="G33" i="5"/>
  <c r="F33" i="5"/>
  <c r="E33" i="5"/>
  <c r="D33" i="5"/>
  <c r="C33" i="5"/>
  <c r="B33" i="5"/>
  <c r="M32" i="5"/>
  <c r="L32" i="5"/>
  <c r="K32" i="5"/>
  <c r="J32" i="5"/>
  <c r="I32" i="5"/>
  <c r="H32" i="5"/>
  <c r="G32" i="5"/>
  <c r="F32" i="5"/>
  <c r="E32" i="5"/>
  <c r="D32" i="5"/>
  <c r="C32" i="5"/>
  <c r="B32" i="5"/>
  <c r="M31" i="5"/>
  <c r="L31" i="5"/>
  <c r="K31" i="5"/>
  <c r="J31" i="5"/>
  <c r="I31" i="5"/>
  <c r="H31" i="5"/>
  <c r="G31" i="5"/>
  <c r="F31" i="5"/>
  <c r="E31" i="5"/>
  <c r="D31" i="5"/>
  <c r="C31" i="5"/>
  <c r="B31" i="5"/>
  <c r="M30" i="5"/>
  <c r="L30" i="5"/>
  <c r="K30" i="5"/>
  <c r="J30" i="5"/>
  <c r="I30" i="5"/>
  <c r="H30" i="5"/>
  <c r="G30" i="5"/>
  <c r="F30" i="5"/>
  <c r="E30" i="5"/>
  <c r="D30" i="5"/>
  <c r="C30" i="5"/>
  <c r="B30" i="5"/>
  <c r="M29" i="5"/>
  <c r="L29" i="5"/>
  <c r="K29" i="5"/>
  <c r="J29" i="5"/>
  <c r="I29" i="5"/>
  <c r="H29" i="5"/>
  <c r="G29" i="5"/>
  <c r="F29" i="5"/>
  <c r="E29" i="5"/>
  <c r="D29" i="5"/>
  <c r="C29" i="5"/>
  <c r="B29" i="5"/>
  <c r="M28" i="5"/>
  <c r="L28" i="5"/>
  <c r="K28" i="5"/>
  <c r="J28" i="5"/>
  <c r="I28" i="5"/>
  <c r="H28" i="5"/>
  <c r="G28" i="5"/>
  <c r="F28" i="5"/>
  <c r="E28" i="5"/>
  <c r="D28" i="5"/>
  <c r="C28" i="5"/>
  <c r="B28" i="5"/>
  <c r="M27" i="5"/>
  <c r="L27" i="5"/>
  <c r="K27" i="5"/>
  <c r="J27" i="5"/>
  <c r="I27" i="5"/>
  <c r="H27" i="5"/>
  <c r="G27" i="5"/>
  <c r="F27" i="5"/>
  <c r="E27" i="5"/>
  <c r="D27" i="5"/>
  <c r="C27" i="5"/>
  <c r="B27" i="5"/>
  <c r="M26" i="5"/>
  <c r="L26" i="5"/>
  <c r="K26" i="5"/>
  <c r="J26" i="5"/>
  <c r="I26" i="5"/>
  <c r="H26" i="5"/>
  <c r="G26" i="5"/>
  <c r="F26" i="5"/>
  <c r="E26" i="5"/>
  <c r="D26" i="5"/>
  <c r="C26" i="5"/>
  <c r="B26" i="5"/>
  <c r="M25" i="5"/>
  <c r="L25" i="5"/>
  <c r="K25" i="5"/>
  <c r="J25" i="5"/>
  <c r="I25" i="5"/>
  <c r="H25" i="5"/>
  <c r="G25" i="5"/>
  <c r="F25" i="5"/>
  <c r="E25" i="5"/>
  <c r="D25" i="5"/>
  <c r="C25" i="5"/>
  <c r="B25" i="5"/>
  <c r="M24" i="5"/>
  <c r="L24" i="5"/>
  <c r="K24" i="5"/>
  <c r="J24" i="5"/>
  <c r="I24" i="5"/>
  <c r="H24" i="5"/>
  <c r="G24" i="5"/>
  <c r="F24" i="5"/>
  <c r="E24" i="5"/>
  <c r="D24" i="5"/>
  <c r="C24" i="5"/>
  <c r="B24" i="5"/>
  <c r="M23" i="5"/>
  <c r="L23" i="5"/>
  <c r="K23" i="5"/>
  <c r="J23" i="5"/>
  <c r="I23" i="5"/>
  <c r="H23" i="5"/>
  <c r="G23" i="5"/>
  <c r="F23" i="5"/>
  <c r="E23" i="5"/>
  <c r="D23" i="5"/>
  <c r="C23" i="5"/>
  <c r="B23" i="5"/>
  <c r="M22" i="5"/>
  <c r="L22" i="5"/>
  <c r="K22" i="5"/>
  <c r="K36" i="5" s="1"/>
  <c r="J22" i="5"/>
  <c r="J36" i="5" s="1"/>
  <c r="I22" i="5"/>
  <c r="I36" i="5" s="1"/>
  <c r="H22" i="5"/>
  <c r="G22" i="5"/>
  <c r="G36" i="5" s="1"/>
  <c r="F22" i="5"/>
  <c r="F36" i="5" s="1"/>
  <c r="E22" i="5"/>
  <c r="D22" i="5"/>
  <c r="C22" i="5"/>
  <c r="B22" i="5"/>
  <c r="M18" i="5"/>
  <c r="M40" i="7" s="1"/>
  <c r="L18" i="5"/>
  <c r="L40" i="7" s="1"/>
  <c r="K18" i="5"/>
  <c r="K40" i="7" s="1"/>
  <c r="J18" i="5"/>
  <c r="J40" i="7" s="1"/>
  <c r="I18" i="5"/>
  <c r="I40" i="7" s="1"/>
  <c r="H18" i="5"/>
  <c r="H40" i="7" s="1"/>
  <c r="G18" i="5"/>
  <c r="G40" i="7" s="1"/>
  <c r="F18" i="5"/>
  <c r="F40" i="7" s="1"/>
  <c r="E18" i="5"/>
  <c r="E40" i="7" s="1"/>
  <c r="E18" i="16" s="1"/>
  <c r="D18" i="5"/>
  <c r="D40" i="7" s="1"/>
  <c r="C18" i="5"/>
  <c r="C40" i="7" s="1"/>
  <c r="B18" i="5"/>
  <c r="M18" i="16" l="1"/>
  <c r="M42" i="7"/>
  <c r="M43" i="7" s="1"/>
  <c r="C42" i="7"/>
  <c r="C43" i="7" s="1"/>
  <c r="C18" i="16"/>
  <c r="D42" i="7"/>
  <c r="D43" i="7" s="1"/>
  <c r="D18" i="16"/>
  <c r="F18" i="16"/>
  <c r="F42" i="7"/>
  <c r="F43" i="7" s="1"/>
  <c r="I18" i="16"/>
  <c r="I42" i="7"/>
  <c r="I43" i="7" s="1"/>
  <c r="K18" i="16"/>
  <c r="K42" i="7"/>
  <c r="K43" i="7" s="1"/>
  <c r="P19" i="16"/>
  <c r="Q19" i="16"/>
  <c r="G18" i="16"/>
  <c r="G42" i="7"/>
  <c r="G43" i="7" s="1"/>
  <c r="H18" i="16"/>
  <c r="H42" i="7"/>
  <c r="H43" i="7" s="1"/>
  <c r="J18" i="16"/>
  <c r="J42" i="7"/>
  <c r="J43" i="7" s="1"/>
  <c r="L18" i="16"/>
  <c r="L42" i="7"/>
  <c r="L43" i="7" s="1"/>
  <c r="D18" i="18"/>
  <c r="F18" i="18" s="1"/>
  <c r="G18" i="18" s="1"/>
  <c r="H18" i="18" s="1"/>
  <c r="E42" i="7"/>
  <c r="E43" i="7" s="1"/>
  <c r="B17" i="18"/>
  <c r="E36" i="5"/>
  <c r="D36" i="5"/>
  <c r="B36" i="5"/>
  <c r="B40" i="7"/>
  <c r="H36" i="5"/>
  <c r="M36" i="5"/>
  <c r="L36" i="5"/>
  <c r="C36" i="5"/>
  <c r="M35" i="4"/>
  <c r="L35" i="4"/>
  <c r="K35" i="4"/>
  <c r="J35" i="4"/>
  <c r="I35" i="4"/>
  <c r="H35" i="4"/>
  <c r="G35" i="4"/>
  <c r="F35" i="4"/>
  <c r="E35" i="4"/>
  <c r="D35" i="4"/>
  <c r="C35" i="4"/>
  <c r="B35" i="4"/>
  <c r="M34" i="4"/>
  <c r="L34" i="4"/>
  <c r="K34" i="4"/>
  <c r="J34" i="4"/>
  <c r="I34" i="4"/>
  <c r="H34" i="4"/>
  <c r="G34" i="4"/>
  <c r="F34" i="4"/>
  <c r="E34" i="4"/>
  <c r="D34" i="4"/>
  <c r="C34" i="4"/>
  <c r="B34" i="4"/>
  <c r="M33" i="4"/>
  <c r="L33" i="4"/>
  <c r="K33" i="4"/>
  <c r="J33" i="4"/>
  <c r="I33" i="4"/>
  <c r="H33" i="4"/>
  <c r="G33" i="4"/>
  <c r="F33" i="4"/>
  <c r="E33" i="4"/>
  <c r="D33" i="4"/>
  <c r="C33" i="4"/>
  <c r="B33" i="4"/>
  <c r="M32" i="4"/>
  <c r="L32" i="4"/>
  <c r="K32" i="4"/>
  <c r="J32" i="4"/>
  <c r="I32" i="4"/>
  <c r="H32" i="4"/>
  <c r="G32" i="4"/>
  <c r="F32" i="4"/>
  <c r="E32" i="4"/>
  <c r="D32" i="4"/>
  <c r="C32" i="4"/>
  <c r="B32" i="4"/>
  <c r="M31" i="4"/>
  <c r="L31" i="4"/>
  <c r="K31" i="4"/>
  <c r="J31" i="4"/>
  <c r="I31" i="4"/>
  <c r="H31" i="4"/>
  <c r="G31" i="4"/>
  <c r="F31" i="4"/>
  <c r="E31" i="4"/>
  <c r="D31" i="4"/>
  <c r="C31" i="4"/>
  <c r="B31" i="4"/>
  <c r="M30" i="4"/>
  <c r="L30" i="4"/>
  <c r="K30" i="4"/>
  <c r="J30" i="4"/>
  <c r="I30" i="4"/>
  <c r="H30" i="4"/>
  <c r="G30" i="4"/>
  <c r="F30" i="4"/>
  <c r="E30" i="4"/>
  <c r="D30" i="4"/>
  <c r="C30" i="4"/>
  <c r="B30" i="4"/>
  <c r="M29" i="4"/>
  <c r="L29" i="4"/>
  <c r="K29" i="4"/>
  <c r="J29" i="4"/>
  <c r="I29" i="4"/>
  <c r="H29" i="4"/>
  <c r="G29" i="4"/>
  <c r="F29" i="4"/>
  <c r="E29" i="4"/>
  <c r="D29" i="4"/>
  <c r="C29" i="4"/>
  <c r="B29" i="4"/>
  <c r="M28" i="4"/>
  <c r="L28" i="4"/>
  <c r="K28" i="4"/>
  <c r="J28" i="4"/>
  <c r="I28" i="4"/>
  <c r="H28" i="4"/>
  <c r="G28" i="4"/>
  <c r="F28" i="4"/>
  <c r="E28" i="4"/>
  <c r="D28" i="4"/>
  <c r="C28" i="4"/>
  <c r="B28" i="4"/>
  <c r="M27" i="4"/>
  <c r="L27" i="4"/>
  <c r="K27" i="4"/>
  <c r="J27" i="4"/>
  <c r="I27" i="4"/>
  <c r="H27" i="4"/>
  <c r="G27" i="4"/>
  <c r="F27" i="4"/>
  <c r="E27" i="4"/>
  <c r="D27" i="4"/>
  <c r="C27" i="4"/>
  <c r="B27" i="4"/>
  <c r="M26" i="4"/>
  <c r="L26" i="4"/>
  <c r="K26" i="4"/>
  <c r="J26" i="4"/>
  <c r="I26" i="4"/>
  <c r="H26" i="4"/>
  <c r="G26" i="4"/>
  <c r="F26" i="4"/>
  <c r="E26" i="4"/>
  <c r="D26" i="4"/>
  <c r="C26" i="4"/>
  <c r="B26" i="4"/>
  <c r="M25" i="4"/>
  <c r="L25" i="4"/>
  <c r="K25" i="4"/>
  <c r="J25" i="4"/>
  <c r="I25" i="4"/>
  <c r="H25" i="4"/>
  <c r="G25" i="4"/>
  <c r="F25" i="4"/>
  <c r="E25" i="4"/>
  <c r="D25" i="4"/>
  <c r="C25" i="4"/>
  <c r="B25" i="4"/>
  <c r="M24" i="4"/>
  <c r="L24" i="4"/>
  <c r="K24" i="4"/>
  <c r="J24" i="4"/>
  <c r="I24" i="4"/>
  <c r="H24" i="4"/>
  <c r="G24" i="4"/>
  <c r="F24" i="4"/>
  <c r="E24" i="4"/>
  <c r="D24" i="4"/>
  <c r="C24" i="4"/>
  <c r="B24" i="4"/>
  <c r="M23" i="4"/>
  <c r="L23" i="4"/>
  <c r="K23" i="4"/>
  <c r="J23" i="4"/>
  <c r="I23" i="4"/>
  <c r="H23" i="4"/>
  <c r="G23" i="4"/>
  <c r="F23" i="4"/>
  <c r="E23" i="4"/>
  <c r="D23" i="4"/>
  <c r="C23" i="4"/>
  <c r="B23" i="4"/>
  <c r="M22" i="4"/>
  <c r="L22" i="4"/>
  <c r="L36" i="4" s="1"/>
  <c r="K22" i="4"/>
  <c r="K36" i="4" s="1"/>
  <c r="J22" i="4"/>
  <c r="J36" i="4" s="1"/>
  <c r="I22" i="4"/>
  <c r="H22" i="4"/>
  <c r="G22" i="4"/>
  <c r="G36" i="4" s="1"/>
  <c r="F22" i="4"/>
  <c r="E22" i="4"/>
  <c r="D22" i="4"/>
  <c r="C22" i="4"/>
  <c r="B22" i="4"/>
  <c r="M18" i="4"/>
  <c r="M16" i="7" s="1"/>
  <c r="L18" i="4"/>
  <c r="L16" i="7" s="1"/>
  <c r="K18" i="4"/>
  <c r="K16" i="7" s="1"/>
  <c r="J18" i="4"/>
  <c r="J16" i="7" s="1"/>
  <c r="I18" i="4"/>
  <c r="I16" i="7" s="1"/>
  <c r="H18" i="4"/>
  <c r="H16" i="7" s="1"/>
  <c r="G18" i="4"/>
  <c r="G16" i="7" s="1"/>
  <c r="F18" i="4"/>
  <c r="F16" i="7" s="1"/>
  <c r="E18" i="4"/>
  <c r="E16" i="7" s="1"/>
  <c r="D18" i="4"/>
  <c r="C18" i="4"/>
  <c r="C16" i="7" s="1"/>
  <c r="B18" i="4"/>
  <c r="F36" i="4" l="1"/>
  <c r="M14" i="16"/>
  <c r="M18" i="7"/>
  <c r="M19" i="7" s="1"/>
  <c r="C14" i="16"/>
  <c r="C18" i="7"/>
  <c r="C19" i="7" s="1"/>
  <c r="L14" i="16"/>
  <c r="L18" i="7"/>
  <c r="L19" i="7" s="1"/>
  <c r="M36" i="4"/>
  <c r="G14" i="16"/>
  <c r="G18" i="7"/>
  <c r="G19" i="7" s="1"/>
  <c r="B36" i="7"/>
  <c r="B37" i="7" s="1"/>
  <c r="B16" i="7"/>
  <c r="B13" i="18"/>
  <c r="D13" i="18" s="1"/>
  <c r="E14" i="16"/>
  <c r="F14" i="16"/>
  <c r="F18" i="7"/>
  <c r="F19" i="7" s="1"/>
  <c r="B42" i="7"/>
  <c r="B43" i="7" s="1"/>
  <c r="N18" i="16"/>
  <c r="B18" i="16"/>
  <c r="C17" i="18"/>
  <c r="E17" i="18" s="1"/>
  <c r="O18" i="16" a="1"/>
  <c r="O18" i="16" s="1"/>
  <c r="H14" i="16"/>
  <c r="H18" i="7"/>
  <c r="H19" i="7" s="1"/>
  <c r="H36" i="4"/>
  <c r="I14" i="16"/>
  <c r="I18" i="7"/>
  <c r="I19" i="7" s="1"/>
  <c r="J14" i="16"/>
  <c r="J18" i="7"/>
  <c r="J19" i="7" s="1"/>
  <c r="K14" i="16"/>
  <c r="K18" i="7"/>
  <c r="K19" i="7" s="1"/>
  <c r="K18" i="18"/>
  <c r="J18" i="18"/>
  <c r="D17" i="18"/>
  <c r="E18" i="7"/>
  <c r="E19" i="7" s="1"/>
  <c r="E36" i="4"/>
  <c r="D36" i="7"/>
  <c r="D37" i="7" s="1"/>
  <c r="D16" i="7"/>
  <c r="D14" i="16" s="1"/>
  <c r="D36" i="4"/>
  <c r="B36" i="4"/>
  <c r="I36" i="4"/>
  <c r="C36" i="4"/>
  <c r="C36" i="7"/>
  <c r="C37" i="7" s="1"/>
  <c r="M35" i="3"/>
  <c r="L35" i="3"/>
  <c r="K35" i="3"/>
  <c r="J35" i="3"/>
  <c r="I35" i="3"/>
  <c r="H35" i="3"/>
  <c r="G35" i="3"/>
  <c r="F35" i="3"/>
  <c r="E35" i="3"/>
  <c r="D35" i="3"/>
  <c r="C35" i="3"/>
  <c r="B35" i="3"/>
  <c r="M34" i="3"/>
  <c r="L34" i="3"/>
  <c r="K34" i="3"/>
  <c r="J34" i="3"/>
  <c r="I34" i="3"/>
  <c r="H34" i="3"/>
  <c r="G34" i="3"/>
  <c r="F34" i="3"/>
  <c r="E34" i="3"/>
  <c r="D34" i="3"/>
  <c r="C34" i="3"/>
  <c r="B34" i="3"/>
  <c r="M33" i="3"/>
  <c r="L33" i="3"/>
  <c r="K33" i="3"/>
  <c r="J33" i="3"/>
  <c r="I33" i="3"/>
  <c r="H33" i="3"/>
  <c r="G33" i="3"/>
  <c r="F33" i="3"/>
  <c r="E33" i="3"/>
  <c r="D33" i="3"/>
  <c r="C33" i="3"/>
  <c r="B33" i="3"/>
  <c r="M32" i="3"/>
  <c r="L32" i="3"/>
  <c r="K32" i="3"/>
  <c r="J32" i="3"/>
  <c r="I32" i="3"/>
  <c r="H32" i="3"/>
  <c r="G32" i="3"/>
  <c r="F32" i="3"/>
  <c r="E32" i="3"/>
  <c r="D32" i="3"/>
  <c r="C32" i="3"/>
  <c r="B32" i="3"/>
  <c r="M31" i="3"/>
  <c r="L31" i="3"/>
  <c r="K31" i="3"/>
  <c r="J31" i="3"/>
  <c r="I31" i="3"/>
  <c r="H31" i="3"/>
  <c r="G31" i="3"/>
  <c r="F31" i="3"/>
  <c r="E31" i="3"/>
  <c r="D31" i="3"/>
  <c r="C31" i="3"/>
  <c r="B31" i="3"/>
  <c r="M30" i="3"/>
  <c r="L30" i="3"/>
  <c r="K30" i="3"/>
  <c r="J30" i="3"/>
  <c r="I30" i="3"/>
  <c r="H30" i="3"/>
  <c r="G30" i="3"/>
  <c r="F30" i="3"/>
  <c r="E30" i="3"/>
  <c r="D30" i="3"/>
  <c r="C30" i="3"/>
  <c r="B30" i="3"/>
  <c r="M29" i="3"/>
  <c r="L29" i="3"/>
  <c r="K29" i="3"/>
  <c r="J29" i="3"/>
  <c r="I29" i="3"/>
  <c r="H29" i="3"/>
  <c r="G29" i="3"/>
  <c r="F29" i="3"/>
  <c r="E29" i="3"/>
  <c r="D29" i="3"/>
  <c r="C29" i="3"/>
  <c r="B29" i="3"/>
  <c r="M28" i="3"/>
  <c r="L28" i="3"/>
  <c r="K28" i="3"/>
  <c r="J28" i="3"/>
  <c r="I28" i="3"/>
  <c r="H28" i="3"/>
  <c r="G28" i="3"/>
  <c r="F28" i="3"/>
  <c r="E28" i="3"/>
  <c r="D28" i="3"/>
  <c r="C28" i="3"/>
  <c r="B28" i="3"/>
  <c r="M27" i="3"/>
  <c r="L27" i="3"/>
  <c r="K27" i="3"/>
  <c r="J27" i="3"/>
  <c r="I27" i="3"/>
  <c r="H27" i="3"/>
  <c r="G27" i="3"/>
  <c r="F27" i="3"/>
  <c r="E27" i="3"/>
  <c r="D27" i="3"/>
  <c r="C27" i="3"/>
  <c r="B27" i="3"/>
  <c r="M26" i="3"/>
  <c r="L26" i="3"/>
  <c r="K26" i="3"/>
  <c r="J26" i="3"/>
  <c r="I26" i="3"/>
  <c r="H26" i="3"/>
  <c r="G26" i="3"/>
  <c r="F26" i="3"/>
  <c r="E26" i="3"/>
  <c r="D26" i="3"/>
  <c r="C26" i="3"/>
  <c r="B26" i="3"/>
  <c r="M25" i="3"/>
  <c r="L25" i="3"/>
  <c r="K25" i="3"/>
  <c r="J25" i="3"/>
  <c r="I25" i="3"/>
  <c r="H25" i="3"/>
  <c r="G25" i="3"/>
  <c r="F25" i="3"/>
  <c r="E25" i="3"/>
  <c r="D25" i="3"/>
  <c r="C25" i="3"/>
  <c r="B25" i="3"/>
  <c r="M24" i="3"/>
  <c r="L24" i="3"/>
  <c r="K24" i="3"/>
  <c r="J24" i="3"/>
  <c r="I24" i="3"/>
  <c r="H24" i="3"/>
  <c r="G24" i="3"/>
  <c r="F24" i="3"/>
  <c r="E24" i="3"/>
  <c r="D24" i="3"/>
  <c r="C24" i="3"/>
  <c r="B24" i="3"/>
  <c r="M23" i="3"/>
  <c r="L23" i="3"/>
  <c r="K23" i="3"/>
  <c r="J23" i="3"/>
  <c r="I23" i="3"/>
  <c r="H23" i="3"/>
  <c r="G23" i="3"/>
  <c r="F23" i="3"/>
  <c r="E23" i="3"/>
  <c r="D23" i="3"/>
  <c r="C23" i="3"/>
  <c r="B23" i="3"/>
  <c r="M22" i="3"/>
  <c r="M36" i="3" s="1"/>
  <c r="L22" i="3"/>
  <c r="L36" i="3" s="1"/>
  <c r="K22" i="3"/>
  <c r="K36" i="3" s="1"/>
  <c r="J22" i="3"/>
  <c r="J36" i="3" s="1"/>
  <c r="I22" i="3"/>
  <c r="I36" i="3" s="1"/>
  <c r="H22" i="3"/>
  <c r="H36" i="3" s="1"/>
  <c r="G22" i="3"/>
  <c r="G36" i="3" s="1"/>
  <c r="F22" i="3"/>
  <c r="E22" i="3"/>
  <c r="D22" i="3"/>
  <c r="C22" i="3"/>
  <c r="B22" i="3"/>
  <c r="M18" i="3"/>
  <c r="M28" i="7" s="1"/>
  <c r="L18" i="3"/>
  <c r="L28" i="7" s="1"/>
  <c r="K18" i="3"/>
  <c r="K28" i="7" s="1"/>
  <c r="J18" i="3"/>
  <c r="J28" i="7" s="1"/>
  <c r="I18" i="3"/>
  <c r="I28" i="7" s="1"/>
  <c r="H18" i="3"/>
  <c r="H28" i="7" s="1"/>
  <c r="G18" i="3"/>
  <c r="G28" i="7" s="1"/>
  <c r="F18" i="3"/>
  <c r="F28" i="7" s="1"/>
  <c r="E18" i="3"/>
  <c r="E28" i="7" s="1"/>
  <c r="E16" i="16" s="1"/>
  <c r="D18" i="3"/>
  <c r="D28" i="7" s="1"/>
  <c r="C18" i="3"/>
  <c r="C28" i="7" s="1"/>
  <c r="C16" i="16" s="1"/>
  <c r="B18" i="3"/>
  <c r="B28" i="7" s="1"/>
  <c r="H16" i="16" l="1"/>
  <c r="H30" i="7"/>
  <c r="H31" i="7" s="1"/>
  <c r="K30" i="7"/>
  <c r="K31" i="7" s="1"/>
  <c r="K16" i="16"/>
  <c r="G30" i="7"/>
  <c r="G31" i="7" s="1"/>
  <c r="G16" i="16"/>
  <c r="L30" i="7"/>
  <c r="L31" i="7" s="1"/>
  <c r="L16" i="16"/>
  <c r="F17" i="18"/>
  <c r="G17" i="18" s="1"/>
  <c r="H17" i="18" s="1"/>
  <c r="B30" i="7"/>
  <c r="B31" i="7" s="1"/>
  <c r="B16" i="16"/>
  <c r="C15" i="18"/>
  <c r="E15" i="18" s="1"/>
  <c r="O16" i="16" a="1"/>
  <c r="O16" i="16" s="1"/>
  <c r="N16" i="16"/>
  <c r="B3" i="7"/>
  <c r="N14" i="16"/>
  <c r="B14" i="16"/>
  <c r="C13" i="18"/>
  <c r="O14" i="16" a="1"/>
  <c r="O14" i="16" s="1"/>
  <c r="B18" i="7"/>
  <c r="B19" i="7" s="1"/>
  <c r="P18" i="16"/>
  <c r="Q18" i="16"/>
  <c r="M30" i="7"/>
  <c r="M31" i="7" s="1"/>
  <c r="M16" i="16"/>
  <c r="F30" i="7"/>
  <c r="F31" i="7" s="1"/>
  <c r="F16" i="16"/>
  <c r="I30" i="7"/>
  <c r="I31" i="7" s="1"/>
  <c r="I16" i="16"/>
  <c r="J30" i="7"/>
  <c r="J31" i="7" s="1"/>
  <c r="J16" i="16"/>
  <c r="D30" i="7"/>
  <c r="D31" i="7" s="1"/>
  <c r="D16" i="16"/>
  <c r="K17" i="18"/>
  <c r="J17" i="18"/>
  <c r="E30" i="7"/>
  <c r="E31" i="7" s="1"/>
  <c r="B15" i="18"/>
  <c r="D18" i="7"/>
  <c r="D19" i="7" s="1"/>
  <c r="D36" i="3"/>
  <c r="C36" i="3"/>
  <c r="E36" i="3"/>
  <c r="B36" i="3"/>
  <c r="F36" i="3"/>
  <c r="C30" i="7"/>
  <c r="C31" i="7" s="1"/>
  <c r="M39" i="2"/>
  <c r="M23" i="7" s="1"/>
  <c r="M4" i="7" s="1"/>
  <c r="L39" i="2"/>
  <c r="L23" i="7" s="1"/>
  <c r="L4" i="7" s="1"/>
  <c r="K39" i="2"/>
  <c r="K23" i="7" s="1"/>
  <c r="K4" i="7" s="1"/>
  <c r="J39" i="2"/>
  <c r="J23" i="7" s="1"/>
  <c r="J4" i="7" s="1"/>
  <c r="I39" i="2"/>
  <c r="I23" i="7" s="1"/>
  <c r="I4" i="7" s="1"/>
  <c r="H39" i="2"/>
  <c r="H23" i="7" s="1"/>
  <c r="H4" i="7" s="1"/>
  <c r="G39" i="2"/>
  <c r="G23" i="7" s="1"/>
  <c r="G4" i="7" s="1"/>
  <c r="F39" i="2"/>
  <c r="F23" i="7" s="1"/>
  <c r="F4" i="7" s="1"/>
  <c r="E39" i="2"/>
  <c r="E23" i="7" s="1"/>
  <c r="D39" i="2"/>
  <c r="D23" i="7" s="1"/>
  <c r="D4" i="7" s="1"/>
  <c r="C39" i="2"/>
  <c r="C23" i="7" s="1"/>
  <c r="C4" i="7" s="1"/>
  <c r="B23" i="7"/>
  <c r="M35" i="2"/>
  <c r="L35" i="2"/>
  <c r="K35" i="2"/>
  <c r="J35" i="2"/>
  <c r="I35" i="2"/>
  <c r="H35" i="2"/>
  <c r="G35" i="2"/>
  <c r="F35" i="2"/>
  <c r="E35" i="2"/>
  <c r="D35" i="2"/>
  <c r="C35" i="2"/>
  <c r="B35" i="2"/>
  <c r="M34" i="2"/>
  <c r="L34" i="2"/>
  <c r="K34" i="2"/>
  <c r="J34" i="2"/>
  <c r="I34" i="2"/>
  <c r="H34" i="2"/>
  <c r="G34" i="2"/>
  <c r="F34" i="2"/>
  <c r="E34" i="2"/>
  <c r="D34" i="2"/>
  <c r="C34" i="2"/>
  <c r="B34" i="2"/>
  <c r="M33" i="2"/>
  <c r="L33" i="2"/>
  <c r="K33" i="2"/>
  <c r="J33" i="2"/>
  <c r="I33" i="2"/>
  <c r="H33" i="2"/>
  <c r="G33" i="2"/>
  <c r="F33" i="2"/>
  <c r="E33" i="2"/>
  <c r="D33" i="2"/>
  <c r="C33" i="2"/>
  <c r="B33" i="2"/>
  <c r="M32" i="2"/>
  <c r="L32" i="2"/>
  <c r="K32" i="2"/>
  <c r="J32" i="2"/>
  <c r="I32" i="2"/>
  <c r="H32" i="2"/>
  <c r="G32" i="2"/>
  <c r="F32" i="2"/>
  <c r="E32" i="2"/>
  <c r="D32" i="2"/>
  <c r="C32" i="2"/>
  <c r="B32" i="2"/>
  <c r="M31" i="2"/>
  <c r="L31" i="2"/>
  <c r="K31" i="2"/>
  <c r="J31" i="2"/>
  <c r="I31" i="2"/>
  <c r="H31" i="2"/>
  <c r="G31" i="2"/>
  <c r="F31" i="2"/>
  <c r="E31" i="2"/>
  <c r="D31" i="2"/>
  <c r="C31" i="2"/>
  <c r="B31" i="2"/>
  <c r="M30" i="2"/>
  <c r="L30" i="2"/>
  <c r="K30" i="2"/>
  <c r="J30" i="2"/>
  <c r="I30" i="2"/>
  <c r="H30" i="2"/>
  <c r="G30" i="2"/>
  <c r="F30" i="2"/>
  <c r="D30" i="2"/>
  <c r="C30" i="2"/>
  <c r="B30" i="2"/>
  <c r="M29" i="2"/>
  <c r="L29" i="2"/>
  <c r="K29" i="2"/>
  <c r="J29" i="2"/>
  <c r="I29" i="2"/>
  <c r="H29" i="2"/>
  <c r="G29" i="2"/>
  <c r="F29" i="2"/>
  <c r="E29" i="2"/>
  <c r="D29" i="2"/>
  <c r="C29" i="2"/>
  <c r="B29" i="2"/>
  <c r="M28" i="2"/>
  <c r="L28" i="2"/>
  <c r="K28" i="2"/>
  <c r="J28" i="2"/>
  <c r="I28" i="2"/>
  <c r="H28" i="2"/>
  <c r="G28" i="2"/>
  <c r="F28" i="2"/>
  <c r="E28" i="2"/>
  <c r="D28" i="2"/>
  <c r="C28" i="2"/>
  <c r="B28" i="2"/>
  <c r="M27" i="2"/>
  <c r="L27" i="2"/>
  <c r="K27" i="2"/>
  <c r="J27" i="2"/>
  <c r="I27" i="2"/>
  <c r="H27" i="2"/>
  <c r="G27" i="2"/>
  <c r="F27" i="2"/>
  <c r="E27" i="2"/>
  <c r="D27" i="2"/>
  <c r="C27" i="2"/>
  <c r="B27" i="2"/>
  <c r="M26" i="2"/>
  <c r="L26" i="2"/>
  <c r="K26" i="2"/>
  <c r="J26" i="2"/>
  <c r="I26" i="2"/>
  <c r="H26" i="2"/>
  <c r="G26" i="2"/>
  <c r="F26" i="2"/>
  <c r="E26" i="2"/>
  <c r="D26" i="2"/>
  <c r="C26" i="2"/>
  <c r="B26" i="2"/>
  <c r="M25" i="2"/>
  <c r="L25" i="2"/>
  <c r="K25" i="2"/>
  <c r="J25" i="2"/>
  <c r="I25" i="2"/>
  <c r="H25" i="2"/>
  <c r="G25" i="2"/>
  <c r="F25" i="2"/>
  <c r="E25" i="2"/>
  <c r="D25" i="2"/>
  <c r="C25" i="2"/>
  <c r="B25" i="2"/>
  <c r="M24" i="2"/>
  <c r="L24" i="2"/>
  <c r="K24" i="2"/>
  <c r="J24" i="2"/>
  <c r="I24" i="2"/>
  <c r="H24" i="2"/>
  <c r="G24" i="2"/>
  <c r="F24" i="2"/>
  <c r="E24" i="2"/>
  <c r="D24" i="2"/>
  <c r="C24" i="2"/>
  <c r="B24" i="2"/>
  <c r="M23" i="2"/>
  <c r="L23" i="2"/>
  <c r="K23" i="2"/>
  <c r="J23" i="2"/>
  <c r="I23" i="2"/>
  <c r="H23" i="2"/>
  <c r="G23" i="2"/>
  <c r="F23" i="2"/>
  <c r="E23" i="2"/>
  <c r="D23" i="2"/>
  <c r="C23" i="2"/>
  <c r="B23" i="2"/>
  <c r="M22" i="2"/>
  <c r="L22" i="2"/>
  <c r="K22" i="2"/>
  <c r="J22" i="2"/>
  <c r="I22" i="2"/>
  <c r="H22" i="2"/>
  <c r="G22" i="2"/>
  <c r="F22" i="2"/>
  <c r="E22" i="2"/>
  <c r="D22" i="2"/>
  <c r="C22" i="2"/>
  <c r="B22" i="2"/>
  <c r="M18" i="2"/>
  <c r="L18" i="2"/>
  <c r="K18" i="2"/>
  <c r="J18" i="2"/>
  <c r="I18" i="2"/>
  <c r="H18" i="2"/>
  <c r="G18" i="2"/>
  <c r="F18" i="2"/>
  <c r="E18" i="2"/>
  <c r="D18" i="2"/>
  <c r="C18" i="2"/>
  <c r="B18" i="2"/>
  <c r="B22" i="7" s="1"/>
  <c r="Q14" i="16" l="1"/>
  <c r="P14" i="16"/>
  <c r="B15" i="16"/>
  <c r="Q16" i="16"/>
  <c r="P16" i="16"/>
  <c r="B29" i="16"/>
  <c r="I14" i="18"/>
  <c r="I28" i="18" s="1"/>
  <c r="B33" i="18" s="1"/>
  <c r="E4" i="7"/>
  <c r="B5" i="7"/>
  <c r="B6" i="7" s="1"/>
  <c r="H36" i="2"/>
  <c r="E13" i="18"/>
  <c r="F13" i="18" s="1"/>
  <c r="G13" i="18" s="1"/>
  <c r="H13" i="18" s="1"/>
  <c r="R15" i="16"/>
  <c r="R29" i="16" s="1"/>
  <c r="B46" i="16" s="1"/>
  <c r="B4" i="7"/>
  <c r="D15" i="18"/>
  <c r="F15" i="18" s="1"/>
  <c r="G15" i="18" s="1"/>
  <c r="H15" i="18" s="1"/>
  <c r="K13" i="18"/>
  <c r="J13" i="18"/>
  <c r="F36" i="2"/>
  <c r="D36" i="2"/>
  <c r="B24" i="7"/>
  <c r="B25" i="7" s="1"/>
  <c r="J36" i="2"/>
  <c r="B36" i="2"/>
  <c r="M36" i="2"/>
  <c r="L36" i="2"/>
  <c r="K36" i="2"/>
  <c r="I36" i="2"/>
  <c r="G36" i="2"/>
  <c r="E36" i="2"/>
  <c r="M22" i="7"/>
  <c r="L22" i="7"/>
  <c r="K22" i="7"/>
  <c r="J22" i="7"/>
  <c r="I22" i="7"/>
  <c r="H22" i="7"/>
  <c r="G22" i="7"/>
  <c r="F22" i="7"/>
  <c r="E22" i="7"/>
  <c r="D22" i="7"/>
  <c r="C36" i="2"/>
  <c r="C22" i="7"/>
  <c r="C24" i="7" l="1"/>
  <c r="C25" i="7" s="1"/>
  <c r="C15" i="16"/>
  <c r="C29" i="16" s="1"/>
  <c r="C3" i="7"/>
  <c r="I24" i="7"/>
  <c r="I25" i="7" s="1"/>
  <c r="I15" i="16"/>
  <c r="I29" i="16" s="1"/>
  <c r="I3" i="7"/>
  <c r="I5" i="7" s="1"/>
  <c r="I6" i="7" s="1"/>
  <c r="D24" i="7"/>
  <c r="D25" i="7" s="1"/>
  <c r="D15" i="16"/>
  <c r="D29" i="16" s="1"/>
  <c r="D3" i="7"/>
  <c r="D5" i="7" s="1"/>
  <c r="D6" i="7" s="1"/>
  <c r="J24" i="7"/>
  <c r="J25" i="7" s="1"/>
  <c r="J15" i="16"/>
  <c r="J29" i="16" s="1"/>
  <c r="J3" i="7"/>
  <c r="J5" i="7" s="1"/>
  <c r="J6" i="7" s="1"/>
  <c r="O15" i="16" a="1"/>
  <c r="O15" i="16" s="1"/>
  <c r="O29" i="16" s="1"/>
  <c r="K24" i="7"/>
  <c r="K25" i="7" s="1"/>
  <c r="K15" i="16"/>
  <c r="K29" i="16" s="1"/>
  <c r="K3" i="7"/>
  <c r="K5" i="7" s="1"/>
  <c r="K6" i="7" s="1"/>
  <c r="B14" i="18"/>
  <c r="E15" i="16"/>
  <c r="E29" i="16" s="1"/>
  <c r="N15" i="16"/>
  <c r="F24" i="7"/>
  <c r="F25" i="7" s="1"/>
  <c r="F15" i="16"/>
  <c r="F29" i="16" s="1"/>
  <c r="F3" i="7"/>
  <c r="F5" i="7" s="1"/>
  <c r="F6" i="7" s="1"/>
  <c r="L24" i="7"/>
  <c r="L25" i="7" s="1"/>
  <c r="L15" i="16"/>
  <c r="L29" i="16" s="1"/>
  <c r="L3" i="7"/>
  <c r="L5" i="7" s="1"/>
  <c r="L6" i="7" s="1"/>
  <c r="C14" i="18"/>
  <c r="M24" i="7"/>
  <c r="M25" i="7" s="1"/>
  <c r="M15" i="16"/>
  <c r="M29" i="16" s="1"/>
  <c r="M3" i="7"/>
  <c r="M5" i="7" s="1"/>
  <c r="M6" i="7" s="1"/>
  <c r="H24" i="7"/>
  <c r="H25" i="7" s="1"/>
  <c r="H15" i="16"/>
  <c r="H29" i="16" s="1"/>
  <c r="H3" i="7"/>
  <c r="H5" i="7" s="1"/>
  <c r="H6" i="7" s="1"/>
  <c r="G24" i="7"/>
  <c r="G25" i="7" s="1"/>
  <c r="G15" i="16"/>
  <c r="G29" i="16" s="1"/>
  <c r="G3" i="7"/>
  <c r="K15" i="18"/>
  <c r="J15" i="18"/>
  <c r="D14" i="18"/>
  <c r="B28" i="18"/>
  <c r="D28" i="18" s="1"/>
  <c r="E24" i="7"/>
  <c r="E25" i="7" s="1"/>
  <c r="E3" i="7"/>
  <c r="E5" i="7" s="1"/>
  <c r="E6" i="7" s="1"/>
  <c r="C7" i="16" l="1" a="1"/>
  <c r="C7" i="16" s="1"/>
  <c r="Q15" i="16"/>
  <c r="P15" i="16"/>
  <c r="P29" i="16" s="1"/>
  <c r="B45" i="16" s="1"/>
  <c r="A2" i="17" a="1"/>
  <c r="A2" i="17" s="1"/>
  <c r="N29" i="16"/>
  <c r="B2" i="17" a="1"/>
  <c r="B2" i="17" s="1"/>
  <c r="C2" i="17" a="1"/>
  <c r="C2" i="17" s="1"/>
  <c r="A2" i="16" a="1"/>
  <c r="A2" i="16" s="1"/>
  <c r="F7" i="16" a="1"/>
  <c r="F7" i="16" s="1"/>
  <c r="G5" i="7"/>
  <c r="G6" i="7" s="1"/>
  <c r="E14" i="18"/>
  <c r="C28" i="18"/>
  <c r="E28" i="18" s="1"/>
  <c r="F28" i="18" s="1"/>
  <c r="B7" i="16" a="1"/>
  <c r="B7" i="16" s="1"/>
  <c r="C5" i="7"/>
  <c r="C6" i="7" s="1"/>
  <c r="F14" i="18"/>
  <c r="G14" i="18" s="1"/>
  <c r="G28" i="18" s="1"/>
  <c r="H14" i="18"/>
  <c r="Q29" i="16" l="1"/>
  <c r="B47" i="16"/>
  <c r="D7" i="16"/>
  <c r="E7" i="16"/>
  <c r="B40" i="16"/>
  <c r="F2" i="17" a="1"/>
  <c r="F2" i="17" s="1"/>
  <c r="B38" i="16"/>
  <c r="E2" i="17" a="1"/>
  <c r="E2" i="17" s="1"/>
  <c r="B34" i="16"/>
  <c r="B41" i="16"/>
  <c r="C35" i="16"/>
  <c r="B35" i="16"/>
  <c r="C34" i="16"/>
  <c r="B37" i="16"/>
  <c r="K14" i="18"/>
  <c r="J14" i="18"/>
  <c r="H28" i="18"/>
  <c r="J28" i="18" l="1"/>
  <c r="B34" i="18" s="1"/>
  <c r="K28" i="18"/>
  <c r="B35" i="18" s="1"/>
  <c r="B32" i="18"/>
  <c r="B39" i="18"/>
  <c r="B40" i="18"/>
  <c r="B37" i="18"/>
  <c r="B38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<sst xmlns="http://schemas.openxmlformats.org/spreadsheetml/2006/main" count="1784" uniqueCount="243">
  <si>
    <t>Budget</t>
  </si>
  <si>
    <t>Emma</t>
  </si>
  <si>
    <t>ÅRSBUDGET POÄNG 2026 =</t>
  </si>
  <si>
    <t>Uttag poäng datum;</t>
  </si>
  <si>
    <t>Jan</t>
  </si>
  <si>
    <t>Feb</t>
  </si>
  <si>
    <t>Mar</t>
  </si>
  <si>
    <t>Apr</t>
  </si>
  <si>
    <t>Maj</t>
  </si>
  <si>
    <t>Jun</t>
  </si>
  <si>
    <t>Jul</t>
  </si>
  <si>
    <t>Aug</t>
  </si>
  <si>
    <t>Sep</t>
  </si>
  <si>
    <t>Okt</t>
  </si>
  <si>
    <t>Nov</t>
  </si>
  <si>
    <t>Dec</t>
  </si>
  <si>
    <t>Ta ut från Verksamhetsportalen:</t>
  </si>
  <si>
    <t>Actual</t>
  </si>
  <si>
    <t>Diff</t>
  </si>
  <si>
    <t>Poäng ACTUAL</t>
  </si>
  <si>
    <t>Poäng Budget</t>
  </si>
  <si>
    <t>Skillnad</t>
  </si>
  <si>
    <t>% avvik mot Budget</t>
  </si>
  <si>
    <t>Enheterna;</t>
  </si>
  <si>
    <t>Kommentarer;</t>
  </si>
  <si>
    <t>DIFF</t>
  </si>
  <si>
    <t>Frölunda Torget</t>
  </si>
  <si>
    <t>Grimmered</t>
  </si>
  <si>
    <t>Majorna</t>
  </si>
  <si>
    <t>Pedagogen Park</t>
  </si>
  <si>
    <t>Åby</t>
  </si>
  <si>
    <t>Olskroken</t>
  </si>
  <si>
    <t>Avenyn</t>
  </si>
  <si>
    <t>Karlastaden</t>
  </si>
  <si>
    <t>Arvid Lennartsson</t>
  </si>
  <si>
    <t>Charlotte Alderblad</t>
  </si>
  <si>
    <t>Ida Hasselholm</t>
  </si>
  <si>
    <t>Matilda Saukkorripi</t>
  </si>
  <si>
    <t>Lisa T</t>
  </si>
  <si>
    <t>Pontus Berglund</t>
  </si>
  <si>
    <t>Anders Esko</t>
  </si>
  <si>
    <t>Albert Lindström</t>
  </si>
  <si>
    <t>Rana Baratifar</t>
  </si>
  <si>
    <t>Annelie Corell</t>
  </si>
  <si>
    <t>Louise From</t>
  </si>
  <si>
    <t>Simon Lageson</t>
  </si>
  <si>
    <t>Malin</t>
  </si>
  <si>
    <t>Hanna</t>
  </si>
  <si>
    <t>Patricia</t>
  </si>
  <si>
    <t>Caroline</t>
  </si>
  <si>
    <t>Anna-Karin Book</t>
  </si>
  <si>
    <t>Mattias</t>
  </si>
  <si>
    <t>Anna-Karin S</t>
  </si>
  <si>
    <t>Lena</t>
  </si>
  <si>
    <t>Helen/Ny FT</t>
  </si>
  <si>
    <t>Anna Abrahamsson</t>
  </si>
  <si>
    <t>Caroline Lindahl</t>
  </si>
  <si>
    <t>Catarina Engström</t>
  </si>
  <si>
    <t>Lisa Torell</t>
  </si>
  <si>
    <t>Michaela Voeler</t>
  </si>
  <si>
    <t>Lisa Edvardsson</t>
  </si>
  <si>
    <t>Anna-Klara Å</t>
  </si>
  <si>
    <t>Malena</t>
  </si>
  <si>
    <t>Linnea</t>
  </si>
  <si>
    <t>Felix</t>
  </si>
  <si>
    <t>Ersättare Felix</t>
  </si>
  <si>
    <t>Helena</t>
  </si>
  <si>
    <t>Ersättare Linnea</t>
  </si>
  <si>
    <t>Elin M</t>
  </si>
  <si>
    <t>Ersättare Linnea/ Isak</t>
  </si>
  <si>
    <t>Ersättare Felix/ Erik S</t>
  </si>
  <si>
    <t>Elin</t>
  </si>
  <si>
    <t>Nina</t>
  </si>
  <si>
    <t>Emil</t>
  </si>
  <si>
    <t>Rebecka</t>
  </si>
  <si>
    <t>Agnes</t>
  </si>
  <si>
    <t>Johanna</t>
  </si>
  <si>
    <t>Molly FT</t>
  </si>
  <si>
    <t>Fredrik FT</t>
  </si>
  <si>
    <t>AT timanst</t>
  </si>
  <si>
    <t>Helena Ö</t>
  </si>
  <si>
    <t>Emma Lisjö</t>
  </si>
  <si>
    <t>Caroline Möller</t>
  </si>
  <si>
    <t>Patricia Palada</t>
  </si>
  <si>
    <t>Hanna Bovin</t>
  </si>
  <si>
    <t>Malin Svensson</t>
  </si>
  <si>
    <t>Malena Ryberg</t>
  </si>
  <si>
    <t>Felix W</t>
  </si>
  <si>
    <t>Elin Jolsö</t>
  </si>
  <si>
    <t>Linnea Andersson</t>
  </si>
  <si>
    <t>Nina Nexborn</t>
  </si>
  <si>
    <t>Emil Sevestedt</t>
  </si>
  <si>
    <t>Rebecka Svensson</t>
  </si>
  <si>
    <t>Agnes Wykman</t>
  </si>
  <si>
    <t>Noltorp</t>
  </si>
  <si>
    <t>Lilla Edet</t>
  </si>
  <si>
    <t>Stavre</t>
  </si>
  <si>
    <t>Åmål</t>
  </si>
  <si>
    <t>Vikarie ( Charlotta L A)</t>
  </si>
  <si>
    <t>Vikarie ( Åsa H)</t>
  </si>
  <si>
    <t>Ajla Spahic</t>
  </si>
  <si>
    <t>Charlotta West ( ej med i budget)</t>
  </si>
  <si>
    <t>Ny Mikael Lund</t>
  </si>
  <si>
    <t xml:space="preserve"> slutat 20/2 2026</t>
  </si>
  <si>
    <t>Sept-dec 40% (i budget 80)</t>
  </si>
  <si>
    <t>Slutat 3/3 2026</t>
  </si>
  <si>
    <t>Ersätter Ajla 40%</t>
  </si>
  <si>
    <t>Sanna Åstrand</t>
  </si>
  <si>
    <t>Kristina Tjernberg</t>
  </si>
  <si>
    <t>Sanna NE</t>
  </si>
  <si>
    <t>Carolin Sandberg</t>
  </si>
  <si>
    <t>Emelie Axelsson</t>
  </si>
  <si>
    <t>Annie Valio</t>
  </si>
  <si>
    <t>Sara Thorvaldsson</t>
  </si>
  <si>
    <t>David Lycksander</t>
  </si>
  <si>
    <t>Johanna Forslund</t>
  </si>
  <si>
    <t>Emma Hillberg</t>
  </si>
  <si>
    <t>Elias Österberg</t>
  </si>
  <si>
    <t>Linda Wahlström</t>
  </si>
  <si>
    <t>Agnes Weijland Carlsson</t>
  </si>
  <si>
    <t>Åsa Tillmar</t>
  </si>
  <si>
    <t>Camilla Skånberg</t>
  </si>
  <si>
    <t>Emma Holmström</t>
  </si>
  <si>
    <t>Helen Wiefeldt ( ej med i budget)</t>
  </si>
  <si>
    <t>Albin Kolberg</t>
  </si>
  <si>
    <t>AT RLB</t>
  </si>
  <si>
    <t>Rehabassistent CH</t>
  </si>
  <si>
    <t>Ny Fysio?</t>
  </si>
  <si>
    <t>Emma Holmström ( ej budget?)</t>
  </si>
  <si>
    <t>Sanna Bohman ( ej budget?)</t>
  </si>
  <si>
    <t>Jim Glimmersten</t>
  </si>
  <si>
    <t>Ruurd Visser</t>
  </si>
  <si>
    <t>Cecilia Jertborn</t>
  </si>
  <si>
    <t>Johan Moberg</t>
  </si>
  <si>
    <t>Jonathan Lindblad</t>
  </si>
  <si>
    <t>Jeanette Lindblad</t>
  </si>
  <si>
    <t>Cecilia Bremfeldt</t>
  </si>
  <si>
    <t>Therese Eriksson</t>
  </si>
  <si>
    <t>Frida Eriksson Gustafsson</t>
  </si>
  <si>
    <t>Subashee Thangavelu ( ej med i budget)</t>
  </si>
  <si>
    <t>Frida Eriksson</t>
  </si>
  <si>
    <t>Tanum och Fjällbacka</t>
  </si>
  <si>
    <t>Brålanda-Torpa</t>
  </si>
  <si>
    <t>Skillnad poäng (ACT) och poäng (Budget) Stor-GBG</t>
  </si>
  <si>
    <t>Skillnad poäng (ACT) och poäng (Budget) Tätort</t>
  </si>
  <si>
    <t>Elin Magnusson</t>
  </si>
  <si>
    <t>Emilia Jakobsson</t>
  </si>
  <si>
    <t>Helena Ödebrink</t>
  </si>
  <si>
    <t>Fredrik Lindström</t>
  </si>
  <si>
    <t>Molly Lindmark</t>
  </si>
  <si>
    <t>Beata Uggla</t>
  </si>
  <si>
    <t>Thomas Lindblom</t>
  </si>
  <si>
    <t>Emma Andersson</t>
  </si>
  <si>
    <t>Maja Fresk</t>
  </si>
  <si>
    <t>Maria Torstensson</t>
  </si>
  <si>
    <t>Wilma Bogren</t>
  </si>
  <si>
    <t>Jenny Trommer</t>
  </si>
  <si>
    <t>Kikki Lundborg</t>
  </si>
  <si>
    <t>Yasmine Holm</t>
  </si>
  <si>
    <t>David Jansson</t>
  </si>
  <si>
    <t>Anna Lorentzon</t>
  </si>
  <si>
    <t>Sheerin Abedelbari</t>
  </si>
  <si>
    <t>Sabrina Mesic</t>
  </si>
  <si>
    <t>Linda Leinsdroff</t>
  </si>
  <si>
    <t>Mimmi Landelius</t>
  </si>
  <si>
    <t>Sanna Bohman</t>
  </si>
  <si>
    <t>Karin Edler</t>
  </si>
  <si>
    <t>Cecilia Lilja</t>
  </si>
  <si>
    <t>Elisabeth Kaspers</t>
  </si>
  <si>
    <t>Kalle Berner</t>
  </si>
  <si>
    <t>Josefin Samuelsson</t>
  </si>
  <si>
    <t>📊 POÄNGUPPFÖLJNING REHAB 2026 — DASHBOARD</t>
  </si>
  <si>
    <t>Avvikelse</t>
  </si>
  <si>
    <t>Uppfyllnadsgrad</t>
  </si>
  <si>
    <t>TOTALT ALLA ENHETER</t>
  </si>
  <si>
    <t>🏢 DETALJERAD UPPFÖLJNING PER ENHET</t>
  </si>
  <si>
    <t>Enhet</t>
  </si>
  <si>
    <t>Q1 Actual</t>
  </si>
  <si>
    <t>Uppfyllnad %</t>
  </si>
  <si>
    <t>Årsbudget</t>
  </si>
  <si>
    <t>Frölunda Torg</t>
  </si>
  <si>
    <t>Noltrop</t>
  </si>
  <si>
    <t>📈 EKONOMISKA NYCKELTAL (KPI:er)</t>
  </si>
  <si>
    <t>Genomsnittlig uppfyllnadsgrad</t>
  </si>
  <si>
    <t>Median uppfyllnadsgrad</t>
  </si>
  <si>
    <t>av 14</t>
  </si>
  <si>
    <t>Årsbudget totalt</t>
  </si>
  <si>
    <t>Namn</t>
  </si>
  <si>
    <t>Vikarie Charlotta LA</t>
  </si>
  <si>
    <t>Vikarie Åsa H</t>
  </si>
  <si>
    <t>Helen Wiefeldt</t>
  </si>
  <si>
    <t>Charlotta West</t>
  </si>
  <si>
    <t>Gylgjan Z</t>
  </si>
  <si>
    <t>Mikael L</t>
  </si>
  <si>
    <t>Fanny</t>
  </si>
  <si>
    <t>Maja</t>
  </si>
  <si>
    <t>Annica H</t>
  </si>
  <si>
    <t>Mark H</t>
  </si>
  <si>
    <t>Rut-lina B</t>
  </si>
  <si>
    <t>📈 PROGNOS APRIL 2026</t>
  </si>
  <si>
    <t>Baserat på 14 av 20 arbetsdagar registrerade (6 dagar kvar)</t>
  </si>
  <si>
    <t>🎯 ANTAGANDEN</t>
  </si>
  <si>
    <t>Arbetsdagar april totalt</t>
  </si>
  <si>
    <t>Arbetsdagar gjorda</t>
  </si>
  <si>
    <t>Arbetsdagar kvar</t>
  </si>
  <si>
    <t>Arbetsdagar Q1</t>
  </si>
  <si>
    <t>🏢 PROGNOS PER ENHET</t>
  </si>
  <si>
    <t>April hittills</t>
  </si>
  <si>
    <t>Dagstakt april</t>
  </si>
  <si>
    <t>Dagstakt Q1</t>
  </si>
  <si>
    <t>Blandad takt</t>
  </si>
  <si>
    <t>Prognos 6 dagar</t>
  </si>
  <si>
    <t>Prognos april</t>
  </si>
  <si>
    <t>Budget april</t>
  </si>
  <si>
    <t>📊 SAMMANFATTNING</t>
  </si>
  <si>
    <t>Prognos april (totalt)</t>
  </si>
  <si>
    <t>Enheter över budget</t>
  </si>
  <si>
    <t>Enheter under budget</t>
  </si>
  <si>
    <t>Bästa enhet</t>
  </si>
  <si>
    <t>Sämsta enhet</t>
  </si>
  <si>
    <t>Åsa Holmstrand</t>
  </si>
  <si>
    <t>🎯 ÖVERGRIPANDE KPI:ER (YTD 2026)</t>
  </si>
  <si>
    <t>Stor-GBG (8 enheter)</t>
  </si>
  <si>
    <t>Tätort (6 enheter)</t>
  </si>
  <si>
    <t>YTD Actual</t>
  </si>
  <si>
    <t>YTD Budget</t>
  </si>
  <si>
    <t>Senaste mån trend</t>
  </si>
  <si>
    <t>YTD Avvikelse</t>
  </si>
  <si>
    <t>Bästa enhet (YTD uppfyllnad)</t>
  </si>
  <si>
    <t>Sämsta enhet (YTD uppfyllnad)</t>
  </si>
  <si>
    <t>Enheter över budget (YTD)</t>
  </si>
  <si>
    <t>Enheter under budget (YTD)</t>
  </si>
  <si>
    <t>Total YTD avvikelse (poäng)</t>
  </si>
  <si>
    <t>YTD vs Årsbudget</t>
  </si>
  <si>
    <t>YTD</t>
  </si>
  <si>
    <t>👥 ALLA MEDARBETARE — sortering styrs av månadsväljaren</t>
  </si>
  <si>
    <t>📊 DATAKÄLLA — alla medarbetare (uppdateras automatiskt från enhetsflikarna)</t>
  </si>
  <si>
    <t>#</t>
  </si>
  <si>
    <t>Antal medarbetare totalt:</t>
  </si>
  <si>
    <t>Välj månad: →</t>
  </si>
  <si>
    <t>← Klicka och välj månad (Jan–Dec eller YTD)</t>
  </si>
  <si>
    <t>Stor-GBG Enhet</t>
  </si>
  <si>
    <t>Tätort Enhet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</si>
</sst>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-;\-* #,##0_-;_-* &quot;-&quot;??_-;_-@_-"/>
    <numFmt numFmtId="165" formatCode="#,##0;\(#,##0\)"/>
    <numFmt numFmtId="166" formatCode="0.0%"/>
    <numFmt numFmtId="167" formatCode="\+#,##0;\-#,##0;0"/>
    <numFmt numFmtId="168" formatCode="0.0"/>
    <numFmt numFmtId="169" formatCode="#,##0;\(#,##0\);&quot;&quot;;@"/>
    <numFmt numFmtId="170" formatCode="#,##0;\(#,##0\);&quot;-&quot;"/>
  </numFmts>
  <fonts count="50">
    <font>
      <sz val="11"/>
      <name val="Calibri"/>
    </font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b/>
      <sz val="10"/>
      <name val="Aptos Narrow"/>
      <family val="2"/>
    </font>
    <font>
      <sz val="10"/>
      <name val="Aptos Narrow"/>
      <family val="2"/>
    </font>
    <font>
      <b/>
      <i/>
      <sz val="10"/>
      <name val="Aptos Narrow"/>
      <family val="2"/>
    </font>
    <font>
      <sz val="11"/>
      <name val="Calibri"/>
      <family val="2"/>
    </font>
    <font>
      <i/>
      <u val="singleAccounting"/>
      <sz val="11"/>
      <name val="Calibri"/>
      <family val="2"/>
    </font>
    <font>
      <sz val="11"/>
      <name val="Aptos Narrow"/>
    </font>
    <font>
      <b/>
      <sz val="18"/>
      <color rgb="FFFFFFFF"/>
      <name val="Calibri"/>
    </font>
    <font>
      <i/>
      <sz val="10"/>
      <color rgb="FFA0B4C8"/>
      <name val="Calibri"/>
    </font>
    <font>
      <b/>
      <sz val="13"/>
      <color rgb="FF1B3A5C"/>
      <name val="Calibri"/>
    </font>
    <font>
      <b/>
      <sz val="10"/>
      <color rgb="FFFFFFFF"/>
      <name val="Calibri"/>
    </font>
    <font>
      <b/>
      <sz val="10"/>
      <color rgb="FF1B3A5C"/>
      <name val="Calibri"/>
    </font>
    <font>
      <sz val="10"/>
      <color rgb="FF555555"/>
      <name val="Calibri"/>
    </font>
    <font>
      <b/>
      <sz val="14"/>
      <color rgb="FF2E7D32"/>
      <name val="Calibri"/>
    </font>
    <font>
      <b/>
      <sz val="14"/>
      <color rgb="FF1565C0"/>
      <name val="Calibri"/>
    </font>
    <font>
      <b/>
      <sz val="14"/>
      <color rgb="FFC62828"/>
      <name val="Calibri"/>
    </font>
    <font>
      <b/>
      <sz val="14"/>
      <color rgb="FF6A1B9A"/>
      <name val="Calibri"/>
    </font>
    <font>
      <b/>
      <sz val="14"/>
      <color rgb="FFE65100"/>
      <name val="Calibri"/>
    </font>
    <font>
      <b/>
      <sz val="9"/>
      <color rgb="FFFFFFFF"/>
      <name val="Calibri"/>
    </font>
    <font>
      <sz val="10"/>
      <name val="Calibri"/>
    </font>
    <font>
      <b/>
      <sz val="10"/>
      <name val="Calibri"/>
    </font>
    <font>
      <b/>
      <sz val="11"/>
      <name val="Calibri"/>
    </font>
    <font>
      <b/>
      <sz val="11"/>
      <color rgb="FFFFFFFF"/>
      <name val="Calibri"/>
    </font>
    <font>
      <b/>
      <sz val="10"/>
      <color rgb="FF2E7D32"/>
      <name val="Calibri"/>
    </font>
    <font>
      <b/>
      <sz val="12"/>
      <color rgb="FF2E7D32"/>
      <name val="Calibri"/>
    </font>
    <font>
      <b/>
      <sz val="10"/>
      <color rgb="FFC62828"/>
      <name val="Calibri"/>
    </font>
    <font>
      <b/>
      <sz val="12"/>
      <color rgb="FFC62828"/>
      <name val="Calibri"/>
    </font>
    <font>
      <b/>
      <sz val="10"/>
      <color rgb="FF1565C0"/>
      <name val="Calibri"/>
    </font>
    <font>
      <b/>
      <sz val="10"/>
      <color rgb="FFE65100"/>
      <name val="Calibri"/>
    </font>
    <font>
      <b/>
      <sz val="10"/>
      <color rgb="FF37474F"/>
      <name val="Calibri"/>
    </font>
    <font>
      <b/>
      <sz val="16"/>
      <color rgb="FFC62828"/>
      <name val="Calibri"/>
    </font>
    <font>
      <b/>
      <sz val="16"/>
      <color rgb="FF1565C0"/>
      <name val="Calibri"/>
    </font>
    <font>
      <b/>
      <sz val="16"/>
      <color rgb="FF6A1B9A"/>
      <name val="Calibri"/>
    </font>
    <font>
      <b/>
      <sz val="11"/>
      <color rgb="FF2E7D32"/>
      <name val="Calibri"/>
    </font>
    <font>
      <b/>
      <sz val="10"/>
      <color rgb="FF000000"/>
      <name val="Calibri"/>
    </font>
    <font>
      <b/>
      <sz val="11"/>
      <color rgb="FF0000FF"/>
      <name val="Calibri"/>
    </font>
    <font>
      <b/>
      <sz val="16"/>
      <color rgb="FF2E7D32"/>
      <name val="Calibri"/>
    </font>
    <font>
      <b/>
      <sz val="10"/>
      <color rgb="FF6A1B9A"/>
      <name val="Calibri"/>
    </font>
    <font>
      <sz val="11"/>
      <color rgb="FF000000"/>
      <name val="Calibri"/>
    </font>
    <font>
      <sz val="10"/>
      <color rgb="FF37474F"/>
      <name val="Calibri"/>
    </font>
    <font>
      <b/>
      <sz val="11"/>
      <color rgb="FF1B3A5C"/>
      <name val="Calibri"/>
    </font>
    <font>
      <sz val="9"/>
      <color rgb="FF666666"/>
      <name val="Calibri"/>
    </font>
    <font>
      <b/>
      <sz val="12"/>
      <color rgb="FFFFFFFF"/>
      <name val="Calibri"/>
    </font>
    <font>
      <b/>
      <sz val="10"/>
      <color rgb="FF555555"/>
      <name val="Calibri"/>
    </font>
    <font>
      <i/>
      <sz val="10"/>
      <color rgb="FF777777"/>
      <name val="Calibri"/>
    </font>
    <font>
      <b/>
      <sz val="13"/>
      <color rgb="FFFFFFFF"/>
      <name val="Calibri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59D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CCBC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D0D8E0"/>
      </left>
      <right style="thin">
        <color rgb="FFD0D8E0"/>
      </right>
      <top style="thin">
        <color rgb="FFD0D8E0"/>
      </top>
      <bottom style="thin">
        <color rgb="FFD0D8E0"/>
      </bottom>
      <diagonal/>
    </border>
    <border>
      <left style="thin">
        <color rgb="FFD0D8E0"/>
      </left>
      <right style="thin">
        <color rgb="FFD0D8E0"/>
      </right>
      <top style="medium">
        <color rgb="FF1B3A5C"/>
      </top>
      <bottom style="thin">
        <color rgb="FFD0D8E0"/>
      </bottom>
      <diagonal/>
    </border>
    <border>
      <left style="thin">
        <color rgb="FFD0D8E0"/>
      </left>
      <right style="thin">
        <color rgb="FFD0D8E0"/>
      </right>
      <top style="thin">
        <color rgb="FFD0D8E0"/>
      </top>
      <bottom style="medium">
        <color rgb="FF1B3A5C"/>
      </bottom>
      <diagonal/>
    </border>
    <border>
      <left style="medium">
        <color rgb="FF1B3A5C"/>
      </left>
      <right style="thin">
        <color rgb="FFD0D8E0"/>
      </right>
      <top style="medium">
        <color rgb="FF1B3A5C"/>
      </top>
      <bottom style="thin">
        <color rgb="FFD0D8E0"/>
      </bottom>
      <diagonal/>
    </border>
    <border>
      <left style="medium">
        <color rgb="FF1B3A5C"/>
      </left>
      <right style="thin">
        <color rgb="FFD0D8E0"/>
      </right>
      <top style="thin">
        <color rgb="FFD0D8E0"/>
      </top>
      <bottom style="thin">
        <color rgb="FFD0D8E0"/>
      </bottom>
      <diagonal/>
    </border>
    <border>
      <left style="medium">
        <color rgb="FF1B3A5C"/>
      </left>
      <right style="thin">
        <color rgb="FFD0D8E0"/>
      </right>
      <top style="thin">
        <color rgb="FFD0D8E0"/>
      </top>
      <bottom style="medium">
        <color rgb="FF1B3A5C"/>
      </bottom>
      <diagonal/>
    </border>
    <border>
      <left style="thin">
        <color rgb="FFD0D8E0"/>
      </left>
      <right style="medium">
        <color rgb="FF1B3A5C"/>
      </right>
      <top style="medium">
        <color rgb="FF1B3A5C"/>
      </top>
      <bottom style="thin">
        <color rgb="FFD0D8E0"/>
      </bottom>
      <diagonal/>
    </border>
    <border>
      <left style="thin">
        <color rgb="FFD0D8E0"/>
      </left>
      <right style="medium">
        <color rgb="FF1B3A5C"/>
      </right>
      <top style="thin">
        <color rgb="FFD0D8E0"/>
      </top>
      <bottom style="thin">
        <color rgb="FFD0D8E0"/>
      </bottom>
      <diagonal/>
    </border>
    <border>
      <left style="thin">
        <color rgb="FFD0D8E0"/>
      </left>
      <right style="medium">
        <color rgb="FF1B3A5C"/>
      </right>
      <top style="thin">
        <color rgb="FFD0D8E0"/>
      </top>
      <bottom style="medium">
        <color rgb="FF1B3A5C"/>
      </bottom>
      <diagonal/>
    </border>
    <border>
      <left/>
      <right/>
      <top/>
      <bottom style="medium">
        <color rgb="FF1B3A5C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</cellStyleXfs>
  <cellXfs count="199">
    <xf numFmtId="0" fontId="0" fillId="0" borderId="0" xfId="0"/>
    <xf numFmtId="164" fontId="2" fillId="2" borderId="1" xfId="1" applyNumberFormat="1" applyFont="1" applyFill="1" applyBorder="1"/>
    <xf numFmtId="164" fontId="0" fillId="0" borderId="0" xfId="1" applyNumberFormat="1" applyFont="1"/>
    <xf numFmtId="164" fontId="3" fillId="0" borderId="0" xfId="1" applyNumberFormat="1" applyFont="1"/>
    <xf numFmtId="164" fontId="0" fillId="2" borderId="1" xfId="1" applyNumberFormat="1" applyFont="1" applyFill="1" applyBorder="1"/>
    <xf numFmtId="164" fontId="3" fillId="3" borderId="0" xfId="1" applyNumberFormat="1" applyFont="1" applyFill="1"/>
    <xf numFmtId="14" fontId="3" fillId="3" borderId="0" xfId="1" applyNumberFormat="1" applyFont="1" applyFill="1"/>
    <xf numFmtId="164" fontId="0" fillId="0" borderId="0" xfId="1" applyNumberFormat="1" applyFont="1" applyFill="1" applyBorder="1"/>
    <xf numFmtId="164" fontId="2" fillId="0" borderId="0" xfId="1" applyNumberFormat="1" applyFont="1"/>
    <xf numFmtId="164" fontId="0" fillId="0" borderId="0" xfId="1" applyNumberFormat="1" applyFont="1" applyFill="1"/>
    <xf numFmtId="164" fontId="0" fillId="4" borderId="1" xfId="1" applyNumberFormat="1" applyFont="1" applyFill="1" applyBorder="1"/>
    <xf numFmtId="164" fontId="4" fillId="0" borderId="2" xfId="1" applyNumberFormat="1" applyFont="1" applyBorder="1"/>
    <xf numFmtId="164" fontId="0" fillId="0" borderId="1" xfId="1" applyNumberFormat="1" applyFont="1" applyBorder="1"/>
    <xf numFmtId="164" fontId="4" fillId="0" borderId="0" xfId="1" applyNumberFormat="1" applyFont="1" applyBorder="1"/>
    <xf numFmtId="0" fontId="5" fillId="0" borderId="3" xfId="0" applyFont="1" applyBorder="1"/>
    <xf numFmtId="0" fontId="5" fillId="0" borderId="4" xfId="0" applyFont="1" applyBorder="1" applyAlignment="1">
      <alignment horizontal="right"/>
    </xf>
    <xf numFmtId="0" fontId="6" fillId="0" borderId="0" xfId="0" applyFont="1"/>
    <xf numFmtId="0" fontId="6" fillId="0" borderId="5" xfId="0" applyFont="1" applyBorder="1"/>
    <xf numFmtId="0" fontId="6" fillId="0" borderId="6" xfId="0" applyFont="1" applyBorder="1"/>
    <xf numFmtId="9" fontId="6" fillId="0" borderId="7" xfId="2" applyFont="1" applyBorder="1" applyAlignment="1">
      <alignment horizontal="right"/>
    </xf>
    <xf numFmtId="0" fontId="7" fillId="0" borderId="0" xfId="0" applyFont="1"/>
    <xf numFmtId="9" fontId="6" fillId="0" borderId="0" xfId="2" applyFont="1" applyAlignment="1">
      <alignment horizontal="right"/>
    </xf>
    <xf numFmtId="9" fontId="6" fillId="0" borderId="0" xfId="2" applyFont="1" applyFill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0" xfId="0" applyFont="1" applyBorder="1"/>
    <xf numFmtId="164" fontId="5" fillId="0" borderId="8" xfId="1" applyNumberFormat="1" applyFont="1" applyBorder="1" applyAlignment="1">
      <alignment horizontal="right"/>
    </xf>
    <xf numFmtId="164" fontId="5" fillId="0" borderId="8" xfId="1" applyNumberFormat="1" applyFont="1" applyFill="1" applyBorder="1" applyAlignment="1">
      <alignment horizontal="right"/>
    </xf>
    <xf numFmtId="164" fontId="5" fillId="0" borderId="11" xfId="1" applyNumberFormat="1" applyFont="1" applyBorder="1" applyAlignment="1">
      <alignment horizontal="right"/>
    </xf>
    <xf numFmtId="9" fontId="6" fillId="0" borderId="7" xfId="2" applyFont="1" applyFill="1" applyBorder="1" applyAlignment="1">
      <alignment horizontal="right"/>
    </xf>
    <xf numFmtId="9" fontId="6" fillId="0" borderId="12" xfId="2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0" fillId="3" borderId="0" xfId="0" applyFill="1"/>
    <xf numFmtId="164" fontId="9" fillId="0" borderId="0" xfId="1" applyNumberFormat="1" applyFont="1"/>
    <xf numFmtId="0" fontId="8" fillId="0" borderId="0" xfId="0" applyFont="1"/>
    <xf numFmtId="164" fontId="3" fillId="5" borderId="0" xfId="1" applyNumberFormat="1" applyFont="1" applyFill="1"/>
    <xf numFmtId="164" fontId="0" fillId="0" borderId="1" xfId="1" applyNumberFormat="1" applyFont="1" applyFill="1" applyBorder="1"/>
    <xf numFmtId="0" fontId="0" fillId="6" borderId="0" xfId="0" applyFill="1"/>
    <xf numFmtId="9" fontId="6" fillId="0" borderId="0" xfId="2" applyFont="1" applyBorder="1" applyAlignment="1">
      <alignment horizontal="right"/>
    </xf>
    <xf numFmtId="9" fontId="6" fillId="0" borderId="0" xfId="2" applyFont="1" applyFill="1" applyBorder="1" applyAlignment="1">
      <alignment horizontal="right"/>
    </xf>
    <xf numFmtId="0" fontId="11" fillId="7" borderId="0" xfId="0" applyFont="1" applyFill="1" applyAlignment="1">
      <alignment horizontal="left"/>
    </xf>
    <xf numFmtId="0" fontId="0" fillId="7" borderId="0" xfId="0" applyFill="1"/>
    <xf numFmtId="0" fontId="12" fillId="7" borderId="0" xfId="0" applyFont="1" applyFill="1"/>
    <xf numFmtId="0" fontId="13" fillId="8" borderId="0" xfId="0" applyFont="1" applyFill="1"/>
    <xf numFmtId="0" fontId="14" fillId="9" borderId="0" xfId="0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0" fontId="14" fillId="11" borderId="0" xfId="0" applyFont="1" applyFill="1" applyAlignment="1">
      <alignment horizontal="center"/>
    </xf>
    <xf numFmtId="0" fontId="14" fillId="12" borderId="0" xfId="0" applyFont="1" applyFill="1" applyAlignment="1">
      <alignment horizontal="center"/>
    </xf>
    <xf numFmtId="0" fontId="14" fillId="1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23" fillId="0" borderId="0" xfId="0" applyFont="1"/>
    <xf numFmtId="0" fontId="25" fillId="0" borderId="0" xfId="0" applyFont="1" applyAlignment="1">
      <alignment horizontal="center"/>
    </xf>
    <xf numFmtId="0" fontId="27" fillId="0" borderId="0" xfId="0" applyFont="1"/>
    <xf numFmtId="0" fontId="28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0" xfId="0" applyFont="1"/>
    <xf numFmtId="0" fontId="19" fillId="0" borderId="0" xfId="0" applyFont="1" applyAlignment="1">
      <alignment horizontal="center"/>
    </xf>
    <xf numFmtId="165" fontId="34" fillId="0" borderId="0" xfId="0" applyNumberFormat="1" applyFont="1" applyAlignment="1">
      <alignment horizontal="center"/>
    </xf>
    <xf numFmtId="3" fontId="35" fillId="0" borderId="0" xfId="0" applyNumberFormat="1" applyFont="1" applyAlignment="1">
      <alignment horizontal="center"/>
    </xf>
    <xf numFmtId="166" fontId="36" fillId="0" borderId="0" xfId="0" applyNumberFormat="1" applyFont="1" applyAlignment="1">
      <alignment horizontal="center"/>
    </xf>
    <xf numFmtId="3" fontId="25" fillId="15" borderId="14" xfId="0" applyNumberFormat="1" applyFont="1" applyFill="1" applyBorder="1" applyAlignment="1">
      <alignment horizontal="center"/>
    </xf>
    <xf numFmtId="3" fontId="25" fillId="16" borderId="14" xfId="0" applyNumberFormat="1" applyFont="1" applyFill="1" applyBorder="1" applyAlignment="1">
      <alignment horizontal="center"/>
    </xf>
    <xf numFmtId="0" fontId="22" fillId="7" borderId="15" xfId="0" applyFont="1" applyFill="1" applyBorder="1" applyAlignment="1">
      <alignment horizontal="center"/>
    </xf>
    <xf numFmtId="0" fontId="22" fillId="9" borderId="15" xfId="0" applyFont="1" applyFill="1" applyBorder="1" applyAlignment="1">
      <alignment horizontal="center"/>
    </xf>
    <xf numFmtId="0" fontId="22" fillId="10" borderId="15" xfId="0" applyFont="1" applyFill="1" applyBorder="1" applyAlignment="1">
      <alignment horizontal="center"/>
    </xf>
    <xf numFmtId="0" fontId="22" fillId="11" borderId="15" xfId="0" applyFont="1" applyFill="1" applyBorder="1" applyAlignment="1">
      <alignment horizontal="center"/>
    </xf>
    <xf numFmtId="0" fontId="22" fillId="12" borderId="15" xfId="0" applyFont="1" applyFill="1" applyBorder="1" applyAlignment="1">
      <alignment horizontal="center"/>
    </xf>
    <xf numFmtId="0" fontId="14" fillId="7" borderId="17" xfId="0" applyFont="1" applyFill="1" applyBorder="1" applyAlignment="1">
      <alignment horizontal="left"/>
    </xf>
    <xf numFmtId="0" fontId="22" fillId="14" borderId="20" xfId="0" applyFont="1" applyFill="1" applyBorder="1" applyAlignment="1">
      <alignment horizontal="center"/>
    </xf>
    <xf numFmtId="0" fontId="39" fillId="6" borderId="0" xfId="0" applyFont="1" applyFill="1" applyAlignment="1">
      <alignment horizontal="center"/>
    </xf>
    <xf numFmtId="3" fontId="0" fillId="15" borderId="14" xfId="0" applyNumberFormat="1" applyFill="1" applyBorder="1"/>
    <xf numFmtId="168" fontId="0" fillId="15" borderId="14" xfId="0" applyNumberFormat="1" applyFill="1" applyBorder="1"/>
    <xf numFmtId="3" fontId="25" fillId="15" borderId="14" xfId="0" applyNumberFormat="1" applyFont="1" applyFill="1" applyBorder="1"/>
    <xf numFmtId="165" fontId="0" fillId="15" borderId="14" xfId="0" applyNumberFormat="1" applyFill="1" applyBorder="1"/>
    <xf numFmtId="3" fontId="0" fillId="0" borderId="14" xfId="0" applyNumberFormat="1" applyBorder="1"/>
    <xf numFmtId="168" fontId="0" fillId="0" borderId="14" xfId="0" applyNumberFormat="1" applyBorder="1"/>
    <xf numFmtId="3" fontId="25" fillId="0" borderId="14" xfId="0" applyNumberFormat="1" applyFont="1" applyBorder="1"/>
    <xf numFmtId="165" fontId="0" fillId="0" borderId="14" xfId="0" applyNumberFormat="1" applyBorder="1"/>
    <xf numFmtId="0" fontId="0" fillId="0" borderId="14" xfId="0" applyBorder="1"/>
    <xf numFmtId="3" fontId="26" fillId="7" borderId="16" xfId="0" applyNumberFormat="1" applyFont="1" applyFill="1" applyBorder="1" applyAlignment="1">
      <alignment horizontal="center"/>
    </xf>
    <xf numFmtId="168" fontId="26" fillId="7" borderId="16" xfId="0" applyNumberFormat="1" applyFont="1" applyFill="1" applyBorder="1" applyAlignment="1">
      <alignment horizontal="center"/>
    </xf>
    <xf numFmtId="3" fontId="26" fillId="9" borderId="16" xfId="0" applyNumberFormat="1" applyFont="1" applyFill="1" applyBorder="1" applyAlignment="1">
      <alignment horizontal="center"/>
    </xf>
    <xf numFmtId="3" fontId="26" fillId="10" borderId="16" xfId="0" applyNumberFormat="1" applyFont="1" applyFill="1" applyBorder="1" applyAlignment="1">
      <alignment horizontal="center"/>
    </xf>
    <xf numFmtId="165" fontId="26" fillId="11" borderId="16" xfId="0" applyNumberFormat="1" applyFont="1" applyFill="1" applyBorder="1" applyAlignment="1">
      <alignment horizontal="center"/>
    </xf>
    <xf numFmtId="0" fontId="25" fillId="15" borderId="18" xfId="0" applyFont="1" applyFill="1" applyBorder="1"/>
    <xf numFmtId="0" fontId="25" fillId="0" borderId="18" xfId="0" applyFont="1" applyBorder="1"/>
    <xf numFmtId="0" fontId="0" fillId="0" borderId="18" xfId="0" applyBorder="1"/>
    <xf numFmtId="0" fontId="26" fillId="7" borderId="19" xfId="0" applyFont="1" applyFill="1" applyBorder="1"/>
    <xf numFmtId="0" fontId="22" fillId="12" borderId="20" xfId="0" applyFont="1" applyFill="1" applyBorder="1" applyAlignment="1">
      <alignment horizontal="center"/>
    </xf>
    <xf numFmtId="166" fontId="0" fillId="15" borderId="21" xfId="0" applyNumberFormat="1" applyFill="1" applyBorder="1"/>
    <xf numFmtId="166" fontId="0" fillId="0" borderId="21" xfId="0" applyNumberFormat="1" applyBorder="1"/>
    <xf numFmtId="0" fontId="0" fillId="0" borderId="21" xfId="0" applyBorder="1"/>
    <xf numFmtId="166" fontId="26" fillId="12" borderId="22" xfId="0" applyNumberFormat="1" applyFont="1" applyFill="1" applyBorder="1" applyAlignment="1">
      <alignment horizontal="center"/>
    </xf>
    <xf numFmtId="3" fontId="40" fillId="0" borderId="0" xfId="0" applyNumberFormat="1" applyFont="1" applyAlignment="1">
      <alignment horizontal="center"/>
    </xf>
    <xf numFmtId="0" fontId="41" fillId="0" borderId="0" xfId="0" applyFont="1"/>
    <xf numFmtId="164" fontId="0" fillId="2" borderId="0" xfId="1" applyNumberFormat="1" applyFont="1" applyFill="1" applyBorder="1"/>
    <xf numFmtId="0" fontId="11" fillId="7" borderId="0" xfId="0" applyFont="1" applyFill="1" applyAlignment="1">
      <alignment horizontal="left"/>
    </xf>
    <xf numFmtId="0" fontId="12" fillId="7" borderId="0" xfId="0" applyFont="1" applyFill="1"/>
    <xf numFmtId="0" fontId="13" fillId="8" borderId="0" xfId="0" applyFont="1" applyFill="1"/>
    <xf numFmtId="0" fontId="15" fillId="16" borderId="0" xfId="0" applyFont="1" applyFill="1" applyAlignment="1">
      <alignment horizontal="left"/>
    </xf>
    <xf numFmtId="0" fontId="16" fillId="16" borderId="0" xfId="0" applyFont="1" applyFill="1"/>
    <xf numFmtId="0" fontId="17" fillId="16" borderId="0" xfId="0" applyFont="1" applyFill="1" applyAlignment="1">
      <alignment horizontal="center"/>
    </xf>
    <xf numFmtId="3" fontId="17" fillId="16" borderId="0" xfId="0" applyNumberFormat="1" applyFont="1" applyFill="1" applyAlignment="1">
      <alignment horizontal="center"/>
    </xf>
    <xf numFmtId="0" fontId="18" fillId="16" borderId="0" xfId="0" applyFont="1" applyFill="1" applyAlignment="1">
      <alignment horizontal="center"/>
    </xf>
    <xf numFmtId="3" fontId="18" fillId="16" borderId="0" xfId="0" applyNumberFormat="1" applyFont="1" applyFill="1" applyAlignment="1">
      <alignment horizontal="center"/>
    </xf>
    <xf numFmtId="165" fontId="19" fillId="16" borderId="0" xfId="0" applyNumberFormat="1" applyFont="1" applyFill="1" applyAlignment="1">
      <alignment horizontal="center"/>
    </xf>
    <xf numFmtId="166" fontId="20" fillId="16" borderId="0" xfId="0" applyNumberFormat="1" applyFont="1" applyFill="1" applyAlignment="1">
      <alignment horizontal="center"/>
    </xf>
    <xf numFmtId="167" fontId="21" fillId="16" borderId="0" xfId="0" applyNumberFormat="1" applyFont="1" applyFill="1" applyAlignment="1">
      <alignment horizontal="center"/>
    </xf>
    <xf numFmtId="0" fontId="26" fillId="7" borderId="0" xfId="0" applyFont="1" applyFill="1"/>
    <xf numFmtId="0" fontId="38" fillId="15" borderId="18" xfId="0" applyFont="1" applyFill="1" applyBorder="1" applyAlignment="1">
      <alignment horizontal="left"/>
    </xf>
    <xf numFmtId="169" fontId="42" fillId="15" borderId="14" xfId="0" applyNumberFormat="1" applyFont="1" applyFill="1" applyBorder="1" applyAlignment="1">
      <alignment horizontal="center"/>
    </xf>
    <xf numFmtId="3" fontId="42" fillId="15" borderId="14" xfId="0" applyNumberFormat="1" applyFont="1" applyFill="1" applyBorder="1" applyAlignment="1">
      <alignment horizontal="center"/>
    </xf>
    <xf numFmtId="165" fontId="42" fillId="15" borderId="14" xfId="0" applyNumberFormat="1" applyFont="1" applyFill="1" applyBorder="1" applyAlignment="1">
      <alignment horizontal="center"/>
    </xf>
    <xf numFmtId="166" fontId="42" fillId="15" borderId="14" xfId="0" applyNumberFormat="1" applyFont="1" applyFill="1" applyBorder="1" applyAlignment="1">
      <alignment horizontal="center"/>
    </xf>
    <xf numFmtId="3" fontId="42" fillId="15" borderId="21" xfId="0" applyNumberFormat="1" applyFont="1" applyFill="1" applyBorder="1" applyAlignment="1">
      <alignment horizontal="center"/>
    </xf>
    <xf numFmtId="0" fontId="38" fillId="16" borderId="18" xfId="0" applyFont="1" applyFill="1" applyBorder="1" applyAlignment="1">
      <alignment horizontal="left"/>
    </xf>
    <xf numFmtId="169" fontId="42" fillId="16" borderId="14" xfId="0" applyNumberFormat="1" applyFont="1" applyFill="1" applyBorder="1" applyAlignment="1">
      <alignment horizontal="center"/>
    </xf>
    <xf numFmtId="3" fontId="42" fillId="16" borderId="14" xfId="0" applyNumberFormat="1" applyFont="1" applyFill="1" applyBorder="1" applyAlignment="1">
      <alignment horizontal="center"/>
    </xf>
    <xf numFmtId="165" fontId="42" fillId="16" borderId="14" xfId="0" applyNumberFormat="1" applyFont="1" applyFill="1" applyBorder="1" applyAlignment="1">
      <alignment horizontal="center"/>
    </xf>
    <xf numFmtId="166" fontId="42" fillId="16" borderId="14" xfId="0" applyNumberFormat="1" applyFont="1" applyFill="1" applyBorder="1" applyAlignment="1">
      <alignment horizontal="center"/>
    </xf>
    <xf numFmtId="3" fontId="42" fillId="16" borderId="21" xfId="0" applyNumberFormat="1" applyFont="1" applyFill="1" applyBorder="1" applyAlignment="1">
      <alignment horizontal="center"/>
    </xf>
    <xf numFmtId="0" fontId="26" fillId="7" borderId="19" xfId="0" applyFont="1" applyFill="1" applyBorder="1" applyAlignment="1">
      <alignment horizontal="left"/>
    </xf>
    <xf numFmtId="170" fontId="26" fillId="7" borderId="16" xfId="0" applyNumberFormat="1" applyFont="1" applyFill="1" applyBorder="1" applyAlignment="1">
      <alignment horizontal="center"/>
    </xf>
    <xf numFmtId="165" fontId="26" fillId="7" borderId="16" xfId="0" applyNumberFormat="1" applyFont="1" applyFill="1" applyBorder="1" applyAlignment="1">
      <alignment horizontal="center"/>
    </xf>
    <xf numFmtId="166" fontId="26" fillId="7" borderId="16" xfId="0" applyNumberFormat="1" applyFont="1" applyFill="1" applyBorder="1" applyAlignment="1">
      <alignment horizontal="center"/>
    </xf>
    <xf numFmtId="3" fontId="26" fillId="7" borderId="22" xfId="0" applyNumberFormat="1" applyFont="1" applyFill="1" applyBorder="1" applyAlignment="1">
      <alignment horizontal="center"/>
    </xf>
    <xf numFmtId="0" fontId="27" fillId="16" borderId="0" xfId="0" applyFont="1" applyFill="1"/>
    <xf numFmtId="0" fontId="28" fillId="16" borderId="0" xfId="0" applyFont="1" applyFill="1" applyAlignment="1">
      <alignment horizontal="center"/>
    </xf>
    <xf numFmtId="166" fontId="28" fillId="16" borderId="0" xfId="0" applyNumberFormat="1" applyFont="1" applyFill="1" applyAlignment="1">
      <alignment horizontal="center"/>
    </xf>
    <xf numFmtId="0" fontId="29" fillId="16" borderId="0" xfId="0" applyFont="1" applyFill="1"/>
    <xf numFmtId="0" fontId="30" fillId="16" borderId="0" xfId="0" applyFont="1" applyFill="1" applyAlignment="1">
      <alignment horizontal="center"/>
    </xf>
    <xf numFmtId="166" fontId="30" fillId="16" borderId="0" xfId="0" applyNumberFormat="1" applyFont="1" applyFill="1" applyAlignment="1">
      <alignment horizontal="center"/>
    </xf>
    <xf numFmtId="0" fontId="31" fillId="16" borderId="0" xfId="0" applyFont="1" applyFill="1"/>
    <xf numFmtId="166" fontId="18" fillId="16" borderId="0" xfId="0" applyNumberFormat="1" applyFont="1" applyFill="1" applyAlignment="1">
      <alignment horizontal="center"/>
    </xf>
    <xf numFmtId="0" fontId="19" fillId="16" borderId="0" xfId="0" applyFont="1" applyFill="1" applyAlignment="1">
      <alignment horizontal="center"/>
    </xf>
    <xf numFmtId="0" fontId="33" fillId="16" borderId="0" xfId="0" applyFont="1" applyFill="1"/>
    <xf numFmtId="165" fontId="34" fillId="16" borderId="0" xfId="0" applyNumberFormat="1" applyFont="1" applyFill="1" applyAlignment="1">
      <alignment horizontal="center"/>
    </xf>
    <xf numFmtId="3" fontId="35" fillId="16" borderId="0" xfId="0" applyNumberFormat="1" applyFont="1" applyFill="1" applyAlignment="1">
      <alignment horizontal="center"/>
    </xf>
    <xf numFmtId="166" fontId="36" fillId="16" borderId="0" xfId="0" applyNumberFormat="1" applyFont="1" applyFill="1" applyAlignment="1">
      <alignment horizontal="center"/>
    </xf>
    <xf numFmtId="0" fontId="14" fillId="7" borderId="15" xfId="0" applyFont="1" applyFill="1" applyBorder="1" applyAlignment="1">
      <alignment horizontal="left"/>
    </xf>
    <xf numFmtId="0" fontId="16" fillId="16" borderId="14" xfId="0" applyFont="1" applyFill="1" applyBorder="1" applyAlignment="1">
      <alignment horizontal="left"/>
    </xf>
    <xf numFmtId="0" fontId="16" fillId="15" borderId="14" xfId="0" applyFont="1" applyFill="1" applyBorder="1" applyAlignment="1">
      <alignment horizontal="left"/>
    </xf>
    <xf numFmtId="0" fontId="16" fillId="16" borderId="16" xfId="0" applyFont="1" applyFill="1" applyBorder="1" applyAlignment="1">
      <alignment horizontal="left"/>
    </xf>
    <xf numFmtId="0" fontId="16" fillId="15" borderId="16" xfId="0" applyFont="1" applyFill="1" applyBorder="1" applyAlignment="1">
      <alignment horizontal="left"/>
    </xf>
    <xf numFmtId="3" fontId="28" fillId="16" borderId="0" xfId="0" applyNumberFormat="1" applyFont="1" applyFill="1" applyAlignment="1">
      <alignment horizontal="center"/>
    </xf>
    <xf numFmtId="3" fontId="30" fillId="16" borderId="0" xfId="0" applyNumberFormat="1" applyFont="1" applyFill="1" applyAlignment="1">
      <alignment horizontal="center"/>
    </xf>
    <xf numFmtId="0" fontId="32" fillId="16" borderId="0" xfId="0" applyFont="1" applyFill="1"/>
    <xf numFmtId="3" fontId="21" fillId="16" borderId="0" xfId="0" applyNumberFormat="1" applyFont="1" applyFill="1" applyAlignment="1">
      <alignment horizontal="center"/>
    </xf>
    <xf numFmtId="0" fontId="44" fillId="8" borderId="0" xfId="0" applyFont="1" applyFill="1"/>
    <xf numFmtId="0" fontId="26" fillId="14" borderId="0" xfId="0" applyFont="1" applyFill="1" applyAlignment="1">
      <alignment horizontal="center"/>
    </xf>
    <xf numFmtId="0" fontId="26" fillId="14" borderId="0" xfId="0" applyFont="1" applyFill="1" applyAlignment="1">
      <alignment horizontal="left"/>
    </xf>
    <xf numFmtId="0" fontId="45" fillId="0" borderId="0" xfId="0" applyFont="1"/>
    <xf numFmtId="169" fontId="45" fillId="0" borderId="0" xfId="0" applyNumberFormat="1" applyFont="1"/>
    <xf numFmtId="3" fontId="45" fillId="0" borderId="0" xfId="0" applyNumberFormat="1" applyFont="1"/>
    <xf numFmtId="0" fontId="14" fillId="7" borderId="17" xfId="0" applyFont="1" applyFill="1" applyBorder="1" applyAlignment="1">
      <alignment horizontal="center"/>
    </xf>
    <xf numFmtId="0" fontId="14" fillId="9" borderId="15" xfId="0" applyFont="1" applyFill="1" applyBorder="1" applyAlignment="1">
      <alignment horizontal="center"/>
    </xf>
    <xf numFmtId="0" fontId="37" fillId="18" borderId="18" xfId="0" applyFont="1" applyFill="1" applyBorder="1" applyAlignment="1">
      <alignment horizontal="center"/>
    </xf>
    <xf numFmtId="0" fontId="24" fillId="18" borderId="14" xfId="0" applyFont="1" applyFill="1" applyBorder="1" applyAlignment="1">
      <alignment horizontal="left"/>
    </xf>
    <xf numFmtId="0" fontId="16" fillId="18" borderId="14" xfId="0" applyFont="1" applyFill="1" applyBorder="1" applyAlignment="1">
      <alignment horizontal="left"/>
    </xf>
    <xf numFmtId="3" fontId="28" fillId="18" borderId="14" xfId="0" applyNumberFormat="1" applyFont="1" applyFill="1" applyBorder="1" applyAlignment="1">
      <alignment horizontal="center"/>
    </xf>
    <xf numFmtId="3" fontId="43" fillId="18" borderId="21" xfId="0" applyNumberFormat="1" applyFont="1" applyFill="1" applyBorder="1" applyAlignment="1">
      <alignment horizontal="center"/>
    </xf>
    <xf numFmtId="0" fontId="37" fillId="16" borderId="18" xfId="0" applyFont="1" applyFill="1" applyBorder="1" applyAlignment="1">
      <alignment horizontal="center"/>
    </xf>
    <xf numFmtId="0" fontId="24" fillId="16" borderId="14" xfId="0" applyFont="1" applyFill="1" applyBorder="1" applyAlignment="1">
      <alignment horizontal="left"/>
    </xf>
    <xf numFmtId="3" fontId="28" fillId="16" borderId="14" xfId="0" applyNumberFormat="1" applyFont="1" applyFill="1" applyBorder="1" applyAlignment="1">
      <alignment horizontal="center"/>
    </xf>
    <xf numFmtId="3" fontId="43" fillId="16" borderId="21" xfId="0" applyNumberFormat="1" applyFont="1" applyFill="1" applyBorder="1" applyAlignment="1">
      <alignment horizontal="center"/>
    </xf>
    <xf numFmtId="0" fontId="37" fillId="16" borderId="19" xfId="0" applyFont="1" applyFill="1" applyBorder="1" applyAlignment="1">
      <alignment horizontal="center"/>
    </xf>
    <xf numFmtId="0" fontId="24" fillId="16" borderId="16" xfId="0" applyFont="1" applyFill="1" applyBorder="1" applyAlignment="1">
      <alignment horizontal="left"/>
    </xf>
    <xf numFmtId="3" fontId="28" fillId="16" borderId="16" xfId="0" applyNumberFormat="1" applyFont="1" applyFill="1" applyBorder="1" applyAlignment="1">
      <alignment horizontal="center"/>
    </xf>
    <xf numFmtId="3" fontId="43" fillId="16" borderId="22" xfId="0" applyNumberFormat="1" applyFont="1" applyFill="1" applyBorder="1" applyAlignment="1">
      <alignment horizontal="center"/>
    </xf>
    <xf numFmtId="0" fontId="37" fillId="17" borderId="18" xfId="0" applyFont="1" applyFill="1" applyBorder="1" applyAlignment="1">
      <alignment horizontal="center"/>
    </xf>
    <xf numFmtId="0" fontId="24" fillId="17" borderId="14" xfId="0" applyFont="1" applyFill="1" applyBorder="1" applyAlignment="1">
      <alignment horizontal="left"/>
    </xf>
    <xf numFmtId="0" fontId="16" fillId="17" borderId="14" xfId="0" applyFont="1" applyFill="1" applyBorder="1" applyAlignment="1">
      <alignment horizontal="left"/>
    </xf>
    <xf numFmtId="3" fontId="28" fillId="17" borderId="14" xfId="0" applyNumberFormat="1" applyFont="1" applyFill="1" applyBorder="1" applyAlignment="1">
      <alignment horizontal="center"/>
    </xf>
    <xf numFmtId="3" fontId="43" fillId="17" borderId="21" xfId="0" applyNumberFormat="1" applyFont="1" applyFill="1" applyBorder="1" applyAlignment="1">
      <alignment horizontal="center"/>
    </xf>
    <xf numFmtId="0" fontId="37" fillId="19" borderId="18" xfId="0" applyFont="1" applyFill="1" applyBorder="1" applyAlignment="1">
      <alignment horizontal="center"/>
    </xf>
    <xf numFmtId="0" fontId="24" fillId="19" borderId="14" xfId="0" applyFont="1" applyFill="1" applyBorder="1" applyAlignment="1">
      <alignment horizontal="left"/>
    </xf>
    <xf numFmtId="0" fontId="16" fillId="19" borderId="14" xfId="0" applyFont="1" applyFill="1" applyBorder="1" applyAlignment="1">
      <alignment horizontal="left"/>
    </xf>
    <xf numFmtId="3" fontId="28" fillId="19" borderId="14" xfId="0" applyNumberFormat="1" applyFont="1" applyFill="1" applyBorder="1" applyAlignment="1">
      <alignment horizontal="center"/>
    </xf>
    <xf numFmtId="3" fontId="43" fillId="19" borderId="21" xfId="0" applyNumberFormat="1" applyFont="1" applyFill="1" applyBorder="1" applyAlignment="1">
      <alignment horizontal="center"/>
    </xf>
    <xf numFmtId="0" fontId="37" fillId="20" borderId="18" xfId="0" applyFont="1" applyFill="1" applyBorder="1" applyAlignment="1">
      <alignment horizontal="center"/>
    </xf>
    <xf numFmtId="0" fontId="24" fillId="20" borderId="14" xfId="0" applyFont="1" applyFill="1" applyBorder="1" applyAlignment="1">
      <alignment horizontal="left"/>
    </xf>
    <xf numFmtId="0" fontId="16" fillId="20" borderId="14" xfId="0" applyFont="1" applyFill="1" applyBorder="1" applyAlignment="1">
      <alignment horizontal="left"/>
    </xf>
    <xf numFmtId="3" fontId="28" fillId="20" borderId="14" xfId="0" applyNumberFormat="1" applyFont="1" applyFill="1" applyBorder="1" applyAlignment="1">
      <alignment horizontal="center"/>
    </xf>
    <xf numFmtId="3" fontId="43" fillId="20" borderId="21" xfId="0" applyNumberFormat="1" applyFont="1" applyFill="1" applyBorder="1" applyAlignment="1">
      <alignment horizontal="center"/>
    </xf>
    <xf numFmtId="0" fontId="47" fillId="15" borderId="18" xfId="0" applyFont="1" applyFill="1" applyBorder="1" applyAlignment="1">
      <alignment horizontal="center"/>
    </xf>
    <xf numFmtId="0" fontId="24" fillId="15" borderId="14" xfId="0" applyFont="1" applyFill="1" applyBorder="1" applyAlignment="1">
      <alignment horizontal="left"/>
    </xf>
    <xf numFmtId="3" fontId="43" fillId="15" borderId="21" xfId="0" applyNumberFormat="1" applyFont="1" applyFill="1" applyBorder="1" applyAlignment="1">
      <alignment horizontal="center"/>
    </xf>
    <xf numFmtId="0" fontId="47" fillId="16" borderId="18" xfId="0" applyFont="1" applyFill="1" applyBorder="1" applyAlignment="1">
      <alignment horizontal="center"/>
    </xf>
    <xf numFmtId="0" fontId="47" fillId="15" borderId="19" xfId="0" applyFont="1" applyFill="1" applyBorder="1" applyAlignment="1">
      <alignment horizontal="center"/>
    </xf>
    <xf numFmtId="0" fontId="24" fillId="15" borderId="16" xfId="0" applyFont="1" applyFill="1" applyBorder="1" applyAlignment="1">
      <alignment horizontal="left"/>
    </xf>
    <xf numFmtId="3" fontId="25" fillId="15" borderId="16" xfId="0" applyNumberFormat="1" applyFont="1" applyFill="1" applyBorder="1" applyAlignment="1">
      <alignment horizontal="center"/>
    </xf>
    <xf numFmtId="3" fontId="43" fillId="15" borderId="22" xfId="0" applyNumberFormat="1" applyFont="1" applyFill="1" applyBorder="1" applyAlignment="1">
      <alignment horizontal="center"/>
    </xf>
    <xf numFmtId="0" fontId="46" fillId="9" borderId="0" xfId="0" applyFont="1" applyFill="1" applyAlignment="1">
      <alignment horizontal="center"/>
    </xf>
    <xf numFmtId="0" fontId="44" fillId="8" borderId="0" xfId="0" applyFont="1" applyFill="1" applyAlignment="1">
      <alignment horizontal="right"/>
    </xf>
    <xf numFmtId="0" fontId="48" fillId="16" borderId="0" xfId="0" applyFont="1" applyFill="1"/>
    <xf numFmtId="0" fontId="49" fillId="7" borderId="0" xfId="0" applyFont="1" applyFill="1" applyAlignment="1">
      <alignment horizontal="center"/>
    </xf>
    <xf numFmtId="0" fontId="49" fillId="7" borderId="23" xfId="0" applyFont="1" applyFill="1" applyBorder="1" applyAlignment="1">
      <alignment horizontal="center"/>
    </xf>
    <xf numFmtId="0" fontId="26" fillId="7" borderId="0" xfId="0" applyFont="1" applyFill="1" applyAlignment="1">
      <alignment horizontal="center"/>
    </xf>
  </cellXfs>
  <cellStyles count="4">
    <cellStyle name="Normal" xfId="0" builtinId="0"/>
    <cellStyle name="Normal 2" xfId="3" xr:uid="{3934AC7F-5D78-4E0A-9825-D607DB908384}"/>
    <cellStyle name="Procent" xfId="2" builtinId="5"/>
    <cellStyle name="Tusental" xfId="1" builtinId="3"/>
  </cellStyles>
  <dxfs count="13">
    <dxf>
      <fill>
        <patternFill patternType="solid">
          <fgColor indexed="64"/>
          <bgColor rgb="FFFFCDD2"/>
        </patternFill>
      </fill>
    </dxf>
    <dxf>
      <font>
        <b/>
        <i val="0"/>
      </font>
      <fill>
        <patternFill patternType="solid">
          <fgColor indexed="64"/>
          <bgColor rgb="FFC8E6C9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E65100"/>
      </font>
      <fill>
        <patternFill patternType="solid">
          <fgColor indexed="64"/>
          <bgColor rgb="FFFFF3E0"/>
        </patternFill>
      </fill>
    </dxf>
    <dxf>
      <font>
        <color rgb="FFB71C1C"/>
      </font>
      <fill>
        <patternFill patternType="solid">
          <fgColor indexed="64"/>
          <bgColor rgb="FFFFCDD2"/>
        </patternFill>
      </fill>
    </dxf>
    <dxf>
      <font>
        <color rgb="FFB71C1C"/>
      </font>
      <fill>
        <patternFill patternType="solid">
          <fgColor indexed="64"/>
          <bgColor rgb="FFFFCDD2"/>
        </patternFill>
      </fill>
    </dxf>
    <dxf>
      <font>
        <color rgb="FFE65100"/>
      </font>
      <fill>
        <patternFill patternType="solid">
          <fgColor indexed="64"/>
          <bgColor rgb="FFFFF3E0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D32F2F"/>
      </font>
    </dxf>
    <dxf>
      <font>
        <color rgb="FF2E7D32"/>
      </font>
    </dxf>
    <dxf>
      <font>
        <color rgb="FFB71C1C"/>
      </font>
    </dxf>
    <dxf>
      <font>
        <color rgb="FF1B5E20"/>
      </font>
    </dxf>
    <dxf>
      <font>
        <b/>
        <i val="0"/>
      </font>
      <fill>
        <patternFill patternType="solid">
          <fgColor indexed="64"/>
          <bgColor rgb="FFC8E6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B3A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YTD 2026 — Actual vs Budget per enhet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B3A5C"/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YTD Actual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_ChartData!$A$2:$A$15</c:f>
              <c:strCache>
                <c:ptCount val="14"/>
                <c:pt idx="0">
                  <c:v>Karlastaden</c:v>
                </c:pt>
                <c:pt idx="1">
                  <c:v>Lilla Edet</c:v>
                </c:pt>
                <c:pt idx="2">
                  <c:v>Olskroken</c:v>
                </c:pt>
                <c:pt idx="3">
                  <c:v>Pedagogen Park</c:v>
                </c:pt>
                <c:pt idx="4">
                  <c:v>Frölunda Torg</c:v>
                </c:pt>
                <c:pt idx="5">
                  <c:v>Majorna</c:v>
                </c:pt>
                <c:pt idx="6">
                  <c:v>Grimmered</c:v>
                </c:pt>
                <c:pt idx="7">
                  <c:v>Åby</c:v>
                </c:pt>
                <c:pt idx="8">
                  <c:v>Avenyn</c:v>
                </c:pt>
                <c:pt idx="9">
                  <c:v>Stavre</c:v>
                </c:pt>
                <c:pt idx="10">
                  <c:v>Åmål</c:v>
                </c:pt>
                <c:pt idx="11">
                  <c:v>Brålanda-Torpa</c:v>
                </c:pt>
                <c:pt idx="12">
                  <c:v>Tanum och Fjällbacka</c:v>
                </c:pt>
                <c:pt idx="13">
                  <c:v>Noltrop</c:v>
                </c:pt>
              </c:strCache>
            </c:strRef>
          </c:cat>
          <c:val>
            <c:numRef>
              <c:f>_ChartData!$B$2:$B$15</c:f>
              <c:numCache>
                <c:formatCode>General</c:formatCode>
                <c:ptCount val="14"/>
                <c:pt idx="0">
                  <c:v>1107</c:v>
                </c:pt>
                <c:pt idx="1">
                  <c:v>2281</c:v>
                </c:pt>
                <c:pt idx="2">
                  <c:v>2424</c:v>
                </c:pt>
                <c:pt idx="3">
                  <c:v>2479</c:v>
                </c:pt>
                <c:pt idx="4">
                  <c:v>3394</c:v>
                </c:pt>
                <c:pt idx="5">
                  <c:v>3695</c:v>
                </c:pt>
                <c:pt idx="6">
                  <c:v>3774</c:v>
                </c:pt>
                <c:pt idx="7">
                  <c:v>4024</c:v>
                </c:pt>
                <c:pt idx="8">
                  <c:v>4046</c:v>
                </c:pt>
                <c:pt idx="9">
                  <c:v>4232</c:v>
                </c:pt>
                <c:pt idx="10">
                  <c:v>4431</c:v>
                </c:pt>
                <c:pt idx="11">
                  <c:v>4517</c:v>
                </c:pt>
                <c:pt idx="12">
                  <c:v>4983</c:v>
                </c:pt>
                <c:pt idx="13">
                  <c:v>7052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37-4BF8-B784-5CD6E2F65B60}"/>
            </c:ext>
          </c:extLst>
        </c:ser>
        <c:ser>
          <c:idx val="1"/>
          <c:order val="1"/>
          <c:tx>
            <c:v>YTD Budget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_ChartData!$A$2:$A$15</c:f>
              <c:strCache>
                <c:ptCount val="14"/>
                <c:pt idx="0">
                  <c:v>Karlastaden</c:v>
                </c:pt>
                <c:pt idx="1">
                  <c:v>Lilla Edet</c:v>
                </c:pt>
                <c:pt idx="2">
                  <c:v>Olskroken</c:v>
                </c:pt>
                <c:pt idx="3">
                  <c:v>Pedagogen Park</c:v>
                </c:pt>
                <c:pt idx="4">
                  <c:v>Frölunda Torg</c:v>
                </c:pt>
                <c:pt idx="5">
                  <c:v>Majorna</c:v>
                </c:pt>
                <c:pt idx="6">
                  <c:v>Grimmered</c:v>
                </c:pt>
                <c:pt idx="7">
                  <c:v>Åby</c:v>
                </c:pt>
                <c:pt idx="8">
                  <c:v>Avenyn</c:v>
                </c:pt>
                <c:pt idx="9">
                  <c:v>Stavre</c:v>
                </c:pt>
                <c:pt idx="10">
                  <c:v>Åmål</c:v>
                </c:pt>
                <c:pt idx="11">
                  <c:v>Brålanda-Torpa</c:v>
                </c:pt>
                <c:pt idx="12">
                  <c:v>Tanum och Fjällbacka</c:v>
                </c:pt>
                <c:pt idx="13">
                  <c:v>Noltrop</c:v>
                </c:pt>
              </c:strCache>
            </c:strRef>
          </c:cat>
          <c:val>
            <c:numRef>
              <c:f>_ChartData!$C$2:$C$15</c:f>
              <c:numCache>
                <c:formatCode>General</c:formatCode>
                <c:ptCount val="14"/>
                <c:pt idx="0">
                  <c:v>1980</c:v>
                </c:pt>
                <c:pt idx="1">
                  <c:v>3638</c:v>
                </c:pt>
                <c:pt idx="2">
                  <c:v>2935</c:v>
                </c:pt>
                <c:pt idx="3">
                  <c:v>2725</c:v>
                </c:pt>
                <c:pt idx="4">
                  <c:v>4368</c:v>
                </c:pt>
                <c:pt idx="5">
                  <c:v>4548</c:v>
                </c:pt>
                <c:pt idx="6">
                  <c:v>4115</c:v>
                </c:pt>
                <c:pt idx="7">
                  <c:v>4340</c:v>
                </c:pt>
                <c:pt idx="8">
                  <c:v>4805</c:v>
                </c:pt>
                <c:pt idx="9">
                  <c:v>4340</c:v>
                </c:pt>
                <c:pt idx="10">
                  <c:v>6149</c:v>
                </c:pt>
                <c:pt idx="11">
                  <c:v>4985</c:v>
                </c:pt>
                <c:pt idx="12">
                  <c:v>4394</c:v>
                </c:pt>
                <c:pt idx="13">
                  <c:v>7315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37-4BF8-B784-5CD6E2F65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1293503"/>
        <c:axId val="1041292543"/>
      </c:barChart>
      <c:catAx>
        <c:axId val="1041293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41292543"/>
        <c:crosses val="autoZero"/>
        <c:auto val="1"/>
        <c:lblAlgn val="ctr"/>
        <c:lblOffset val="100"/>
        <c:noMultiLvlLbl val="0"/>
      </c:catAx>
      <c:valAx>
        <c:axId val="104129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Poäng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4129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B3A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YTD 2026 — Budgetuppfyllnad per enhet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B3A5C"/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Uppfyllnad %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_ChartData!$E$2:$E$15</c:f>
              <c:strCache>
                <c:ptCount val="14"/>
                <c:pt idx="0">
                  <c:v>Karlastaden</c:v>
                </c:pt>
                <c:pt idx="1">
                  <c:v>Lilla Edet</c:v>
                </c:pt>
                <c:pt idx="2">
                  <c:v>Åmål</c:v>
                </c:pt>
                <c:pt idx="3">
                  <c:v>Frölunda Torg</c:v>
                </c:pt>
                <c:pt idx="4">
                  <c:v>Majorna</c:v>
                </c:pt>
                <c:pt idx="5">
                  <c:v>Olskroken</c:v>
                </c:pt>
                <c:pt idx="6">
                  <c:v>Avenyn</c:v>
                </c:pt>
                <c:pt idx="7">
                  <c:v>Brålanda-Torpa</c:v>
                </c:pt>
                <c:pt idx="8">
                  <c:v>Pedagogen Park</c:v>
                </c:pt>
                <c:pt idx="9">
                  <c:v>Grimmered</c:v>
                </c:pt>
                <c:pt idx="10">
                  <c:v>Åby</c:v>
                </c:pt>
                <c:pt idx="11">
                  <c:v>Noltrop</c:v>
                </c:pt>
                <c:pt idx="12">
                  <c:v>Stavre</c:v>
                </c:pt>
                <c:pt idx="13">
                  <c:v>Tanum och Fjällbacka</c:v>
                </c:pt>
              </c:strCache>
            </c:strRef>
          </c:cat>
          <c:val>
            <c:numRef>
              <c:f>_ChartData!$F$2:$F$15</c:f>
              <c:numCache>
                <c:formatCode>General</c:formatCode>
                <c:ptCount val="14"/>
                <c:pt idx="0">
                  <c:v>0.55909090909090908</c:v>
                </c:pt>
                <c:pt idx="1">
                  <c:v>0.6269928532160528</c:v>
                </c:pt>
                <c:pt idx="2">
                  <c:v>0.72060497641892995</c:v>
                </c:pt>
                <c:pt idx="3">
                  <c:v>0.77701465201465203</c:v>
                </c:pt>
                <c:pt idx="4">
                  <c:v>0.81244503078276165</c:v>
                </c:pt>
                <c:pt idx="5">
                  <c:v>0.82589437819420786</c:v>
                </c:pt>
                <c:pt idx="6">
                  <c:v>0.84203954214360044</c:v>
                </c:pt>
                <c:pt idx="7">
                  <c:v>0.90611835506519556</c:v>
                </c:pt>
                <c:pt idx="8">
                  <c:v>0.90972477064220181</c:v>
                </c:pt>
                <c:pt idx="9">
                  <c:v>0.91713244228432567</c:v>
                </c:pt>
                <c:pt idx="10">
                  <c:v>0.9271889400921659</c:v>
                </c:pt>
                <c:pt idx="11">
                  <c:v>0.96404647983595348</c:v>
                </c:pt>
                <c:pt idx="12">
                  <c:v>0.97511520737327184</c:v>
                </c:pt>
                <c:pt idx="13">
                  <c:v>1.1340464269458352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D8C-4AB0-8EC8-2D124D31B0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83363855"/>
        <c:axId val="983364815"/>
      </c:barChart>
      <c:catAx>
        <c:axId val="983363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83364815"/>
        <c:crosses val="autoZero"/>
        <c:auto val="1"/>
        <c:lblAlgn val="ctr"/>
        <c:lblOffset val="100"/>
        <c:noMultiLvlLbl val="0"/>
      </c:catAx>
      <c:valAx>
        <c:axId val="98336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8336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Stor-GBG — YTD Actual vs Budget per enhet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_ChartData!$I$1</c:f>
              <c:strCache>
                <c:ptCount val="1"/>
                <c:pt idx="0">
                  <c:v>YTD Actual</c:v>
                </c:pt>
              </c:strCache>
            </c:strRef>
          </c:tx>
          <c:spPr>
            <a:solidFill>
              <a:srgbClr val="2E7D3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_ChartData!$H$2:$H$9</c:f>
              <c:strCache>
                <c:ptCount val="8"/>
                <c:pt idx="0">
                  <c:v>Karlastaden</c:v>
                </c:pt>
                <c:pt idx="1">
                  <c:v>Olskroken</c:v>
                </c:pt>
                <c:pt idx="2">
                  <c:v>Pedagogen Park</c:v>
                </c:pt>
                <c:pt idx="3">
                  <c:v>Frölunda Torg</c:v>
                </c:pt>
                <c:pt idx="4">
                  <c:v>Majorna</c:v>
                </c:pt>
                <c:pt idx="5">
                  <c:v>Grimmered</c:v>
                </c:pt>
                <c:pt idx="6">
                  <c:v>Åby</c:v>
                </c:pt>
                <c:pt idx="7">
                  <c:v>Avenyn</c:v>
                </c:pt>
              </c:strCache>
            </c:strRef>
          </c:cat>
          <c:val>
            <c:numRef>
              <c:f>_ChartData!$I$2:$I$9</c:f>
              <c:numCache>
                <c:formatCode>General</c:formatCode>
                <c:ptCount val="8"/>
                <c:pt idx="0">
                  <c:v>1107</c:v>
                </c:pt>
                <c:pt idx="1">
                  <c:v>2424</c:v>
                </c:pt>
                <c:pt idx="2">
                  <c:v>2479</c:v>
                </c:pt>
                <c:pt idx="3">
                  <c:v>3394</c:v>
                </c:pt>
                <c:pt idx="4">
                  <c:v>3695</c:v>
                </c:pt>
                <c:pt idx="5">
                  <c:v>3774</c:v>
                </c:pt>
                <c:pt idx="6">
                  <c:v>4024</c:v>
                </c:pt>
                <c:pt idx="7">
                  <c:v>4046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D-4B0B-8994-30129DC788E2}"/>
            </c:ext>
          </c:extLst>
        </c:ser>
        <c:ser>
          <c:idx val="1"/>
          <c:order val="1"/>
          <c:tx>
            <c:strRef>
              <c:f>_ChartData!$J$1</c:f>
              <c:strCache>
                <c:ptCount val="1"/>
                <c:pt idx="0">
                  <c:v>YTD Budget</c:v>
                </c:pt>
              </c:strCache>
            </c:strRef>
          </c:tx>
          <c:spPr>
            <a:solidFill>
              <a:srgbClr val="1565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_ChartData!$H$2:$H$9</c:f>
              <c:strCache>
                <c:ptCount val="8"/>
                <c:pt idx="0">
                  <c:v>Karlastaden</c:v>
                </c:pt>
                <c:pt idx="1">
                  <c:v>Olskroken</c:v>
                </c:pt>
                <c:pt idx="2">
                  <c:v>Pedagogen Park</c:v>
                </c:pt>
                <c:pt idx="3">
                  <c:v>Frölunda Torg</c:v>
                </c:pt>
                <c:pt idx="4">
                  <c:v>Majorna</c:v>
                </c:pt>
                <c:pt idx="5">
                  <c:v>Grimmered</c:v>
                </c:pt>
                <c:pt idx="6">
                  <c:v>Åby</c:v>
                </c:pt>
                <c:pt idx="7">
                  <c:v>Avenyn</c:v>
                </c:pt>
              </c:strCache>
            </c:strRef>
          </c:cat>
          <c:val>
            <c:numRef>
              <c:f>_ChartData!$J$2:$J$9</c:f>
              <c:numCache>
                <c:formatCode>General</c:formatCode>
                <c:ptCount val="8"/>
                <c:pt idx="0">
                  <c:v>1980</c:v>
                </c:pt>
                <c:pt idx="1">
                  <c:v>2935</c:v>
                </c:pt>
                <c:pt idx="2">
                  <c:v>2725</c:v>
                </c:pt>
                <c:pt idx="3">
                  <c:v>4368</c:v>
                </c:pt>
                <c:pt idx="4">
                  <c:v>4548</c:v>
                </c:pt>
                <c:pt idx="5">
                  <c:v>4115</c:v>
                </c:pt>
                <c:pt idx="6">
                  <c:v>4340</c:v>
                </c:pt>
                <c:pt idx="7">
                  <c:v>4805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BD-4B0B-8994-30129DC788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01201344"/>
        <c:axId val="501207584"/>
      </c:barChart>
      <c:catAx>
        <c:axId val="50120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01207584"/>
        <c:crosses val="autoZero"/>
        <c:auto val="1"/>
        <c:lblAlgn val="ctr"/>
        <c:lblOffset val="100"/>
        <c:noMultiLvlLbl val="0"/>
      </c:catAx>
      <c:valAx>
        <c:axId val="50120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0120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Stor-GBG — Budgetuppfyllnad per enhet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_ChartData!$M$1</c:f>
              <c:strCache>
                <c:ptCount val="1"/>
                <c:pt idx="0">
                  <c:v>Uppfyllnad %</c:v>
                </c:pt>
              </c:strCache>
            </c:strRef>
          </c:tx>
          <c:spPr>
            <a:solidFill>
              <a:srgbClr val="6A1B9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_ChartData!$L$2:$L$9</c:f>
              <c:strCache>
                <c:ptCount val="8"/>
                <c:pt idx="0">
                  <c:v>Karlastaden</c:v>
                </c:pt>
                <c:pt idx="1">
                  <c:v>Frölunda Torg</c:v>
                </c:pt>
                <c:pt idx="2">
                  <c:v>Majorna</c:v>
                </c:pt>
                <c:pt idx="3">
                  <c:v>Olskroken</c:v>
                </c:pt>
                <c:pt idx="4">
                  <c:v>Avenyn</c:v>
                </c:pt>
                <c:pt idx="5">
                  <c:v>Pedagogen Park</c:v>
                </c:pt>
                <c:pt idx="6">
                  <c:v>Grimmered</c:v>
                </c:pt>
                <c:pt idx="7">
                  <c:v>Åby</c:v>
                </c:pt>
              </c:strCache>
            </c:strRef>
          </c:cat>
          <c:val>
            <c:numRef>
              <c:f>_ChartData!$M$2:$M$9</c:f>
              <c:numCache>
                <c:formatCode>General</c:formatCode>
                <c:ptCount val="8"/>
                <c:pt idx="0">
                  <c:v>0.55909090909090908</c:v>
                </c:pt>
                <c:pt idx="1">
                  <c:v>0.77701465201465203</c:v>
                </c:pt>
                <c:pt idx="2">
                  <c:v>0.81244503078276165</c:v>
                </c:pt>
                <c:pt idx="3">
                  <c:v>0.82589437819420786</c:v>
                </c:pt>
                <c:pt idx="4">
                  <c:v>0.84203954214360044</c:v>
                </c:pt>
                <c:pt idx="5">
                  <c:v>0.90972477064220181</c:v>
                </c:pt>
                <c:pt idx="6">
                  <c:v>0.91713244228432567</c:v>
                </c:pt>
                <c:pt idx="7">
                  <c:v>0.9271889400921659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E-49A0-A529-7E017477BA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01193664"/>
        <c:axId val="501210944"/>
      </c:barChart>
      <c:catAx>
        <c:axId val="501193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01210944"/>
        <c:crosses val="autoZero"/>
        <c:auto val="1"/>
        <c:lblAlgn val="ctr"/>
        <c:lblOffset val="100"/>
        <c:noMultiLvlLbl val="0"/>
      </c:catAx>
      <c:valAx>
        <c:axId val="50121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0119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Tätort — YTD Actual vs Budget per enhet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_ChartData!$P$1</c:f>
              <c:strCache>
                <c:ptCount val="1"/>
                <c:pt idx="0">
                  <c:v>YTD Actual</c:v>
                </c:pt>
              </c:strCache>
            </c:strRef>
          </c:tx>
          <c:spPr>
            <a:solidFill>
              <a:srgbClr val="2E7D3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_ChartData!$O$2:$O$7</c:f>
              <c:strCache>
                <c:ptCount val="6"/>
                <c:pt idx="0">
                  <c:v>Lilla Edet</c:v>
                </c:pt>
                <c:pt idx="1">
                  <c:v>Stavre</c:v>
                </c:pt>
                <c:pt idx="2">
                  <c:v>Åmål</c:v>
                </c:pt>
                <c:pt idx="3">
                  <c:v>Brålanda-Torpa</c:v>
                </c:pt>
                <c:pt idx="4">
                  <c:v>Tanum och Fjällbacka</c:v>
                </c:pt>
                <c:pt idx="5">
                  <c:v>Noltrop</c:v>
                </c:pt>
              </c:strCache>
            </c:strRef>
          </c:cat>
          <c:val>
            <c:numRef>
              <c:f>_ChartData!$P$2:$P$7</c:f>
              <c:numCache>
                <c:formatCode>General</c:formatCode>
                <c:ptCount val="6"/>
                <c:pt idx="0">
                  <c:v>2281</c:v>
                </c:pt>
                <c:pt idx="1">
                  <c:v>4232</c:v>
                </c:pt>
                <c:pt idx="2">
                  <c:v>4431</c:v>
                </c:pt>
                <c:pt idx="3">
                  <c:v>4517</c:v>
                </c:pt>
                <c:pt idx="4">
                  <c:v>4983</c:v>
                </c:pt>
                <c:pt idx="5">
                  <c:v>7052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2-4518-AE62-98373BAF9782}"/>
            </c:ext>
          </c:extLst>
        </c:ser>
        <c:ser>
          <c:idx val="1"/>
          <c:order val="1"/>
          <c:tx>
            <c:strRef>
              <c:f>_ChartData!$Q$1</c:f>
              <c:strCache>
                <c:ptCount val="1"/>
                <c:pt idx="0">
                  <c:v>YTD Budget</c:v>
                </c:pt>
              </c:strCache>
            </c:strRef>
          </c:tx>
          <c:spPr>
            <a:solidFill>
              <a:srgbClr val="1565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_ChartData!$O$2:$O$7</c:f>
              <c:strCache>
                <c:ptCount val="6"/>
                <c:pt idx="0">
                  <c:v>Lilla Edet</c:v>
                </c:pt>
                <c:pt idx="1">
                  <c:v>Stavre</c:v>
                </c:pt>
                <c:pt idx="2">
                  <c:v>Åmål</c:v>
                </c:pt>
                <c:pt idx="3">
                  <c:v>Brålanda-Torpa</c:v>
                </c:pt>
                <c:pt idx="4">
                  <c:v>Tanum och Fjällbacka</c:v>
                </c:pt>
                <c:pt idx="5">
                  <c:v>Noltrop</c:v>
                </c:pt>
              </c:strCache>
            </c:strRef>
          </c:cat>
          <c:val>
            <c:numRef>
              <c:f>_ChartData!$Q$2:$Q$7</c:f>
              <c:numCache>
                <c:formatCode>General</c:formatCode>
                <c:ptCount val="6"/>
                <c:pt idx="0">
                  <c:v>3638</c:v>
                </c:pt>
                <c:pt idx="1">
                  <c:v>4340</c:v>
                </c:pt>
                <c:pt idx="2">
                  <c:v>6149</c:v>
                </c:pt>
                <c:pt idx="3">
                  <c:v>4985</c:v>
                </c:pt>
                <c:pt idx="4">
                  <c:v>4394</c:v>
                </c:pt>
                <c:pt idx="5">
                  <c:v>7315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A2-4518-AE62-98373BAF97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01212384"/>
        <c:axId val="501212864"/>
      </c:barChart>
      <c:catAx>
        <c:axId val="50121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01212864"/>
        <c:crosses val="autoZero"/>
        <c:auto val="1"/>
        <c:lblAlgn val="ctr"/>
        <c:lblOffset val="100"/>
        <c:noMultiLvlLbl val="0"/>
      </c:catAx>
      <c:valAx>
        <c:axId val="50121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0121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Tätort — Budgetuppfyllnad per enhet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_ChartData!$T$1</c:f>
              <c:strCache>
                <c:ptCount val="1"/>
                <c:pt idx="0">
                  <c:v>Uppfyllnad %</c:v>
                </c:pt>
              </c:strCache>
            </c:strRef>
          </c:tx>
          <c:spPr>
            <a:solidFill>
              <a:srgbClr val="6A1B9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_ChartData!$S$2:$S$7</c:f>
              <c:strCache>
                <c:ptCount val="6"/>
                <c:pt idx="0">
                  <c:v>Lilla Edet</c:v>
                </c:pt>
                <c:pt idx="1">
                  <c:v>Åmål</c:v>
                </c:pt>
                <c:pt idx="2">
                  <c:v>Brålanda-Torpa</c:v>
                </c:pt>
                <c:pt idx="3">
                  <c:v>Noltrop</c:v>
                </c:pt>
                <c:pt idx="4">
                  <c:v>Stavre</c:v>
                </c:pt>
                <c:pt idx="5">
                  <c:v>Tanum och Fjällbacka</c:v>
                </c:pt>
              </c:strCache>
            </c:strRef>
          </c:cat>
          <c:val>
            <c:numRef>
              <c:f>_ChartData!$T$2:$T$7</c:f>
              <c:numCache>
                <c:formatCode>General</c:formatCode>
                <c:ptCount val="6"/>
                <c:pt idx="0">
                  <c:v>0.6269928532160528</c:v>
                </c:pt>
                <c:pt idx="1">
                  <c:v>0.72060497641892995</c:v>
                </c:pt>
                <c:pt idx="2">
                  <c:v>0.90611835506519556</c:v>
                </c:pt>
                <c:pt idx="3">
                  <c:v>0.96404647983595348</c:v>
                </c:pt>
                <c:pt idx="4">
                  <c:v>0.97511520737327184</c:v>
                </c:pt>
                <c:pt idx="5">
                  <c:v>1.1340464269458352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E-4E46-B1D9-7AA1545B33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01218144"/>
        <c:axId val="501215264"/>
      </c:barChart>
      <c:catAx>
        <c:axId val="50121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01215264"/>
        <c:crosses val="autoZero"/>
        <c:auto val="1"/>
        <c:lblAlgn val="ctr"/>
        <c:lblOffset val="100"/>
        <c:noMultiLvlLbl val="0"/>
      </c:catAx>
      <c:valAx>
        <c:axId val="50121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0121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48</xdr:row>
      <xdr:rowOff>43542</xdr:rowOff>
    </xdr:from>
    <xdr:to>
      <xdr:col>7</xdr:col>
      <xdr:colOff>152400</xdr:colOff>
      <xdr:row>70</xdr:row>
      <xdr:rowOff>43542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623EAAAA-CCC2-7991-1A14-B9E7284D6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206828</xdr:colOff>
      <xdr:row>71</xdr:row>
      <xdr:rowOff>108857</xdr:rowOff>
    </xdr:from>
    <xdr:to>
      <xdr:col>7</xdr:col>
      <xdr:colOff>130629</xdr:colOff>
      <xdr:row>93</xdr:row>
      <xdr:rowOff>108857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5FE947D0-898E-DAD8-A14D-A70A97BFF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328385</xdr:colOff>
      <xdr:row>48</xdr:row>
      <xdr:rowOff>63862</xdr:rowOff>
    </xdr:from>
    <xdr:to>
      <xdr:col>16</xdr:col>
      <xdr:colOff>554445</xdr:colOff>
      <xdr:row>69</xdr:row>
      <xdr:rowOff>161471</xdr:rowOff>
    </xdr:to>
    <xdr:graphicFrame macro="">
      <xdr:nvGraphicFramePr>
        <xdr:cNvPr id="2" name="Stor-GBG — YTD Actual vs Budget per enhet">
          <a:extLst>
            <a:ext uri="{FF2B5EF4-FFF2-40B4-BE49-F238E27FC236}">
              <a16:creationId xmlns:a16="http://schemas.microsoft.com/office/drawing/2014/main" id="{B0D9D6A6-6961-26DC-3CBD-ECF464772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943791</xdr:colOff>
      <xdr:row>48</xdr:row>
      <xdr:rowOff>63862</xdr:rowOff>
    </xdr:from>
    <xdr:to>
      <xdr:col>28</xdr:col>
      <xdr:colOff>231502</xdr:colOff>
      <xdr:row>69</xdr:row>
      <xdr:rowOff>161471</xdr:rowOff>
    </xdr:to>
    <xdr:graphicFrame macro="">
      <xdr:nvGraphicFramePr>
        <xdr:cNvPr id="3" name="Stor-GBG — Budgetuppfyllnad per enhet (%)">
          <a:extLst>
            <a:ext uri="{FF2B5EF4-FFF2-40B4-BE49-F238E27FC236}">
              <a16:creationId xmlns:a16="http://schemas.microsoft.com/office/drawing/2014/main" id="{68F37C9D-F934-9F91-5A04-36E1C3F41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328385</xdr:colOff>
      <xdr:row>71</xdr:row>
      <xdr:rowOff>93980</xdr:rowOff>
    </xdr:from>
    <xdr:to>
      <xdr:col>16</xdr:col>
      <xdr:colOff>554445</xdr:colOff>
      <xdr:row>93</xdr:row>
      <xdr:rowOff>63137</xdr:rowOff>
    </xdr:to>
    <xdr:graphicFrame macro="">
      <xdr:nvGraphicFramePr>
        <xdr:cNvPr id="4" name="Tätort — YTD Actual vs Budget per enhet">
          <a:extLst>
            <a:ext uri="{FF2B5EF4-FFF2-40B4-BE49-F238E27FC236}">
              <a16:creationId xmlns:a16="http://schemas.microsoft.com/office/drawing/2014/main" id="{BB015445-8A4F-E292-5F52-AC5EEEC8B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943791</xdr:colOff>
      <xdr:row>71</xdr:row>
      <xdr:rowOff>93980</xdr:rowOff>
    </xdr:from>
    <xdr:to>
      <xdr:col>28</xdr:col>
      <xdr:colOff>231502</xdr:colOff>
      <xdr:row>93</xdr:row>
      <xdr:rowOff>63137</xdr:rowOff>
    </xdr:to>
    <xdr:graphicFrame macro="">
      <xdr:nvGraphicFramePr>
        <xdr:cNvPr id="5" name="Tätort — Budgetuppfyllnad per enhet (%)">
          <a:extLst>
            <a:ext uri="{FF2B5EF4-FFF2-40B4-BE49-F238E27FC236}">
              <a16:creationId xmlns:a16="http://schemas.microsoft.com/office/drawing/2014/main" id="{77128296-E833-D4E8-7848-B83769774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17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EB3C2A2-169A-4137-914A-DBF0ED230AD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b39b70c-b25b-4f75-9dc6-1fe1cc4352c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F0A1-9025-40A0-91A6-49A02BF0CB7C}">
  <dimension ref="A1:R302"/>
  <sheetViews>
    <sheetView showGridLines="0" tabSelected="1" zoomScale="70" zoomScaleNormal="70" workbookViewId="0">
      <selection activeCell="L98" sqref="L98"/>
    </sheetView>
  </sheetViews>
  <sheetFormatPr defaultRowHeight="14.4" outlineLevelRow="1"/>
  <cols>
    <col min="1" max="1" width="21.44140625" customWidth="1"/>
    <col min="2" max="2" width="22.21875" customWidth="1"/>
    <col min="3" max="3" width="14.33203125" customWidth="1"/>
    <col min="4" max="6" width="13" customWidth="1"/>
    <col min="7" max="13" width="10.21875" customWidth="1"/>
    <col min="14" max="17" width="13.88671875" customWidth="1"/>
    <col min="18" max="18" width="13.88671875" customWidth="1" collapsed="1"/>
  </cols>
  <sheetData>
    <row r="1" spans="1:18" ht="35.1" customHeight="1">
      <c r="A1" s="40" t="s">
        <v>171</v>
      </c>
      <c r="B1" s="41"/>
      <c r="C1" s="41"/>
      <c r="D1" s="41"/>
      <c r="E1" s="41"/>
      <c r="F1" s="41"/>
      <c r="G1" s="41"/>
      <c r="H1" s="41"/>
      <c r="I1" s="41"/>
    </row>
    <row r="2" spans="1:18" ht="20.100000000000001" customHeight="1">
      <c r="A2" s="42" t="str" cm="1">
        <f t="array" ref="A2">"Sammanfattning alla enheter — Actual vs Budget (Jan–"&amp;INDEX('Enheterna AO VGR'!B2:M2,MATCH(2,1/('Enheterna AO VGR'!B3:M3&gt;0)))&amp;" 2026)"</f>
        <v>Sammanfattning alla enheter — Actual vs Budget (Jan–Apr 2026)</v>
      </c>
      <c r="B2" s="41"/>
      <c r="C2" s="41"/>
      <c r="D2" s="41"/>
      <c r="E2" s="41"/>
      <c r="F2" s="41"/>
      <c r="G2" s="41"/>
      <c r="H2" s="41"/>
      <c r="I2" s="41"/>
    </row>
    <row r="4" spans="1:18" ht="27.9" customHeight="1">
      <c r="A4" s="43" t="s">
        <v>221</v>
      </c>
    </row>
    <row r="6" spans="1:18">
      <c r="A6" s="100" t="s">
        <v>174</v>
      </c>
      <c r="B6" s="44" t="s">
        <v>224</v>
      </c>
      <c r="C6" s="45" t="s">
        <v>225</v>
      </c>
      <c r="D6" s="46" t="s">
        <v>172</v>
      </c>
      <c r="E6" s="47" t="s">
        <v>173</v>
      </c>
      <c r="F6" s="48" t="s">
        <v>226</v>
      </c>
    </row>
    <row r="7" spans="1:18" ht="18">
      <c r="A7" s="101" t="s">
        <v>222</v>
      </c>
      <c r="B7" s="103" cm="1">
        <f t="array" ref="B7">SUMPRODUCT(('Enheterna AO VGR'!B3:M3)*('Enheterna AO VGR'!B3:M3&gt;0))</f>
        <v>24943</v>
      </c>
      <c r="C7" s="105" cm="1">
        <f t="array" ref="C7">SUMPRODUCT(('Enheterna AO VGR'!B4:M4)*('Enheterna AO VGR'!B3:M3&gt;0))</f>
        <v>29816</v>
      </c>
      <c r="D7" s="106">
        <f>B7-C7</f>
        <v>-4873</v>
      </c>
      <c r="E7" s="107">
        <f>IFERROR(B7/C7,0)</f>
        <v>0.83656426079957069</v>
      </c>
      <c r="F7" s="108" cm="1">
        <f t="array" ref="F7">IFERROR(INDEX('Enheterna AO VGR'!B3:M3,MATCH(2,1/('Enheterna AO VGR'!B3:M3&gt;0)))-INDEX('Enheterna AO VGR'!B3:M3,MATCH(2,1/('Enheterna AO VGR'!B3:M3&gt;0))-1),0)</f>
        <v>-602</v>
      </c>
    </row>
    <row r="8" spans="1:18" ht="18">
      <c r="A8" s="101" t="s">
        <v>223</v>
      </c>
      <c r="B8" s="103" cm="1">
        <f t="array" ref="B8">SUMPRODUCT(('Enheterna AO VGR'!B9:M9)*('Enheterna AO VGR'!B9:M9&gt;0))</f>
        <v>27496</v>
      </c>
      <c r="C8" s="105" cm="1">
        <f t="array" ref="C8">SUMPRODUCT(('Enheterna AO VGR'!B10:M10)*('Enheterna AO VGR'!B9:M9&gt;0))</f>
        <v>30821</v>
      </c>
      <c r="D8" s="106">
        <f>B8-C8</f>
        <v>-3325</v>
      </c>
      <c r="E8" s="107">
        <f>IFERROR(B8/C8,0)</f>
        <v>0.89211900976606862</v>
      </c>
      <c r="F8" s="108" cm="1">
        <f t="array" ref="F8">IFERROR(INDEX('Enheterna AO VGR'!B9:M9,MATCH(2,1/('Enheterna AO VGR'!B9:M9&gt;0)))-INDEX('Enheterna AO VGR'!B9:M9,MATCH(2,1/('Enheterna AO VGR'!B9:M9&gt;0))-1),0)</f>
        <v>-73</v>
      </c>
    </row>
    <row r="11" spans="1:18" ht="27.9" customHeight="1">
      <c r="A11" s="43" t="s">
        <v>175</v>
      </c>
    </row>
    <row r="12" spans="1:18" ht="15" thickBot="1"/>
    <row r="13" spans="1:18">
      <c r="A13" s="68" t="s">
        <v>176</v>
      </c>
      <c r="B13" s="63" t="str">
        <f>'Enheterna AO VGR'!B2</f>
        <v>Jan</v>
      </c>
      <c r="C13" s="63" t="str">
        <f>'Enheterna AO VGR'!C2</f>
        <v>Feb</v>
      </c>
      <c r="D13" s="63" t="str">
        <f>'Enheterna AO VGR'!D2</f>
        <v>Mar</v>
      </c>
      <c r="E13" s="63" t="str">
        <f>'Enheterna AO VGR'!E2</f>
        <v>Apr</v>
      </c>
      <c r="F13" s="63" t="str">
        <f>'Enheterna AO VGR'!F2</f>
        <v>Maj</v>
      </c>
      <c r="G13" s="63" t="str">
        <f>'Enheterna AO VGR'!G2</f>
        <v>Jun</v>
      </c>
      <c r="H13" s="63" t="str">
        <f>'Enheterna AO VGR'!H2</f>
        <v>Jul</v>
      </c>
      <c r="I13" s="63" t="str">
        <f>'Enheterna AO VGR'!I2</f>
        <v>Aug</v>
      </c>
      <c r="J13" s="63" t="str">
        <f>'Enheterna AO VGR'!J2</f>
        <v>Sep</v>
      </c>
      <c r="K13" s="63" t="str">
        <f>'Enheterna AO VGR'!K2</f>
        <v>Okt</v>
      </c>
      <c r="L13" s="63" t="str">
        <f>'Enheterna AO VGR'!L2</f>
        <v>Nov</v>
      </c>
      <c r="M13" s="63" t="str">
        <f>'Enheterna AO VGR'!M2</f>
        <v>Dec</v>
      </c>
      <c r="N13" s="64" t="s">
        <v>224</v>
      </c>
      <c r="O13" s="65" t="s">
        <v>225</v>
      </c>
      <c r="P13" s="66" t="s">
        <v>227</v>
      </c>
      <c r="Q13" s="67" t="s">
        <v>178</v>
      </c>
      <c r="R13" s="69" t="s">
        <v>179</v>
      </c>
    </row>
    <row r="14" spans="1:18">
      <c r="A14" s="110" t="s">
        <v>180</v>
      </c>
      <c r="B14" s="111">
        <f>IF('Enheterna AO VGR'!B16=0,"",'Enheterna AO VGR'!B16)</f>
        <v>783</v>
      </c>
      <c r="C14" s="111">
        <f>IF('Enheterna AO VGR'!C16=0,"",'Enheterna AO VGR'!C16)</f>
        <v>900</v>
      </c>
      <c r="D14" s="111">
        <f>IF('Enheterna AO VGR'!D16=0,"",'Enheterna AO VGR'!D16)</f>
        <v>883</v>
      </c>
      <c r="E14" s="111">
        <f>IF('Enheterna AO VGR'!E16=0,"",'Enheterna AO VGR'!E16)</f>
        <v>828</v>
      </c>
      <c r="F14" s="111" t="str">
        <f>IF('Enheterna AO VGR'!F16=0,"",'Enheterna AO VGR'!F16)</f>
        <v/>
      </c>
      <c r="G14" s="111" t="str">
        <f>IF('Enheterna AO VGR'!G16=0,"",'Enheterna AO VGR'!G16)</f>
        <v/>
      </c>
      <c r="H14" s="111" t="str">
        <f>IF('Enheterna AO VGR'!H16=0,"",'Enheterna AO VGR'!H16)</f>
        <v/>
      </c>
      <c r="I14" s="111" t="str">
        <f>IF('Enheterna AO VGR'!I16=0,"",'Enheterna AO VGR'!I16)</f>
        <v/>
      </c>
      <c r="J14" s="111" t="str">
        <f>IF('Enheterna AO VGR'!J16=0,"",'Enheterna AO VGR'!J16)</f>
        <v/>
      </c>
      <c r="K14" s="111" t="str">
        <f>IF('Enheterna AO VGR'!K16=0,"",'Enheterna AO VGR'!K16)</f>
        <v/>
      </c>
      <c r="L14" s="111" t="str">
        <f>IF('Enheterna AO VGR'!L16=0,"",'Enheterna AO VGR'!L16)</f>
        <v/>
      </c>
      <c r="M14" s="111" t="str">
        <f>IF('Enheterna AO VGR'!M16=0,"",'Enheterna AO VGR'!M16)</f>
        <v/>
      </c>
      <c r="N14" s="112">
        <f>SUM('Enheterna AO VGR'!B16:M16)</f>
        <v>3394</v>
      </c>
      <c r="O14" s="112" cm="1">
        <f t="array" ref="O14">SUMPRODUCT(('Enheterna AO VGR'!B17:M17)*('Enheterna AO VGR'!B16:M16&gt;0))</f>
        <v>4368</v>
      </c>
      <c r="P14" s="113">
        <f>N14-O14</f>
        <v>-974</v>
      </c>
      <c r="Q14" s="114">
        <f>IFERROR(N14/O14,0)</f>
        <v>0.77701465201465203</v>
      </c>
      <c r="R14" s="115">
        <f>SUM('Enheterna AO VGR'!B17:M17)</f>
        <v>12218</v>
      </c>
    </row>
    <row r="15" spans="1:18">
      <c r="A15" s="116" t="s">
        <v>27</v>
      </c>
      <c r="B15" s="117">
        <f>IF('Enheterna AO VGR'!B22=0,"",'Enheterna AO VGR'!B22)</f>
        <v>754</v>
      </c>
      <c r="C15" s="117">
        <f>IF('Enheterna AO VGR'!C22=0,"",'Enheterna AO VGR'!C22)</f>
        <v>884</v>
      </c>
      <c r="D15" s="117">
        <f>IF('Enheterna AO VGR'!D22=0,"",'Enheterna AO VGR'!D22)</f>
        <v>1064</v>
      </c>
      <c r="E15" s="117">
        <f>IF('Enheterna AO VGR'!E22=0,"",'Enheterna AO VGR'!E22)</f>
        <v>1072</v>
      </c>
      <c r="F15" s="117" t="str">
        <f>IF('Enheterna AO VGR'!F22=0,"",'Enheterna AO VGR'!F22)</f>
        <v/>
      </c>
      <c r="G15" s="117" t="str">
        <f>IF('Enheterna AO VGR'!G22=0,"",'Enheterna AO VGR'!G22)</f>
        <v/>
      </c>
      <c r="H15" s="117" t="str">
        <f>IF('Enheterna AO VGR'!H22=0,"",'Enheterna AO VGR'!H22)</f>
        <v/>
      </c>
      <c r="I15" s="117" t="str">
        <f>IF('Enheterna AO VGR'!I22=0,"",'Enheterna AO VGR'!I22)</f>
        <v/>
      </c>
      <c r="J15" s="117" t="str">
        <f>IF('Enheterna AO VGR'!J22=0,"",'Enheterna AO VGR'!J22)</f>
        <v/>
      </c>
      <c r="K15" s="117" t="str">
        <f>IF('Enheterna AO VGR'!K22=0,"",'Enheterna AO VGR'!K22)</f>
        <v/>
      </c>
      <c r="L15" s="117" t="str">
        <f>IF('Enheterna AO VGR'!L22=0,"",'Enheterna AO VGR'!L22)</f>
        <v/>
      </c>
      <c r="M15" s="117" t="str">
        <f>IF('Enheterna AO VGR'!M22=0,"",'Enheterna AO VGR'!M22)</f>
        <v/>
      </c>
      <c r="N15" s="118">
        <f>SUM('Enheterna AO VGR'!B22:M22)</f>
        <v>3774</v>
      </c>
      <c r="O15" s="118" cm="1">
        <f t="array" ref="O15">SUMPRODUCT(('Enheterna AO VGR'!B23:M23)*('Enheterna AO VGR'!B22:M22&gt;0))</f>
        <v>4115</v>
      </c>
      <c r="P15" s="119">
        <f>N15-O15</f>
        <v>-341</v>
      </c>
      <c r="Q15" s="120">
        <f>IFERROR(N15/O15,0)</f>
        <v>0.91713244228432567</v>
      </c>
      <c r="R15" s="121">
        <f>SUM('Enheterna AO VGR'!B23:M23)</f>
        <v>11295</v>
      </c>
    </row>
    <row r="16" spans="1:18">
      <c r="A16" s="110" t="s">
        <v>28</v>
      </c>
      <c r="B16" s="111">
        <f>IF('Enheterna AO VGR'!B28=0,"",'Enheterna AO VGR'!B28)</f>
        <v>894</v>
      </c>
      <c r="C16" s="111">
        <f>IF('Enheterna AO VGR'!C28=0,"",'Enheterna AO VGR'!C28)</f>
        <v>962</v>
      </c>
      <c r="D16" s="111">
        <f>IF('Enheterna AO VGR'!D28=0,"",'Enheterna AO VGR'!D28)</f>
        <v>1003</v>
      </c>
      <c r="E16" s="111">
        <f>IF('Enheterna AO VGR'!E28=0,"",'Enheterna AO VGR'!E28)</f>
        <v>836</v>
      </c>
      <c r="F16" s="111" t="str">
        <f>IF('Enheterna AO VGR'!F28=0,"",'Enheterna AO VGR'!F28)</f>
        <v/>
      </c>
      <c r="G16" s="111" t="str">
        <f>IF('Enheterna AO VGR'!G28=0,"",'Enheterna AO VGR'!G28)</f>
        <v/>
      </c>
      <c r="H16" s="111" t="str">
        <f>IF('Enheterna AO VGR'!H28=0,"",'Enheterna AO VGR'!H28)</f>
        <v/>
      </c>
      <c r="I16" s="111" t="str">
        <f>IF('Enheterna AO VGR'!I28=0,"",'Enheterna AO VGR'!I28)</f>
        <v/>
      </c>
      <c r="J16" s="111" t="str">
        <f>IF('Enheterna AO VGR'!J28=0,"",'Enheterna AO VGR'!J28)</f>
        <v/>
      </c>
      <c r="K16" s="111" t="str">
        <f>IF('Enheterna AO VGR'!K28=0,"",'Enheterna AO VGR'!K28)</f>
        <v/>
      </c>
      <c r="L16" s="111" t="str">
        <f>IF('Enheterna AO VGR'!L28=0,"",'Enheterna AO VGR'!L28)</f>
        <v/>
      </c>
      <c r="M16" s="111" t="str">
        <f>IF('Enheterna AO VGR'!M28=0,"",'Enheterna AO VGR'!M28)</f>
        <v/>
      </c>
      <c r="N16" s="112">
        <f>SUM('Enheterna AO VGR'!B28:M28)</f>
        <v>3695</v>
      </c>
      <c r="O16" s="112" cm="1">
        <f t="array" ref="O16">SUMPRODUCT(('Enheterna AO VGR'!B29:M29)*('Enheterna AO VGR'!B28:M28&gt;0))</f>
        <v>4548</v>
      </c>
      <c r="P16" s="113">
        <f>N16-O16</f>
        <v>-853</v>
      </c>
      <c r="Q16" s="114">
        <f>IFERROR(N16/O16,0)</f>
        <v>0.81244503078276165</v>
      </c>
      <c r="R16" s="115">
        <f>SUM('Enheterna AO VGR'!B29:M29)</f>
        <v>12836</v>
      </c>
    </row>
    <row r="17" spans="1:18">
      <c r="A17" s="116" t="s">
        <v>29</v>
      </c>
      <c r="B17" s="117">
        <f>IF('Enheterna AO VGR'!B34=0,"",'Enheterna AO VGR'!B34)</f>
        <v>478</v>
      </c>
      <c r="C17" s="117">
        <f>IF('Enheterna AO VGR'!C34=0,"",'Enheterna AO VGR'!C34)</f>
        <v>532</v>
      </c>
      <c r="D17" s="117">
        <f>IF('Enheterna AO VGR'!D34=0,"",'Enheterna AO VGR'!D34)</f>
        <v>789</v>
      </c>
      <c r="E17" s="117">
        <f>IF('Enheterna AO VGR'!E34=0,"",'Enheterna AO VGR'!E34)</f>
        <v>680</v>
      </c>
      <c r="F17" s="117" t="str">
        <f>IF('Enheterna AO VGR'!F34=0,"",'Enheterna AO VGR'!F34)</f>
        <v/>
      </c>
      <c r="G17" s="117" t="str">
        <f>IF('Enheterna AO VGR'!G34=0,"",'Enheterna AO VGR'!G34)</f>
        <v/>
      </c>
      <c r="H17" s="117" t="str">
        <f>IF('Enheterna AO VGR'!H34=0,"",'Enheterna AO VGR'!H34)</f>
        <v/>
      </c>
      <c r="I17" s="117" t="str">
        <f>IF('Enheterna AO VGR'!I34=0,"",'Enheterna AO VGR'!I34)</f>
        <v/>
      </c>
      <c r="J17" s="117" t="str">
        <f>IF('Enheterna AO VGR'!J34=0,"",'Enheterna AO VGR'!J34)</f>
        <v/>
      </c>
      <c r="K17" s="117" t="str">
        <f>IF('Enheterna AO VGR'!K34=0,"",'Enheterna AO VGR'!K34)</f>
        <v/>
      </c>
      <c r="L17" s="117" t="str">
        <f>IF('Enheterna AO VGR'!L34=0,"",'Enheterna AO VGR'!L34)</f>
        <v/>
      </c>
      <c r="M17" s="117" t="str">
        <f>IF('Enheterna AO VGR'!M34=0,"",'Enheterna AO VGR'!M34)</f>
        <v/>
      </c>
      <c r="N17" s="118">
        <f>SUM('Enheterna AO VGR'!B34:M34)</f>
        <v>2479</v>
      </c>
      <c r="O17" s="118" cm="1">
        <f t="array" ref="O17">SUMPRODUCT(('Enheterna AO VGR'!B35:M35)*('Enheterna AO VGR'!B34:M34&gt;0))</f>
        <v>2725</v>
      </c>
      <c r="P17" s="119">
        <f>N17-O17</f>
        <v>-246</v>
      </c>
      <c r="Q17" s="120">
        <f>IFERROR(N17/O17,0)</f>
        <v>0.90972477064220181</v>
      </c>
      <c r="R17" s="121">
        <f>SUM('Enheterna AO VGR'!B35:M35)</f>
        <v>8580</v>
      </c>
    </row>
    <row r="18" spans="1:18">
      <c r="A18" s="110" t="s">
        <v>30</v>
      </c>
      <c r="B18" s="111">
        <f>IF('Enheterna AO VGR'!B40=0,"",'Enheterna AO VGR'!B40)</f>
        <v>926</v>
      </c>
      <c r="C18" s="111">
        <f>IF('Enheterna AO VGR'!C40=0,"",'Enheterna AO VGR'!C40)</f>
        <v>1054</v>
      </c>
      <c r="D18" s="111">
        <f>IF('Enheterna AO VGR'!D40=0,"",'Enheterna AO VGR'!D40)</f>
        <v>1103</v>
      </c>
      <c r="E18" s="111">
        <f>IF('Enheterna AO VGR'!E40=0,"",'Enheterna AO VGR'!E40)</f>
        <v>941</v>
      </c>
      <c r="F18" s="111" t="str">
        <f>IF('Enheterna AO VGR'!F40=0,"",'Enheterna AO VGR'!F40)</f>
        <v/>
      </c>
      <c r="G18" s="111" t="str">
        <f>IF('Enheterna AO VGR'!G40=0,"",'Enheterna AO VGR'!G40)</f>
        <v/>
      </c>
      <c r="H18" s="111" t="str">
        <f>IF('Enheterna AO VGR'!H40=0,"",'Enheterna AO VGR'!H40)</f>
        <v/>
      </c>
      <c r="I18" s="111" t="str">
        <f>IF('Enheterna AO VGR'!I40=0,"",'Enheterna AO VGR'!I40)</f>
        <v/>
      </c>
      <c r="J18" s="111" t="str">
        <f>IF('Enheterna AO VGR'!J40=0,"",'Enheterna AO VGR'!J40)</f>
        <v/>
      </c>
      <c r="K18" s="111" t="str">
        <f>IF('Enheterna AO VGR'!K40=0,"",'Enheterna AO VGR'!K40)</f>
        <v/>
      </c>
      <c r="L18" s="111" t="str">
        <f>IF('Enheterna AO VGR'!L40=0,"",'Enheterna AO VGR'!L40)</f>
        <v/>
      </c>
      <c r="M18" s="111" t="str">
        <f>IF('Enheterna AO VGR'!M40=0,"",'Enheterna AO VGR'!M40)</f>
        <v/>
      </c>
      <c r="N18" s="112">
        <f>SUM('Enheterna AO VGR'!B40:M40)</f>
        <v>4024</v>
      </c>
      <c r="O18" s="112" cm="1">
        <f t="array" ref="O18">SUMPRODUCT(('Enheterna AO VGR'!B41:M41)*('Enheterna AO VGR'!B40:M40&gt;0))</f>
        <v>4340</v>
      </c>
      <c r="P18" s="113">
        <f>N18-O18</f>
        <v>-316</v>
      </c>
      <c r="Q18" s="114">
        <f>IFERROR(N18/O18,0)</f>
        <v>0.9271889400921659</v>
      </c>
      <c r="R18" s="115">
        <f>SUM('Enheterna AO VGR'!B41:M41)</f>
        <v>12486</v>
      </c>
    </row>
    <row r="19" spans="1:18">
      <c r="A19" s="116" t="s">
        <v>31</v>
      </c>
      <c r="B19" s="117">
        <f>IF('Enheterna AO VGR'!B46=0,"",'Enheterna AO VGR'!B46)</f>
        <v>554</v>
      </c>
      <c r="C19" s="117">
        <f>IF('Enheterna AO VGR'!C46=0,"",'Enheterna AO VGR'!C46)</f>
        <v>488</v>
      </c>
      <c r="D19" s="117">
        <f>IF('Enheterna AO VGR'!D46=0,"",'Enheterna AO VGR'!D46)</f>
        <v>628</v>
      </c>
      <c r="E19" s="117">
        <f>IF('Enheterna AO VGR'!E46=0,"",'Enheterna AO VGR'!E46)</f>
        <v>754</v>
      </c>
      <c r="F19" s="117" t="str">
        <f>IF('Enheterna AO VGR'!F46=0,"",'Enheterna AO VGR'!F46)</f>
        <v/>
      </c>
      <c r="G19" s="117" t="str">
        <f>IF('Enheterna AO VGR'!G46=0,"",'Enheterna AO VGR'!G46)</f>
        <v/>
      </c>
      <c r="H19" s="117" t="str">
        <f>IF('Enheterna AO VGR'!H46=0,"",'Enheterna AO VGR'!H46)</f>
        <v/>
      </c>
      <c r="I19" s="117" t="str">
        <f>IF('Enheterna AO VGR'!I46=0,"",'Enheterna AO VGR'!I46)</f>
        <v/>
      </c>
      <c r="J19" s="117" t="str">
        <f>IF('Enheterna AO VGR'!J46=0,"",'Enheterna AO VGR'!J46)</f>
        <v/>
      </c>
      <c r="K19" s="117" t="str">
        <f>IF('Enheterna AO VGR'!K46=0,"",'Enheterna AO VGR'!K46)</f>
        <v/>
      </c>
      <c r="L19" s="117" t="str">
        <f>IF('Enheterna AO VGR'!L46=0,"",'Enheterna AO VGR'!L46)</f>
        <v/>
      </c>
      <c r="M19" s="117" t="str">
        <f>IF('Enheterna AO VGR'!M46=0,"",'Enheterna AO VGR'!M46)</f>
        <v/>
      </c>
      <c r="N19" s="118">
        <f>SUM('Enheterna AO VGR'!B46:M46)</f>
        <v>2424</v>
      </c>
      <c r="O19" s="118" cm="1">
        <f t="array" ref="O19">SUMPRODUCT(('Enheterna AO VGR'!B47:M47)*('Enheterna AO VGR'!B46:M46&gt;0))</f>
        <v>2935</v>
      </c>
      <c r="P19" s="119">
        <f>N19-O19</f>
        <v>-511</v>
      </c>
      <c r="Q19" s="120">
        <f>IFERROR(N19/O19,0)</f>
        <v>0.82589437819420786</v>
      </c>
      <c r="R19" s="121">
        <f>SUM('Enheterna AO VGR'!B47:M47)</f>
        <v>8760</v>
      </c>
    </row>
    <row r="20" spans="1:18">
      <c r="A20" s="110" t="s">
        <v>32</v>
      </c>
      <c r="B20" s="111">
        <f>IF('Enheterna AO VGR'!B52=0,"",'Enheterna AO VGR'!B52)</f>
        <v>886</v>
      </c>
      <c r="C20" s="111">
        <f>IF('Enheterna AO VGR'!C52=0,"",'Enheterna AO VGR'!C52)</f>
        <v>910</v>
      </c>
      <c r="D20" s="111">
        <f>IF('Enheterna AO VGR'!D52=0,"",'Enheterna AO VGR'!D52)</f>
        <v>1253</v>
      </c>
      <c r="E20" s="111">
        <f>IF('Enheterna AO VGR'!E52=0,"",'Enheterna AO VGR'!E52)</f>
        <v>997</v>
      </c>
      <c r="F20" s="111" t="str">
        <f>IF('Enheterna AO VGR'!F52=0,"",'Enheterna AO VGR'!F52)</f>
        <v/>
      </c>
      <c r="G20" s="111" t="str">
        <f>IF('Enheterna AO VGR'!G52=0,"",'Enheterna AO VGR'!G52)</f>
        <v/>
      </c>
      <c r="H20" s="111" t="str">
        <f>IF('Enheterna AO VGR'!H52=0,"",'Enheterna AO VGR'!H52)</f>
        <v/>
      </c>
      <c r="I20" s="111" t="str">
        <f>IF('Enheterna AO VGR'!I52=0,"",'Enheterna AO VGR'!I52)</f>
        <v/>
      </c>
      <c r="J20" s="111" t="str">
        <f>IF('Enheterna AO VGR'!J52=0,"",'Enheterna AO VGR'!J52)</f>
        <v/>
      </c>
      <c r="K20" s="111" t="str">
        <f>IF('Enheterna AO VGR'!K52=0,"",'Enheterna AO VGR'!K52)</f>
        <v/>
      </c>
      <c r="L20" s="111" t="str">
        <f>IF('Enheterna AO VGR'!L52=0,"",'Enheterna AO VGR'!L52)</f>
        <v/>
      </c>
      <c r="M20" s="111" t="str">
        <f>IF('Enheterna AO VGR'!M52=0,"",'Enheterna AO VGR'!M52)</f>
        <v/>
      </c>
      <c r="N20" s="112">
        <f>SUM('Enheterna AO VGR'!B52:M52)</f>
        <v>4046</v>
      </c>
      <c r="O20" s="112" cm="1">
        <f t="array" ref="O20">SUMPRODUCT(('Enheterna AO VGR'!B53:M53)*('Enheterna AO VGR'!B52:M52&gt;0))</f>
        <v>4805</v>
      </c>
      <c r="P20" s="113">
        <f>N20-O20</f>
        <v>-759</v>
      </c>
      <c r="Q20" s="114">
        <f>IFERROR(N20/O20,0)</f>
        <v>0.84203954214360044</v>
      </c>
      <c r="R20" s="115">
        <f>SUM('Enheterna AO VGR'!B53:M53)</f>
        <v>14495</v>
      </c>
    </row>
    <row r="21" spans="1:18">
      <c r="A21" s="116" t="s">
        <v>33</v>
      </c>
      <c r="B21" s="117">
        <f>IF('Enheterna AO VGR'!B58=0,"",'Enheterna AO VGR'!B58)</f>
        <v>226</v>
      </c>
      <c r="C21" s="117">
        <f>IF('Enheterna AO VGR'!C58=0,"",'Enheterna AO VGR'!C58)</f>
        <v>244</v>
      </c>
      <c r="D21" s="117">
        <f>IF('Enheterna AO VGR'!D58=0,"",'Enheterna AO VGR'!D58)</f>
        <v>312</v>
      </c>
      <c r="E21" s="117">
        <f>IF('Enheterna AO VGR'!E58=0,"",'Enheterna AO VGR'!E58)</f>
        <v>325</v>
      </c>
      <c r="F21" s="117" t="str">
        <f>IF('Enheterna AO VGR'!F58=0,"",'Enheterna AO VGR'!F58)</f>
        <v/>
      </c>
      <c r="G21" s="117" t="str">
        <f>IF('Enheterna AO VGR'!G58=0,"",'Enheterna AO VGR'!G58)</f>
        <v/>
      </c>
      <c r="H21" s="117" t="str">
        <f>IF('Enheterna AO VGR'!H58=0,"",'Enheterna AO VGR'!H58)</f>
        <v/>
      </c>
      <c r="I21" s="117" t="str">
        <f>IF('Enheterna AO VGR'!I58=0,"",'Enheterna AO VGR'!I58)</f>
        <v/>
      </c>
      <c r="J21" s="117" t="str">
        <f>IF('Enheterna AO VGR'!J58=0,"",'Enheterna AO VGR'!J58)</f>
        <v/>
      </c>
      <c r="K21" s="117" t="str">
        <f>IF('Enheterna AO VGR'!K58=0,"",'Enheterna AO VGR'!K58)</f>
        <v/>
      </c>
      <c r="L21" s="117" t="str">
        <f>IF('Enheterna AO VGR'!L58=0,"",'Enheterna AO VGR'!L58)</f>
        <v/>
      </c>
      <c r="M21" s="117" t="str">
        <f>IF('Enheterna AO VGR'!M58=0,"",'Enheterna AO VGR'!M58)</f>
        <v/>
      </c>
      <c r="N21" s="118">
        <f>SUM('Enheterna AO VGR'!B58:M58)</f>
        <v>1107</v>
      </c>
      <c r="O21" s="118" cm="1">
        <f t="array" ref="O21">SUMPRODUCT(('Enheterna AO VGR'!B59:M59)*('Enheterna AO VGR'!B58:M58&gt;0))</f>
        <v>1980</v>
      </c>
      <c r="P21" s="119">
        <f>N21-O21</f>
        <v>-873</v>
      </c>
      <c r="Q21" s="120">
        <f>IFERROR(N21/O21,0)</f>
        <v>0.55909090909090908</v>
      </c>
      <c r="R21" s="121">
        <f>SUM('Enheterna AO VGR'!B59:M59)</f>
        <v>5562</v>
      </c>
    </row>
    <row r="22" spans="1:18">
      <c r="A22" s="110" t="s">
        <v>141</v>
      </c>
      <c r="B22" s="111">
        <f>IF('Enheterna AO VGR'!B64=0,"",'Enheterna AO VGR'!B64)</f>
        <v>1084</v>
      </c>
      <c r="C22" s="111">
        <f>IF('Enheterna AO VGR'!C64=0,"",'Enheterna AO VGR'!C64)</f>
        <v>1229</v>
      </c>
      <c r="D22" s="111">
        <f>IF('Enheterna AO VGR'!D64=0,"",'Enheterna AO VGR'!D64)</f>
        <v>1389</v>
      </c>
      <c r="E22" s="111">
        <f>IF('Enheterna AO VGR'!E64=0,"",'Enheterna AO VGR'!E64)</f>
        <v>1281</v>
      </c>
      <c r="F22" s="111" t="str">
        <f>IF('Enheterna AO VGR'!F64=0,"",'Enheterna AO VGR'!F64)</f>
        <v/>
      </c>
      <c r="G22" s="111" t="str">
        <f>IF('Enheterna AO VGR'!G64=0,"",'Enheterna AO VGR'!G64)</f>
        <v/>
      </c>
      <c r="H22" s="111" t="str">
        <f>IF('Enheterna AO VGR'!H64=0,"",'Enheterna AO VGR'!H64)</f>
        <v/>
      </c>
      <c r="I22" s="111" t="str">
        <f>IF('Enheterna AO VGR'!I64=0,"",'Enheterna AO VGR'!I64)</f>
        <v/>
      </c>
      <c r="J22" s="111" t="str">
        <f>IF('Enheterna AO VGR'!J64=0,"",'Enheterna AO VGR'!J64)</f>
        <v/>
      </c>
      <c r="K22" s="111" t="str">
        <f>IF('Enheterna AO VGR'!K64=0,"",'Enheterna AO VGR'!K64)</f>
        <v/>
      </c>
      <c r="L22" s="111" t="str">
        <f>IF('Enheterna AO VGR'!L64=0,"",'Enheterna AO VGR'!L64)</f>
        <v/>
      </c>
      <c r="M22" s="111" t="str">
        <f>IF('Enheterna AO VGR'!M64=0,"",'Enheterna AO VGR'!M64)</f>
        <v/>
      </c>
      <c r="N22" s="112">
        <f>SUM('Enheterna AO VGR'!B64:M64)</f>
        <v>4983</v>
      </c>
      <c r="O22" s="112" cm="1">
        <f t="array" ref="O22">SUMPRODUCT(('Enheterna AO VGR'!B65:M65)*('Enheterna AO VGR'!B64:M64&gt;0))</f>
        <v>4394</v>
      </c>
      <c r="P22" s="113">
        <f>N22-O22</f>
        <v>589</v>
      </c>
      <c r="Q22" s="114">
        <f>IFERROR(N22/O22,0)</f>
        <v>1.1340464269458352</v>
      </c>
      <c r="R22" s="115">
        <f>SUM('Enheterna AO VGR'!B65:M65)</f>
        <v>12786</v>
      </c>
    </row>
    <row r="23" spans="1:18">
      <c r="A23" s="116" t="s">
        <v>142</v>
      </c>
      <c r="B23" s="117">
        <f>IF('Enheterna AO VGR'!B70=0,"",'Enheterna AO VGR'!B70)</f>
        <v>958</v>
      </c>
      <c r="C23" s="117">
        <f>IF('Enheterna AO VGR'!C70=0,"",'Enheterna AO VGR'!C70)</f>
        <v>1192</v>
      </c>
      <c r="D23" s="117">
        <f>IF('Enheterna AO VGR'!D70=0,"",'Enheterna AO VGR'!D70)</f>
        <v>1076</v>
      </c>
      <c r="E23" s="117">
        <f>IF('Enheterna AO VGR'!E70=0,"",'Enheterna AO VGR'!E70)</f>
        <v>1291</v>
      </c>
      <c r="F23" s="117" t="str">
        <f>IF('Enheterna AO VGR'!F70=0,"",'Enheterna AO VGR'!F70)</f>
        <v/>
      </c>
      <c r="G23" s="117" t="str">
        <f>IF('Enheterna AO VGR'!G70=0,"",'Enheterna AO VGR'!G70)</f>
        <v/>
      </c>
      <c r="H23" s="117" t="str">
        <f>IF('Enheterna AO VGR'!H70=0,"",'Enheterna AO VGR'!H70)</f>
        <v/>
      </c>
      <c r="I23" s="117" t="str">
        <f>IF('Enheterna AO VGR'!I70=0,"",'Enheterna AO VGR'!I70)</f>
        <v/>
      </c>
      <c r="J23" s="117" t="str">
        <f>IF('Enheterna AO VGR'!J70=0,"",'Enheterna AO VGR'!J70)</f>
        <v/>
      </c>
      <c r="K23" s="117" t="str">
        <f>IF('Enheterna AO VGR'!K70=0,"",'Enheterna AO VGR'!K70)</f>
        <v/>
      </c>
      <c r="L23" s="117" t="str">
        <f>IF('Enheterna AO VGR'!L70=0,"",'Enheterna AO VGR'!L70)</f>
        <v/>
      </c>
      <c r="M23" s="117" t="str">
        <f>IF('Enheterna AO VGR'!M70=0,"",'Enheterna AO VGR'!M70)</f>
        <v/>
      </c>
      <c r="N23" s="118">
        <f>SUM('Enheterna AO VGR'!B70:M70)</f>
        <v>4517</v>
      </c>
      <c r="O23" s="118" cm="1">
        <f t="array" ref="O23">SUMPRODUCT(('Enheterna AO VGR'!B71:M71)*('Enheterna AO VGR'!B70:M70&gt;0))</f>
        <v>4985</v>
      </c>
      <c r="P23" s="119">
        <f>N23-O23</f>
        <v>-468</v>
      </c>
      <c r="Q23" s="120">
        <f>IFERROR(N23/O23,0)</f>
        <v>0.90611835506519556</v>
      </c>
      <c r="R23" s="121">
        <f>SUM('Enheterna AO VGR'!B71:M71)</f>
        <v>15655</v>
      </c>
    </row>
    <row r="24" spans="1:18">
      <c r="A24" s="110" t="s">
        <v>181</v>
      </c>
      <c r="B24" s="111">
        <f>IF('Enheterna AO VGR'!B76=0,"",'Enheterna AO VGR'!B76)</f>
        <v>1371</v>
      </c>
      <c r="C24" s="111">
        <f>IF('Enheterna AO VGR'!C76=0,"",'Enheterna AO VGR'!C76)</f>
        <v>1606</v>
      </c>
      <c r="D24" s="111">
        <f>IF('Enheterna AO VGR'!D76=0,"",'Enheterna AO VGR'!D76)</f>
        <v>2057</v>
      </c>
      <c r="E24" s="111">
        <f>IF('Enheterna AO VGR'!E76=0,"",'Enheterna AO VGR'!E76)</f>
        <v>2018</v>
      </c>
      <c r="F24" s="111" t="str">
        <f>IF('Enheterna AO VGR'!F76=0,"",'Enheterna AO VGR'!F76)</f>
        <v/>
      </c>
      <c r="G24" s="111" t="str">
        <f>IF('Enheterna AO VGR'!G76=0,"",'Enheterna AO VGR'!G76)</f>
        <v/>
      </c>
      <c r="H24" s="111" t="str">
        <f>IF('Enheterna AO VGR'!H76=0,"",'Enheterna AO VGR'!H76)</f>
        <v/>
      </c>
      <c r="I24" s="111" t="str">
        <f>IF('Enheterna AO VGR'!I76=0,"",'Enheterna AO VGR'!I76)</f>
        <v/>
      </c>
      <c r="J24" s="111" t="str">
        <f>IF('Enheterna AO VGR'!J76=0,"",'Enheterna AO VGR'!J76)</f>
        <v/>
      </c>
      <c r="K24" s="111" t="str">
        <f>IF('Enheterna AO VGR'!K76=0,"",'Enheterna AO VGR'!K76)</f>
        <v/>
      </c>
      <c r="L24" s="111" t="str">
        <f>IF('Enheterna AO VGR'!L76=0,"",'Enheterna AO VGR'!L76)</f>
        <v/>
      </c>
      <c r="M24" s="111" t="str">
        <f>IF('Enheterna AO VGR'!M76=0,"",'Enheterna AO VGR'!M76)</f>
        <v/>
      </c>
      <c r="N24" s="112">
        <f>SUM('Enheterna AO VGR'!B76:M76)</f>
        <v>7052</v>
      </c>
      <c r="O24" s="112" cm="1">
        <f t="array" ref="O24">SUMPRODUCT(('Enheterna AO VGR'!B77:M77)*('Enheterna AO VGR'!B76:M76&gt;0))</f>
        <v>7315</v>
      </c>
      <c r="P24" s="113">
        <f>N24-O24</f>
        <v>-263</v>
      </c>
      <c r="Q24" s="114">
        <f>IFERROR(N24/O24,0)</f>
        <v>0.96404647983595348</v>
      </c>
      <c r="R24" s="115">
        <f>SUM('Enheterna AO VGR'!B77:M77)</f>
        <v>21955</v>
      </c>
    </row>
    <row r="25" spans="1:18">
      <c r="A25" s="116" t="s">
        <v>95</v>
      </c>
      <c r="B25" s="117">
        <f>IF('Enheterna AO VGR'!B82=0,"",'Enheterna AO VGR'!B82)</f>
        <v>718</v>
      </c>
      <c r="C25" s="117">
        <f>IF('Enheterna AO VGR'!C82=0,"",'Enheterna AO VGR'!C82)</f>
        <v>526</v>
      </c>
      <c r="D25" s="117">
        <f>IF('Enheterna AO VGR'!D82=0,"",'Enheterna AO VGR'!D82)</f>
        <v>528</v>
      </c>
      <c r="E25" s="117">
        <f>IF('Enheterna AO VGR'!E82=0,"",'Enheterna AO VGR'!E82)</f>
        <v>509</v>
      </c>
      <c r="F25" s="117" t="str">
        <f>IF('Enheterna AO VGR'!F82=0,"",'Enheterna AO VGR'!F82)</f>
        <v/>
      </c>
      <c r="G25" s="117" t="str">
        <f>IF('Enheterna AO VGR'!G82=0,"",'Enheterna AO VGR'!G82)</f>
        <v/>
      </c>
      <c r="H25" s="117" t="str">
        <f>IF('Enheterna AO VGR'!H82=0,"",'Enheterna AO VGR'!H82)</f>
        <v/>
      </c>
      <c r="I25" s="117" t="str">
        <f>IF('Enheterna AO VGR'!I82=0,"",'Enheterna AO VGR'!I82)</f>
        <v/>
      </c>
      <c r="J25" s="117" t="str">
        <f>IF('Enheterna AO VGR'!J82=0,"",'Enheterna AO VGR'!J82)</f>
        <v/>
      </c>
      <c r="K25" s="117" t="str">
        <f>IF('Enheterna AO VGR'!K82=0,"",'Enheterna AO VGR'!K82)</f>
        <v/>
      </c>
      <c r="L25" s="117" t="str">
        <f>IF('Enheterna AO VGR'!L82=0,"",'Enheterna AO VGR'!L82)</f>
        <v/>
      </c>
      <c r="M25" s="117" t="str">
        <f>IF('Enheterna AO VGR'!M82=0,"",'Enheterna AO VGR'!M82)</f>
        <v/>
      </c>
      <c r="N25" s="118">
        <f>SUM('Enheterna AO VGR'!B82:M82)</f>
        <v>2281</v>
      </c>
      <c r="O25" s="118" cm="1">
        <f t="array" ref="O25">SUMPRODUCT(('Enheterna AO VGR'!B83:M83)*('Enheterna AO VGR'!B82:M82&gt;0))</f>
        <v>3638</v>
      </c>
      <c r="P25" s="119">
        <f>N25-O25</f>
        <v>-1357</v>
      </c>
      <c r="Q25" s="120">
        <f>IFERROR(N25/O25,0)</f>
        <v>0.6269928532160528</v>
      </c>
      <c r="R25" s="121">
        <f>SUM('Enheterna AO VGR'!B83:M83)</f>
        <v>9870</v>
      </c>
    </row>
    <row r="26" spans="1:18">
      <c r="A26" s="110" t="s">
        <v>96</v>
      </c>
      <c r="B26" s="111">
        <f>IF('Enheterna AO VGR'!B88=0,"",'Enheterna AO VGR'!B88)</f>
        <v>924</v>
      </c>
      <c r="C26" s="111">
        <f>IF('Enheterna AO VGR'!C88=0,"",'Enheterna AO VGR'!C88)</f>
        <v>959</v>
      </c>
      <c r="D26" s="111">
        <f>IF('Enheterna AO VGR'!D88=0,"",'Enheterna AO VGR'!D88)</f>
        <v>1203</v>
      </c>
      <c r="E26" s="111">
        <f>IF('Enheterna AO VGR'!E88=0,"",'Enheterna AO VGR'!E88)</f>
        <v>1146</v>
      </c>
      <c r="F26" s="111" t="str">
        <f>IF('Enheterna AO VGR'!F88=0,"",'Enheterna AO VGR'!F88)</f>
        <v/>
      </c>
      <c r="G26" s="111" t="str">
        <f>IF('Enheterna AO VGR'!G88=0,"",'Enheterna AO VGR'!G88)</f>
        <v/>
      </c>
      <c r="H26" s="111" t="str">
        <f>IF('Enheterna AO VGR'!H88=0,"",'Enheterna AO VGR'!H88)</f>
        <v/>
      </c>
      <c r="I26" s="111" t="str">
        <f>IF('Enheterna AO VGR'!I88=0,"",'Enheterna AO VGR'!I88)</f>
        <v/>
      </c>
      <c r="J26" s="111" t="str">
        <f>IF('Enheterna AO VGR'!J88=0,"",'Enheterna AO VGR'!J88)</f>
        <v/>
      </c>
      <c r="K26" s="111" t="str">
        <f>IF('Enheterna AO VGR'!K88=0,"",'Enheterna AO VGR'!K88)</f>
        <v/>
      </c>
      <c r="L26" s="111" t="str">
        <f>IF('Enheterna AO VGR'!L88=0,"",'Enheterna AO VGR'!L88)</f>
        <v/>
      </c>
      <c r="M26" s="111" t="str">
        <f>IF('Enheterna AO VGR'!M88=0,"",'Enheterna AO VGR'!M88)</f>
        <v/>
      </c>
      <c r="N26" s="112">
        <f>SUM('Enheterna AO VGR'!B88:M88)</f>
        <v>4232</v>
      </c>
      <c r="O26" s="112" cm="1">
        <f t="array" ref="O26">SUMPRODUCT(('Enheterna AO VGR'!B89:M89)*('Enheterna AO VGR'!B88:M88&gt;0))</f>
        <v>4340</v>
      </c>
      <c r="P26" s="113">
        <f>N26-O26</f>
        <v>-108</v>
      </c>
      <c r="Q26" s="114">
        <f>IFERROR(N26/O26,0)</f>
        <v>0.97511520737327184</v>
      </c>
      <c r="R26" s="115">
        <f>SUM('Enheterna AO VGR'!B89:M89)</f>
        <v>12486</v>
      </c>
    </row>
    <row r="27" spans="1:18">
      <c r="A27" s="116" t="s">
        <v>97</v>
      </c>
      <c r="B27" s="117">
        <f>IF('Enheterna AO VGR'!B94=0,"",'Enheterna AO VGR'!B94)</f>
        <v>934</v>
      </c>
      <c r="C27" s="117">
        <f>IF('Enheterna AO VGR'!C94=0,"",'Enheterna AO VGR'!C94)</f>
        <v>1058</v>
      </c>
      <c r="D27" s="117">
        <f>IF('Enheterna AO VGR'!D94=0,"",'Enheterna AO VGR'!D94)</f>
        <v>1252</v>
      </c>
      <c r="E27" s="117">
        <f>IF('Enheterna AO VGR'!E94=0,"",'Enheterna AO VGR'!E94)</f>
        <v>1187</v>
      </c>
      <c r="F27" s="117" t="str">
        <f>IF('Enheterna AO VGR'!F94=0,"",'Enheterna AO VGR'!F94)</f>
        <v/>
      </c>
      <c r="G27" s="117" t="str">
        <f>IF('Enheterna AO VGR'!G94=0,"",'Enheterna AO VGR'!G94)</f>
        <v/>
      </c>
      <c r="H27" s="117" t="str">
        <f>IF('Enheterna AO VGR'!H94=0,"",'Enheterna AO VGR'!H94)</f>
        <v/>
      </c>
      <c r="I27" s="117" t="str">
        <f>IF('Enheterna AO VGR'!I94=0,"",'Enheterna AO VGR'!I94)</f>
        <v/>
      </c>
      <c r="J27" s="117" t="str">
        <f>IF('Enheterna AO VGR'!J94=0,"",'Enheterna AO VGR'!J94)</f>
        <v/>
      </c>
      <c r="K27" s="117" t="str">
        <f>IF('Enheterna AO VGR'!K94=0,"",'Enheterna AO VGR'!K94)</f>
        <v/>
      </c>
      <c r="L27" s="117" t="str">
        <f>IF('Enheterna AO VGR'!L94=0,"",'Enheterna AO VGR'!L94)</f>
        <v/>
      </c>
      <c r="M27" s="117" t="str">
        <f>IF('Enheterna AO VGR'!M94=0,"",'Enheterna AO VGR'!M94)</f>
        <v/>
      </c>
      <c r="N27" s="118">
        <f>SUM('Enheterna AO VGR'!B94:M94)</f>
        <v>4431</v>
      </c>
      <c r="O27" s="118" cm="1">
        <f t="array" ref="O27">SUMPRODUCT(('Enheterna AO VGR'!B95:M95)*('Enheterna AO VGR'!B94:M94&gt;0))</f>
        <v>6149</v>
      </c>
      <c r="P27" s="119">
        <f>N27-O27</f>
        <v>-1718</v>
      </c>
      <c r="Q27" s="120">
        <f>IFERROR(N27/O27,0)</f>
        <v>0.72060497641892995</v>
      </c>
      <c r="R27" s="121">
        <f>SUM('Enheterna AO VGR'!B95:M95)</f>
        <v>16692</v>
      </c>
    </row>
    <row r="28" spans="1:18">
      <c r="A28" s="87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92"/>
    </row>
    <row r="29" spans="1:18" ht="15" thickBot="1">
      <c r="A29" s="122" t="s">
        <v>174</v>
      </c>
      <c r="B29" s="123">
        <f>SUM(B14:B27)</f>
        <v>11490</v>
      </c>
      <c r="C29" s="123">
        <f>SUM(C14:C27)</f>
        <v>12544</v>
      </c>
      <c r="D29" s="123">
        <f>SUM(D14:D27)</f>
        <v>14540</v>
      </c>
      <c r="E29" s="123">
        <f>SUM(E14:E27)</f>
        <v>13865</v>
      </c>
      <c r="F29" s="123">
        <f>SUM(F14:F27)</f>
        <v>0</v>
      </c>
      <c r="G29" s="123">
        <f>SUM(G14:G27)</f>
        <v>0</v>
      </c>
      <c r="H29" s="123">
        <f>SUM(H14:H27)</f>
        <v>0</v>
      </c>
      <c r="I29" s="123">
        <f>SUM(I14:I27)</f>
        <v>0</v>
      </c>
      <c r="J29" s="123">
        <f>SUM(J14:J27)</f>
        <v>0</v>
      </c>
      <c r="K29" s="123">
        <f>SUM(K14:K27)</f>
        <v>0</v>
      </c>
      <c r="L29" s="123">
        <f>SUM(L14:L27)</f>
        <v>0</v>
      </c>
      <c r="M29" s="123">
        <f>SUM(M14:M27)</f>
        <v>0</v>
      </c>
      <c r="N29" s="80">
        <f>SUM(N14:N27)</f>
        <v>52439</v>
      </c>
      <c r="O29" s="80">
        <f>SUM(O14:O27)</f>
        <v>60637</v>
      </c>
      <c r="P29" s="124">
        <f>SUM(P14:P27)</f>
        <v>-8198</v>
      </c>
      <c r="Q29" s="125">
        <f>IFERROR(N29/O29,0)</f>
        <v>0.86480201856952021</v>
      </c>
      <c r="R29" s="126">
        <f>SUM(R14:R27)</f>
        <v>175676</v>
      </c>
    </row>
    <row r="32" spans="1:18" ht="27.9" customHeight="1">
      <c r="A32" s="43" t="s">
        <v>182</v>
      </c>
    </row>
    <row r="34" spans="1:3" ht="15.6">
      <c r="A34" s="127" t="s">
        <v>228</v>
      </c>
      <c r="B34" s="128" t="str">
        <f>INDEX(A14:A27,MATCH(MAX(Q14:Q27),Q14:Q27,0))</f>
        <v>Tanum och Fjällbacka</v>
      </c>
      <c r="C34" s="129">
        <f>MAX(Q14:Q27)</f>
        <v>1.1340464269458352</v>
      </c>
    </row>
    <row r="35" spans="1:3" ht="15.6">
      <c r="A35" s="130" t="s">
        <v>229</v>
      </c>
      <c r="B35" s="131" t="str">
        <f>INDEX(A14:A27,MATCH(MIN(Q14:Q27),Q14:Q27,0))</f>
        <v>Karlastaden</v>
      </c>
      <c r="C35" s="132">
        <f>MIN(Q14:Q27)</f>
        <v>0.55909090909090908</v>
      </c>
    </row>
    <row r="37" spans="1:3" ht="18">
      <c r="A37" s="133" t="s">
        <v>183</v>
      </c>
      <c r="B37" s="134">
        <f>AVERAGE(Q14:Q27)</f>
        <v>0.84981821172143301</v>
      </c>
    </row>
    <row r="38" spans="1:3" ht="18">
      <c r="A38" s="133" t="s">
        <v>184</v>
      </c>
      <c r="B38" s="134">
        <f>MEDIAN(Q14:Q27)</f>
        <v>0.87407894860439805</v>
      </c>
    </row>
    <row r="40" spans="1:3" ht="18">
      <c r="A40" s="127" t="s">
        <v>230</v>
      </c>
      <c r="B40" s="102">
        <f>COUNTIF(Q14:Q27,"&gt;="&amp;1)</f>
        <v>1</v>
      </c>
      <c r="C40" s="101" t="s">
        <v>185</v>
      </c>
    </row>
    <row r="41" spans="1:3" ht="18">
      <c r="A41" s="130" t="s">
        <v>231</v>
      </c>
      <c r="B41" s="135">
        <f>COUNTIF(Q14:Q27,"&lt;"&amp;1)</f>
        <v>13</v>
      </c>
      <c r="C41" s="101" t="s">
        <v>185</v>
      </c>
    </row>
    <row r="45" spans="1:3" ht="21">
      <c r="A45" s="136" t="s">
        <v>232</v>
      </c>
      <c r="B45" s="137">
        <f>P29</f>
        <v>-8198</v>
      </c>
    </row>
    <row r="46" spans="1:3" ht="21">
      <c r="A46" s="136" t="s">
        <v>186</v>
      </c>
      <c r="B46" s="138">
        <f>R29</f>
        <v>175676</v>
      </c>
    </row>
    <row r="47" spans="1:3" ht="21">
      <c r="A47" s="136" t="s">
        <v>233</v>
      </c>
      <c r="B47" s="139">
        <f>N29/R29</f>
        <v>0.29849837200300555</v>
      </c>
    </row>
    <row r="96" spans="1:1" ht="17.399999999999999">
      <c r="A96" s="43" t="s">
        <v>235</v>
      </c>
    </row>
    <row r="98" spans="1:5" ht="15.6">
      <c r="B98" s="194" t="s">
        <v>239</v>
      </c>
      <c r="C98" s="193" t="s">
        <v>6</v>
      </c>
      <c r="D98" s="195" t="s">
        <v>240</v>
      </c>
    </row>
    <row r="99" spans="1:5" ht="17.399999999999999">
      <c r="A99" s="196" t="str">
        <f>"🏆 TOP 20 — "&amp;$C$98</f>
        <v>🏆 TOP 20 — Mar</v>
      </c>
      <c r="B99" s="196"/>
      <c r="C99" s="196"/>
    </row>
    <row r="100" spans="1:5" ht="15" thickBot="1"/>
    <row r="101" spans="1:5">
      <c r="A101" s="155" t="s">
        <v>237</v>
      </c>
      <c r="B101" s="140" t="s">
        <v>187</v>
      </c>
      <c r="C101" s="140" t="s">
        <v>176</v>
      </c>
      <c r="D101" s="156" t="str">
        <f>$C$98&amp;" poäng"</f>
        <v>Mar poäng</v>
      </c>
      <c r="E101" s="69" t="s">
        <v>234</v>
      </c>
    </row>
    <row r="102" spans="1:5" ht="15.6">
      <c r="A102" s="170">
        <v>1</v>
      </c>
      <c r="B102" s="171" t="str">
        <f>IFERROR(INDEX($A$221:$A$301,MATCH(LARGE($Q$221:$Q$301,1),$Q$221:$Q$301,0)),"")</f>
        <v>Cecilia Lilja</v>
      </c>
      <c r="C102" s="172" t="str">
        <f>IFERROR(INDEX($B$221:$B$301,MATCH(LARGE($Q$221:$Q$301,1),$Q$221:$Q$301,0)),"")</f>
        <v>Stavre</v>
      </c>
      <c r="D102" s="173">
        <f>IFERROR(INDEX($P$221:$P$301,MATCH(LARGE($Q$221:$Q$301,1),$Q$221:$Q$301,0)),0)</f>
        <v>358</v>
      </c>
      <c r="E102" s="174">
        <f>IFERROR(INDEX($O$221:$O$301,MATCH(LARGE($Q$221:$Q$301,1),$Q$221:$Q$301,0)),0)</f>
        <v>1083</v>
      </c>
    </row>
    <row r="103" spans="1:5" ht="15.6">
      <c r="A103" s="175">
        <v>2</v>
      </c>
      <c r="B103" s="176" t="str">
        <f>IFERROR(INDEX($A$221:$A$301,MATCH(LARGE($Q$221:$Q$301,2),$Q$221:$Q$301,0)),"")</f>
        <v>Sanna Åstrand</v>
      </c>
      <c r="C103" s="177" t="str">
        <f>IFERROR(INDEX($B$221:$B$301,MATCH(LARGE($Q$221:$Q$301,2),$Q$221:$Q$301,0)),"")</f>
        <v>Noltrop</v>
      </c>
      <c r="D103" s="178">
        <f>IFERROR(INDEX($P$221:$P$301,MATCH(LARGE($Q$221:$Q$301,2),$Q$221:$Q$301,0)),0)</f>
        <v>355</v>
      </c>
      <c r="E103" s="179">
        <f>IFERROR(INDEX($O$221:$O$301,MATCH(LARGE($Q$221:$Q$301,2),$Q$221:$Q$301,0)),0)</f>
        <v>1189</v>
      </c>
    </row>
    <row r="104" spans="1:5" ht="15.6">
      <c r="A104" s="180">
        <v>3</v>
      </c>
      <c r="B104" s="181" t="str">
        <f>IFERROR(INDEX($A$221:$A$301,MATCH(LARGE($Q$221:$Q$301,3),$Q$221:$Q$301,0)),"")</f>
        <v>Ruurd Visser</v>
      </c>
      <c r="C104" s="182" t="str">
        <f>IFERROR(INDEX($B$221:$B$301,MATCH(LARGE($Q$221:$Q$301,3),$Q$221:$Q$301,0)),"")</f>
        <v>Åmål</v>
      </c>
      <c r="D104" s="183">
        <f>IFERROR(INDEX($P$221:$P$301,MATCH(LARGE($Q$221:$Q$301,3),$Q$221:$Q$301,0)),0)</f>
        <v>353</v>
      </c>
      <c r="E104" s="184">
        <f>IFERROR(INDEX($O$221:$O$301,MATCH(LARGE($Q$221:$Q$301,3),$Q$221:$Q$301,0)),0)</f>
        <v>1074</v>
      </c>
    </row>
    <row r="105" spans="1:5" ht="15.6">
      <c r="A105" s="162">
        <v>4</v>
      </c>
      <c r="B105" s="163" t="str">
        <f>IFERROR(INDEX($A$221:$A$301,MATCH(LARGE($Q$221:$Q$301,4),$Q$221:$Q$301,0)),"")</f>
        <v>Emma Andersson</v>
      </c>
      <c r="C105" s="141" t="str">
        <f>IFERROR(INDEX($B$221:$B$301,MATCH(LARGE($Q$221:$Q$301,4),$Q$221:$Q$301,0)),"")</f>
        <v>Tanum och Fjällbacka</v>
      </c>
      <c r="D105" s="164">
        <f>IFERROR(INDEX($P$221:$P$301,MATCH(LARGE($Q$221:$Q$301,4),$Q$221:$Q$301,0)),0)</f>
        <v>300</v>
      </c>
      <c r="E105" s="165">
        <f>IFERROR(INDEX($O$221:$O$301,MATCH(LARGE($Q$221:$Q$301,4),$Q$221:$Q$301,0)),0)</f>
        <v>1046</v>
      </c>
    </row>
    <row r="106" spans="1:5" ht="15.6">
      <c r="A106" s="157">
        <v>5</v>
      </c>
      <c r="B106" s="158" t="str">
        <f>IFERROR(INDEX($A$221:$A$301,MATCH(LARGE($Q$221:$Q$301,5),$Q$221:$Q$301,0)),"")</f>
        <v>Linnea Andersson</v>
      </c>
      <c r="C106" s="159" t="str">
        <f>IFERROR(INDEX($B$221:$B$301,MATCH(LARGE($Q$221:$Q$301,5),$Q$221:$Q$301,0)),"")</f>
        <v>Avenyn</v>
      </c>
      <c r="D106" s="160">
        <f>IFERROR(INDEX($P$221:$P$301,MATCH(LARGE($Q$221:$Q$301,5),$Q$221:$Q$301,0)),0)</f>
        <v>279</v>
      </c>
      <c r="E106" s="161">
        <f>IFERROR(INDEX($O$221:$O$301,MATCH(LARGE($Q$221:$Q$301,5),$Q$221:$Q$301,0)),0)</f>
        <v>814</v>
      </c>
    </row>
    <row r="107" spans="1:5" ht="15.6">
      <c r="A107" s="162">
        <v>6</v>
      </c>
      <c r="B107" s="163" t="str">
        <f>IFERROR(INDEX($A$221:$A$301,MATCH(LARGE($Q$221:$Q$301,6),$Q$221:$Q$301,0)),"")</f>
        <v>Catarina Engström</v>
      </c>
      <c r="C107" s="141" t="str">
        <f>IFERROR(INDEX($B$221:$B$301,MATCH(LARGE($Q$221:$Q$301,6),$Q$221:$Q$301,0)),"")</f>
        <v>Åby</v>
      </c>
      <c r="D107" s="164">
        <f>IFERROR(INDEX($P$221:$P$301,MATCH(LARGE($Q$221:$Q$301,6),$Q$221:$Q$301,0)),0)</f>
        <v>278</v>
      </c>
      <c r="E107" s="165">
        <f>IFERROR(INDEX($O$221:$O$301,MATCH(LARGE($Q$221:$Q$301,6),$Q$221:$Q$301,0)),0)</f>
        <v>888</v>
      </c>
    </row>
    <row r="108" spans="1:5" ht="15.6">
      <c r="A108" s="157">
        <v>7</v>
      </c>
      <c r="B108" s="158" t="str">
        <f>IFERROR(INDEX($A$221:$A$301,MATCH(LARGE($Q$221:$Q$301,7),$Q$221:$Q$301,0)),"")</f>
        <v>Kalle Berner</v>
      </c>
      <c r="C108" s="159" t="str">
        <f>IFERROR(INDEX($B$221:$B$301,MATCH(LARGE($Q$221:$Q$301,7),$Q$221:$Q$301,0)),"")</f>
        <v>Stavre</v>
      </c>
      <c r="D108" s="160">
        <f>IFERROR(INDEX($P$221:$P$301,MATCH(LARGE($Q$221:$Q$301,7),$Q$221:$Q$301,0)),0)</f>
        <v>274</v>
      </c>
      <c r="E108" s="161">
        <f>IFERROR(INDEX($O$221:$O$301,MATCH(LARGE($Q$221:$Q$301,7),$Q$221:$Q$301,0)),0)</f>
        <v>1031</v>
      </c>
    </row>
    <row r="109" spans="1:5" ht="15.6">
      <c r="A109" s="162">
        <v>8</v>
      </c>
      <c r="B109" s="163" t="str">
        <f>IFERROR(INDEX($A$221:$A$301,MATCH(LARGE($Q$221:$Q$301,8),$Q$221:$Q$301,0)),"")</f>
        <v>Elisabeth Kaspers</v>
      </c>
      <c r="C109" s="141" t="str">
        <f>IFERROR(INDEX($B$221:$B$301,MATCH(LARGE($Q$221:$Q$301,8),$Q$221:$Q$301,0)),"")</f>
        <v>Stavre</v>
      </c>
      <c r="D109" s="164">
        <f>IFERROR(INDEX($P$221:$P$301,MATCH(LARGE($Q$221:$Q$301,8),$Q$221:$Q$301,0)),0)</f>
        <v>264</v>
      </c>
      <c r="E109" s="165">
        <f>IFERROR(INDEX($O$221:$O$301,MATCH(LARGE($Q$221:$Q$301,8),$Q$221:$Q$301,0)),0)</f>
        <v>976</v>
      </c>
    </row>
    <row r="110" spans="1:5" ht="15.6">
      <c r="A110" s="157">
        <v>9</v>
      </c>
      <c r="B110" s="158" t="str">
        <f>IFERROR(INDEX($A$221:$A$301,MATCH(LARGE($Q$221:$Q$301,9),$Q$221:$Q$301,0)),"")</f>
        <v>Matilda Saukkorripi</v>
      </c>
      <c r="C110" s="159" t="str">
        <f>IFERROR(INDEX($B$221:$B$301,MATCH(LARGE($Q$221:$Q$301,9),$Q$221:$Q$301,0)),"")</f>
        <v>Pedagogen Park</v>
      </c>
      <c r="D110" s="160">
        <f>IFERROR(INDEX($P$221:$P$301,MATCH(LARGE($Q$221:$Q$301,9),$Q$221:$Q$301,0)),0)</f>
        <v>255</v>
      </c>
      <c r="E110" s="161">
        <f>IFERROR(INDEX($O$221:$O$301,MATCH(LARGE($Q$221:$Q$301,9),$Q$221:$Q$301,0)),0)</f>
        <v>664</v>
      </c>
    </row>
    <row r="111" spans="1:5" ht="15.6">
      <c r="A111" s="162">
        <v>10</v>
      </c>
      <c r="B111" s="163" t="str">
        <f>IFERROR(INDEX($A$221:$A$301,MATCH(LARGE($Q$221:$Q$301,10),$Q$221:$Q$301,0)),"")</f>
        <v>Emma Lisjö</v>
      </c>
      <c r="C111" s="141" t="str">
        <f>IFERROR(INDEX($B$221:$B$301,MATCH(LARGE($Q$221:$Q$301,10),$Q$221:$Q$301,0)),"")</f>
        <v>Grimmered</v>
      </c>
      <c r="D111" s="164">
        <f>IFERROR(INDEX($P$221:$P$301,MATCH(LARGE($Q$221:$Q$301,10),$Q$221:$Q$301,0)),0)</f>
        <v>254</v>
      </c>
      <c r="E111" s="165">
        <f>IFERROR(INDEX($O$221:$O$301,MATCH(LARGE($Q$221:$Q$301,10),$Q$221:$Q$301,0)),0)</f>
        <v>773</v>
      </c>
    </row>
    <row r="112" spans="1:5" ht="15.6">
      <c r="A112" s="157">
        <v>11</v>
      </c>
      <c r="B112" s="158" t="str">
        <f>IFERROR(INDEX($A$221:$A$301,MATCH(LARGE($Q$221:$Q$301,11),$Q$221:$Q$301,0)),"")</f>
        <v>Malena Ryberg</v>
      </c>
      <c r="C112" s="159" t="str">
        <f>IFERROR(INDEX($B$221:$B$301,MATCH(LARGE($Q$221:$Q$301,11),$Q$221:$Q$301,0)),"")</f>
        <v>Olskroken</v>
      </c>
      <c r="D112" s="160">
        <f>IFERROR(INDEX($P$221:$P$301,MATCH(LARGE($Q$221:$Q$301,11),$Q$221:$Q$301,0)),0)</f>
        <v>253</v>
      </c>
      <c r="E112" s="161">
        <f>IFERROR(INDEX($O$221:$O$301,MATCH(LARGE($Q$221:$Q$301,11),$Q$221:$Q$301,0)),0)</f>
        <v>774</v>
      </c>
    </row>
    <row r="113" spans="1:5" ht="15.6">
      <c r="A113" s="162">
        <v>12</v>
      </c>
      <c r="B113" s="163" t="str">
        <f>IFERROR(INDEX($A$221:$A$301,MATCH(LARGE($Q$221:$Q$301,12),$Q$221:$Q$301,0)),"")</f>
        <v>Hanna Bovin</v>
      </c>
      <c r="C113" s="141" t="str">
        <f>IFERROR(INDEX($B$221:$B$301,MATCH(LARGE($Q$221:$Q$301,12),$Q$221:$Q$301,0)),"")</f>
        <v>Grimmered</v>
      </c>
      <c r="D113" s="164">
        <f>IFERROR(INDEX($P$221:$P$301,MATCH(LARGE($Q$221:$Q$301,12),$Q$221:$Q$301,0)),0)</f>
        <v>250</v>
      </c>
      <c r="E113" s="165">
        <f>IFERROR(INDEX($O$221:$O$301,MATCH(LARGE($Q$221:$Q$301,12),$Q$221:$Q$301,0)),0)</f>
        <v>911</v>
      </c>
    </row>
    <row r="114" spans="1:5" ht="15.6">
      <c r="A114" s="157">
        <v>13</v>
      </c>
      <c r="B114" s="158" t="str">
        <f>IFERROR(INDEX($A$221:$A$301,MATCH(LARGE($Q$221:$Q$301,13),$Q$221:$Q$301,0)),"")</f>
        <v>Lisa Edvardsson</v>
      </c>
      <c r="C114" s="159" t="str">
        <f>IFERROR(INDEX($B$221:$B$301,MATCH(LARGE($Q$221:$Q$301,13),$Q$221:$Q$301,0)),"")</f>
        <v>Åby</v>
      </c>
      <c r="D114" s="160">
        <f>IFERROR(INDEX($P$221:$P$301,MATCH(LARGE($Q$221:$Q$301,13),$Q$221:$Q$301,0)),0)</f>
        <v>248</v>
      </c>
      <c r="E114" s="161">
        <f>IFERROR(INDEX($O$221:$O$301,MATCH(LARGE($Q$221:$Q$301,13),$Q$221:$Q$301,0)),0)</f>
        <v>850</v>
      </c>
    </row>
    <row r="115" spans="1:5" ht="15.6">
      <c r="A115" s="162">
        <v>14</v>
      </c>
      <c r="B115" s="163" t="str">
        <f>IFERROR(INDEX($A$221:$A$301,MATCH(LARGE($Q$221:$Q$301,14),$Q$221:$Q$301,0)),"")</f>
        <v>Wilma Bogren</v>
      </c>
      <c r="C115" s="141" t="str">
        <f>IFERROR(INDEX($B$221:$B$301,MATCH(LARGE($Q$221:$Q$301,14),$Q$221:$Q$301,0)),"")</f>
        <v>Tanum och Fjällbacka</v>
      </c>
      <c r="D115" s="164">
        <f>IFERROR(INDEX($P$221:$P$301,MATCH(LARGE($Q$221:$Q$301,14),$Q$221:$Q$301,0)),0)</f>
        <v>246</v>
      </c>
      <c r="E115" s="165">
        <f>IFERROR(INDEX($O$221:$O$301,MATCH(LARGE($Q$221:$Q$301,14),$Q$221:$Q$301,0)),0)</f>
        <v>880</v>
      </c>
    </row>
    <row r="116" spans="1:5" ht="15.6">
      <c r="A116" s="157">
        <v>15</v>
      </c>
      <c r="B116" s="158" t="str">
        <f>IFERROR(INDEX($A$221:$A$301,MATCH(LARGE($Q$221:$Q$301,15),$Q$221:$Q$301,0)),"")</f>
        <v>Emil Sevestedt</v>
      </c>
      <c r="C116" s="159" t="str">
        <f>IFERROR(INDEX($B$221:$B$301,MATCH(LARGE($Q$221:$Q$301,15),$Q$221:$Q$301,0)),"")</f>
        <v>Avenyn</v>
      </c>
      <c r="D116" s="160">
        <f>IFERROR(INDEX($P$221:$P$301,MATCH(LARGE($Q$221:$Q$301,15),$Q$221:$Q$301,0)),0)</f>
        <v>238</v>
      </c>
      <c r="E116" s="161">
        <f>IFERROR(INDEX($O$221:$O$301,MATCH(LARGE($Q$221:$Q$301,15),$Q$221:$Q$301,0)),0)</f>
        <v>823</v>
      </c>
    </row>
    <row r="117" spans="1:5" ht="15.6">
      <c r="A117" s="162">
        <v>16</v>
      </c>
      <c r="B117" s="163" t="str">
        <f>IFERROR(INDEX($A$221:$A$301,MATCH(LARGE($Q$221:$Q$301,16),$Q$221:$Q$301,0)),"")</f>
        <v>Elias Österberg</v>
      </c>
      <c r="C117" s="141" t="str">
        <f>IFERROR(INDEX($B$221:$B$301,MATCH(LARGE($Q$221:$Q$301,16),$Q$221:$Q$301,0)),"")</f>
        <v>Noltrop</v>
      </c>
      <c r="D117" s="164">
        <f>IFERROR(INDEX($P$221:$P$301,MATCH(LARGE($Q$221:$Q$301,16),$Q$221:$Q$301,0)),0)</f>
        <v>235</v>
      </c>
      <c r="E117" s="165">
        <f>IFERROR(INDEX($O$221:$O$301,MATCH(LARGE($Q$221:$Q$301,16),$Q$221:$Q$301,0)),0)</f>
        <v>597</v>
      </c>
    </row>
    <row r="118" spans="1:5" ht="15.6">
      <c r="A118" s="157">
        <v>17</v>
      </c>
      <c r="B118" s="158" t="str">
        <f>IFERROR(INDEX($A$221:$A$301,MATCH(LARGE($Q$221:$Q$301,17),$Q$221:$Q$301,0)),"")</f>
        <v>Yasmine Holm</v>
      </c>
      <c r="C118" s="159" t="str">
        <f>IFERROR(INDEX($B$221:$B$301,MATCH(LARGE($Q$221:$Q$301,17),$Q$221:$Q$301,0)),"")</f>
        <v>Brålanda-Torpa</v>
      </c>
      <c r="D118" s="160">
        <f>IFERROR(INDEX($P$221:$P$301,MATCH(LARGE($Q$221:$Q$301,17),$Q$221:$Q$301,0)),0)</f>
        <v>234</v>
      </c>
      <c r="E118" s="161">
        <f>IFERROR(INDEX($O$221:$O$301,MATCH(LARGE($Q$221:$Q$301,17),$Q$221:$Q$301,0)),0)</f>
        <v>802</v>
      </c>
    </row>
    <row r="119" spans="1:5" ht="15.6">
      <c r="A119" s="162">
        <v>18</v>
      </c>
      <c r="B119" s="163" t="str">
        <f>IFERROR(INDEX($A$221:$A$301,MATCH(LARGE($Q$221:$Q$301,18),$Q$221:$Q$301,0)),"")</f>
        <v>Johanna Forslund</v>
      </c>
      <c r="C119" s="141" t="str">
        <f>IFERROR(INDEX($B$221:$B$301,MATCH(LARGE($Q$221:$Q$301,18),$Q$221:$Q$301,0)),"")</f>
        <v>Noltrop</v>
      </c>
      <c r="D119" s="164">
        <f>IFERROR(INDEX($P$221:$P$301,MATCH(LARGE($Q$221:$Q$301,18),$Q$221:$Q$301,0)),0)</f>
        <v>224</v>
      </c>
      <c r="E119" s="165">
        <f>IFERROR(INDEX($O$221:$O$301,MATCH(LARGE($Q$221:$Q$301,18),$Q$221:$Q$301,0)),0)</f>
        <v>663</v>
      </c>
    </row>
    <row r="120" spans="1:5" ht="15.6">
      <c r="A120" s="157">
        <v>19</v>
      </c>
      <c r="B120" s="158" t="str">
        <f>IFERROR(INDEX($A$221:$A$301,MATCH(LARGE($Q$221:$Q$301,19),$Q$221:$Q$301,0)),"")</f>
        <v>Emma Hillberg</v>
      </c>
      <c r="C120" s="159" t="str">
        <f>IFERROR(INDEX($B$221:$B$301,MATCH(LARGE($Q$221:$Q$301,19),$Q$221:$Q$301,0)),"")</f>
        <v>Noltrop</v>
      </c>
      <c r="D120" s="160">
        <f>IFERROR(INDEX($P$221:$P$301,MATCH(LARGE($Q$221:$Q$301,19),$Q$221:$Q$301,0)),0)</f>
        <v>222</v>
      </c>
      <c r="E120" s="161">
        <f>IFERROR(INDEX($O$221:$O$301,MATCH(LARGE($Q$221:$Q$301,19),$Q$221:$Q$301,0)),0)</f>
        <v>827</v>
      </c>
    </row>
    <row r="121" spans="1:5" ht="16.2" thickBot="1">
      <c r="A121" s="166">
        <v>20</v>
      </c>
      <c r="B121" s="167" t="str">
        <f>IFERROR(INDEX($A$221:$A$301,MATCH(LARGE($Q$221:$Q$301,20),$Q$221:$Q$301,0)),"")</f>
        <v>Agnes Wykman</v>
      </c>
      <c r="C121" s="143" t="str">
        <f>IFERROR(INDEX($B$221:$B$301,MATCH(LARGE($Q$221:$Q$301,20),$Q$221:$Q$301,0)),"")</f>
        <v>Avenyn</v>
      </c>
      <c r="D121" s="168">
        <f>IFERROR(INDEX($P$221:$P$301,MATCH(LARGE($Q$221:$Q$301,20),$Q$221:$Q$301,0)),0)</f>
        <v>220</v>
      </c>
      <c r="E121" s="169">
        <f>IFERROR(INDEX($O$221:$O$301,MATCH(LARGE($Q$221:$Q$301,20),$Q$221:$Q$301,0)),0)</f>
        <v>700</v>
      </c>
    </row>
    <row r="124" spans="1:5" ht="18" thickBot="1">
      <c r="A124" s="197" t="str">
        <f>"📋 ÖVRIGA MEDARBETARE — sorterade efter "&amp;$C$98</f>
        <v>📋 ÖVRIGA MEDARBETARE — sorterade efter Mar</v>
      </c>
      <c r="B124" s="197"/>
      <c r="C124" s="197"/>
      <c r="D124" s="197"/>
    </row>
    <row r="125" spans="1:5">
      <c r="A125" s="155" t="s">
        <v>237</v>
      </c>
      <c r="B125" s="140" t="s">
        <v>187</v>
      </c>
      <c r="C125" s="140" t="s">
        <v>176</v>
      </c>
      <c r="D125" s="156" t="str">
        <f>$C$98&amp;" poäng"</f>
        <v>Mar poäng</v>
      </c>
      <c r="E125" s="69" t="s">
        <v>234</v>
      </c>
    </row>
    <row r="126" spans="1:5">
      <c r="A126" s="185">
        <v>21</v>
      </c>
      <c r="B126" s="186" t="str">
        <f>IFERROR(INDEX($A$221:$A$301,MATCH(LARGE($Q$221:$Q$301,21),$Q$221:$Q$301,0)),"")</f>
        <v>Caroline Lindahl</v>
      </c>
      <c r="C126" s="142" t="str">
        <f>IFERROR(INDEX($B$221:$B$301,MATCH(LARGE($Q$221:$Q$301,21),$Q$221:$Q$301,0)),"")</f>
        <v>Åby</v>
      </c>
      <c r="D126" s="61">
        <f>IFERROR(INDEX($P$221:$P$301,MATCH(LARGE($Q$221:$Q$301,21),$Q$221:$Q$301,0)),0)</f>
        <v>219</v>
      </c>
      <c r="E126" s="187">
        <f>IFERROR(INDEX($O$221:$O$301,MATCH(LARGE($Q$221:$Q$301,21),$Q$221:$Q$301,0)),0)</f>
        <v>776</v>
      </c>
    </row>
    <row r="127" spans="1:5">
      <c r="A127" s="188">
        <v>22</v>
      </c>
      <c r="B127" s="163" t="str">
        <f>IFERROR(INDEX($A$221:$A$301,MATCH(LARGE($Q$221:$Q$301,22),$Q$221:$Q$301,0)),"")</f>
        <v>Cecilia Jertborn</v>
      </c>
      <c r="C127" s="141" t="str">
        <f>IFERROR(INDEX($B$221:$B$301,MATCH(LARGE($Q$221:$Q$301,22),$Q$221:$Q$301,0)),"")</f>
        <v>Åmål</v>
      </c>
      <c r="D127" s="62">
        <f>IFERROR(INDEX($P$221:$P$301,MATCH(LARGE($Q$221:$Q$301,22),$Q$221:$Q$301,0)),0)</f>
        <v>219</v>
      </c>
      <c r="E127" s="165">
        <f>IFERROR(INDEX($O$221:$O$301,MATCH(LARGE($Q$221:$Q$301,22),$Q$221:$Q$301,0)),0)</f>
        <v>836</v>
      </c>
    </row>
    <row r="128" spans="1:5">
      <c r="A128" s="185">
        <v>23</v>
      </c>
      <c r="B128" s="186" t="str">
        <f>IFERROR(INDEX($A$221:$A$301,MATCH(LARGE($Q$221:$Q$301,23),$Q$221:$Q$301,0)),"")</f>
        <v>David Lycksander</v>
      </c>
      <c r="C128" s="142" t="str">
        <f>IFERROR(INDEX($B$221:$B$301,MATCH(LARGE($Q$221:$Q$301,23),$Q$221:$Q$301,0)),"")</f>
        <v>Noltrop</v>
      </c>
      <c r="D128" s="61">
        <f>IFERROR(INDEX($P$221:$P$301,MATCH(LARGE($Q$221:$Q$301,23),$Q$221:$Q$301,0)),0)</f>
        <v>218</v>
      </c>
      <c r="E128" s="187">
        <f>IFERROR(INDEX($O$221:$O$301,MATCH(LARGE($Q$221:$Q$301,23),$Q$221:$Q$301,0)),0)</f>
        <v>870</v>
      </c>
    </row>
    <row r="129" spans="1:5">
      <c r="A129" s="188">
        <v>24</v>
      </c>
      <c r="B129" s="163" t="str">
        <f>IFERROR(INDEX($A$221:$A$301,MATCH(LARGE($Q$221:$Q$301,24),$Q$221:$Q$301,0)),"")</f>
        <v>Patricia Palada</v>
      </c>
      <c r="C129" s="141" t="str">
        <f>IFERROR(INDEX($B$221:$B$301,MATCH(LARGE($Q$221:$Q$301,24),$Q$221:$Q$301,0)),"")</f>
        <v>Grimmered</v>
      </c>
      <c r="D129" s="62">
        <f>IFERROR(INDEX($P$221:$P$301,MATCH(LARGE($Q$221:$Q$301,24),$Q$221:$Q$301,0)),0)</f>
        <v>217</v>
      </c>
      <c r="E129" s="165">
        <f>IFERROR(INDEX($O$221:$O$301,MATCH(LARGE($Q$221:$Q$301,24),$Q$221:$Q$301,0)),0)</f>
        <v>900</v>
      </c>
    </row>
    <row r="130" spans="1:5">
      <c r="A130" s="185">
        <v>25</v>
      </c>
      <c r="B130" s="186" t="str">
        <f>IFERROR(INDEX($A$221:$A$301,MATCH(LARGE($Q$221:$Q$301,25),$Q$221:$Q$301,0)),"")</f>
        <v>Mattias</v>
      </c>
      <c r="C130" s="142" t="str">
        <f>IFERROR(INDEX($B$221:$B$301,MATCH(LARGE($Q$221:$Q$301,25),$Q$221:$Q$301,0)),"")</f>
        <v>Majorna</v>
      </c>
      <c r="D130" s="61">
        <f>IFERROR(INDEX($P$221:$P$301,MATCH(LARGE($Q$221:$Q$301,25),$Q$221:$Q$301,0)),0)</f>
        <v>216</v>
      </c>
      <c r="E130" s="187">
        <f>IFERROR(INDEX($O$221:$O$301,MATCH(LARGE($Q$221:$Q$301,25),$Q$221:$Q$301,0)),0)</f>
        <v>699</v>
      </c>
    </row>
    <row r="131" spans="1:5">
      <c r="A131" s="188">
        <v>26</v>
      </c>
      <c r="B131" s="163" t="str">
        <f>IFERROR(INDEX($A$221:$A$301,MATCH(LARGE($Q$221:$Q$301,26),$Q$221:$Q$301,0)),"")</f>
        <v>Sheerin Abedelbari</v>
      </c>
      <c r="C131" s="141" t="str">
        <f>IFERROR(INDEX($B$221:$B$301,MATCH(LARGE($Q$221:$Q$301,26),$Q$221:$Q$301,0)),"")</f>
        <v>Brålanda-Torpa</v>
      </c>
      <c r="D131" s="62">
        <f>IFERROR(INDEX($P$221:$P$301,MATCH(LARGE($Q$221:$Q$301,26),$Q$221:$Q$301,0)),0)</f>
        <v>213</v>
      </c>
      <c r="E131" s="165">
        <f>IFERROR(INDEX($O$221:$O$301,MATCH(LARGE($Q$221:$Q$301,26),$Q$221:$Q$301,0)),0)</f>
        <v>743</v>
      </c>
    </row>
    <row r="132" spans="1:5">
      <c r="A132" s="185">
        <v>27</v>
      </c>
      <c r="B132" s="186" t="str">
        <f>IFERROR(INDEX($A$221:$A$301,MATCH(LARGE($Q$221:$Q$301,27),$Q$221:$Q$301,0)),"")</f>
        <v>Karin Edler</v>
      </c>
      <c r="C132" s="142" t="str">
        <f>IFERROR(INDEX($B$221:$B$301,MATCH(LARGE($Q$221:$Q$301,27),$Q$221:$Q$301,0)),"")</f>
        <v>Lilla Edet</v>
      </c>
      <c r="D132" s="61">
        <f>IFERROR(INDEX($P$221:$P$301,MATCH(LARGE($Q$221:$Q$301,27),$Q$221:$Q$301,0)),0)</f>
        <v>212</v>
      </c>
      <c r="E132" s="187">
        <f>IFERROR(INDEX($O$221:$O$301,MATCH(LARGE($Q$221:$Q$301,27),$Q$221:$Q$301,0)),0)</f>
        <v>411</v>
      </c>
    </row>
    <row r="133" spans="1:5">
      <c r="A133" s="188">
        <v>28</v>
      </c>
      <c r="B133" s="163" t="str">
        <f>IFERROR(INDEX($A$221:$A$301,MATCH(LARGE($Q$221:$Q$301,28),$Q$221:$Q$301,0)),"")</f>
        <v>Anna-Karin S</v>
      </c>
      <c r="C133" s="141" t="str">
        <f>IFERROR(INDEX($B$221:$B$301,MATCH(LARGE($Q$221:$Q$301,28),$Q$221:$Q$301,0)),"")</f>
        <v>Majorna</v>
      </c>
      <c r="D133" s="62">
        <f>IFERROR(INDEX($P$221:$P$301,MATCH(LARGE($Q$221:$Q$301,28),$Q$221:$Q$301,0)),0)</f>
        <v>202</v>
      </c>
      <c r="E133" s="165">
        <f>IFERROR(INDEX($O$221:$O$301,MATCH(LARGE($Q$221:$Q$301,28),$Q$221:$Q$301,0)),0)</f>
        <v>869</v>
      </c>
    </row>
    <row r="134" spans="1:5">
      <c r="A134" s="185">
        <v>29</v>
      </c>
      <c r="B134" s="186" t="str">
        <f>IFERROR(INDEX($A$221:$A$301,MATCH(LARGE($Q$221:$Q$301,29),$Q$221:$Q$301,0)),"")</f>
        <v>Ida Hasselholm</v>
      </c>
      <c r="C134" s="142" t="str">
        <f>IFERROR(INDEX($B$221:$B$301,MATCH(LARGE($Q$221:$Q$301,29),$Q$221:$Q$301,0)),"")</f>
        <v>Pedagogen Park</v>
      </c>
      <c r="D134" s="61">
        <f>IFERROR(INDEX($P$221:$P$301,MATCH(LARGE($Q$221:$Q$301,29),$Q$221:$Q$301,0)),0)</f>
        <v>202</v>
      </c>
      <c r="E134" s="187">
        <f>IFERROR(INDEX($O$221:$O$301,MATCH(LARGE($Q$221:$Q$301,29),$Q$221:$Q$301,0)),0)</f>
        <v>509</v>
      </c>
    </row>
    <row r="135" spans="1:5">
      <c r="A135" s="188">
        <v>30</v>
      </c>
      <c r="B135" s="163" t="str">
        <f>IFERROR(INDEX($A$221:$A$301,MATCH(LARGE($Q$221:$Q$301,30),$Q$221:$Q$301,0)),"")</f>
        <v>Sanna NE</v>
      </c>
      <c r="C135" s="141" t="str">
        <f>IFERROR(INDEX($B$221:$B$301,MATCH(LARGE($Q$221:$Q$301,30),$Q$221:$Q$301,0)),"")</f>
        <v>Noltrop</v>
      </c>
      <c r="D135" s="62">
        <f>IFERROR(INDEX($P$221:$P$301,MATCH(LARGE($Q$221:$Q$301,30),$Q$221:$Q$301,0)),0)</f>
        <v>200</v>
      </c>
      <c r="E135" s="165">
        <f>IFERROR(INDEX($O$221:$O$301,MATCH(LARGE($Q$221:$Q$301,30),$Q$221:$Q$301,0)),0)</f>
        <v>763</v>
      </c>
    </row>
    <row r="136" spans="1:5">
      <c r="A136" s="185">
        <v>31</v>
      </c>
      <c r="B136" s="186" t="str">
        <f>IFERROR(INDEX($A$221:$A$301,MATCH(LARGE($Q$221:$Q$301,31),$Q$221:$Q$301,0)),"")</f>
        <v>Kikki Lundborg</v>
      </c>
      <c r="C136" s="142" t="str">
        <f>IFERROR(INDEX($B$221:$B$301,MATCH(LARGE($Q$221:$Q$301,31),$Q$221:$Q$301,0)),"")</f>
        <v>Brålanda-Torpa</v>
      </c>
      <c r="D136" s="61">
        <f>IFERROR(INDEX($P$221:$P$301,MATCH(LARGE($Q$221:$Q$301,31),$Q$221:$Q$301,0)),0)</f>
        <v>197</v>
      </c>
      <c r="E136" s="187">
        <f>IFERROR(INDEX($O$221:$O$301,MATCH(LARGE($Q$221:$Q$301,31),$Q$221:$Q$301,0)),0)</f>
        <v>1053</v>
      </c>
    </row>
    <row r="137" spans="1:5">
      <c r="A137" s="188">
        <v>32</v>
      </c>
      <c r="B137" s="163" t="str">
        <f>IFERROR(INDEX($A$221:$A$301,MATCH(LARGE($Q$221:$Q$301,32),$Q$221:$Q$301,0)),"")</f>
        <v>Rebecka Svensson</v>
      </c>
      <c r="C137" s="141" t="str">
        <f>IFERROR(INDEX($B$221:$B$301,MATCH(LARGE($Q$221:$Q$301,32),$Q$221:$Q$301,0)),"")</f>
        <v>Avenyn</v>
      </c>
      <c r="D137" s="62">
        <f>IFERROR(INDEX($P$221:$P$301,MATCH(LARGE($Q$221:$Q$301,32),$Q$221:$Q$301,0)),0)</f>
        <v>197</v>
      </c>
      <c r="E137" s="165">
        <f>IFERROR(INDEX($O$221:$O$301,MATCH(LARGE($Q$221:$Q$301,32),$Q$221:$Q$301,0)),0)</f>
        <v>706</v>
      </c>
    </row>
    <row r="138" spans="1:5">
      <c r="A138" s="185">
        <v>33</v>
      </c>
      <c r="B138" s="186" t="str">
        <f>IFERROR(INDEX($A$221:$A$301,MATCH(LARGE($Q$221:$Q$301,33),$Q$221:$Q$301,0)),"")</f>
        <v>Annelie Corell</v>
      </c>
      <c r="C138" s="142" t="str">
        <f>IFERROR(INDEX($B$221:$B$301,MATCH(LARGE($Q$221:$Q$301,33),$Q$221:$Q$301,0)),"")</f>
        <v>Frölunda Torg</v>
      </c>
      <c r="D138" s="61">
        <f>IFERROR(INDEX($P$221:$P$301,MATCH(LARGE($Q$221:$Q$301,33),$Q$221:$Q$301,0)),0)</f>
        <v>194</v>
      </c>
      <c r="E138" s="187">
        <f>IFERROR(INDEX($O$221:$O$301,MATCH(LARGE($Q$221:$Q$301,33),$Q$221:$Q$301,0)),0)</f>
        <v>687</v>
      </c>
    </row>
    <row r="139" spans="1:5">
      <c r="A139" s="188">
        <v>34</v>
      </c>
      <c r="B139" s="163" t="str">
        <f>IFERROR(INDEX($A$221:$A$301,MATCH(LARGE($Q$221:$Q$301,34),$Q$221:$Q$301,0)),"")</f>
        <v>Anders Esko</v>
      </c>
      <c r="C139" s="141" t="str">
        <f>IFERROR(INDEX($B$221:$B$301,MATCH(LARGE($Q$221:$Q$301,34),$Q$221:$Q$301,0)),"")</f>
        <v>Frölunda Torg</v>
      </c>
      <c r="D139" s="62">
        <f>IFERROR(INDEX($P$221:$P$301,MATCH(LARGE($Q$221:$Q$301,34),$Q$221:$Q$301,0)),0)</f>
        <v>188</v>
      </c>
      <c r="E139" s="165">
        <f>IFERROR(INDEX($O$221:$O$301,MATCH(LARGE($Q$221:$Q$301,34),$Q$221:$Q$301,0)),0)</f>
        <v>703</v>
      </c>
    </row>
    <row r="140" spans="1:5">
      <c r="A140" s="185">
        <v>35</v>
      </c>
      <c r="B140" s="186" t="str">
        <f>IFERROR(INDEX($A$221:$A$301,MATCH(LARGE($Q$221:$Q$301,35),$Q$221:$Q$301,0)),"")</f>
        <v>Charlotte Alderblad</v>
      </c>
      <c r="C140" s="142" t="str">
        <f>IFERROR(INDEX($B$221:$B$301,MATCH(LARGE($Q$221:$Q$301,35),$Q$221:$Q$301,0)),"")</f>
        <v>Pedagogen Park</v>
      </c>
      <c r="D140" s="61">
        <f>IFERROR(INDEX($P$221:$P$301,MATCH(LARGE($Q$221:$Q$301,35),$Q$221:$Q$301,0)),0)</f>
        <v>187</v>
      </c>
      <c r="E140" s="187">
        <f>IFERROR(INDEX($O$221:$O$301,MATCH(LARGE($Q$221:$Q$301,35),$Q$221:$Q$301,0)),0)</f>
        <v>734</v>
      </c>
    </row>
    <row r="141" spans="1:5">
      <c r="A141" s="188">
        <v>36</v>
      </c>
      <c r="B141" s="163" t="str">
        <f>IFERROR(INDEX($A$221:$A$301,MATCH(LARGE($Q$221:$Q$301,36),$Q$221:$Q$301,0)),"")</f>
        <v>Caroline</v>
      </c>
      <c r="C141" s="141" t="str">
        <f>IFERROR(INDEX($B$221:$B$301,MATCH(LARGE($Q$221:$Q$301,36),$Q$221:$Q$301,0)),"")</f>
        <v>Majorna</v>
      </c>
      <c r="D141" s="62">
        <f>IFERROR(INDEX($P$221:$P$301,MATCH(LARGE($Q$221:$Q$301,36),$Q$221:$Q$301,0)),0)</f>
        <v>186</v>
      </c>
      <c r="E141" s="165">
        <f>IFERROR(INDEX($O$221:$O$301,MATCH(LARGE($Q$221:$Q$301,36),$Q$221:$Q$301,0)),0)</f>
        <v>567</v>
      </c>
    </row>
    <row r="142" spans="1:5">
      <c r="A142" s="185">
        <v>37</v>
      </c>
      <c r="B142" s="186" t="str">
        <f>IFERROR(INDEX($A$221:$A$301,MATCH(LARGE($Q$221:$Q$301,37),$Q$221:$Q$301,0)),"")</f>
        <v>Linda Wahlström</v>
      </c>
      <c r="C142" s="142" t="str">
        <f>IFERROR(INDEX($B$221:$B$301,MATCH(LARGE($Q$221:$Q$301,37),$Q$221:$Q$301,0)),"")</f>
        <v>Noltrop</v>
      </c>
      <c r="D142" s="61">
        <f>IFERROR(INDEX($P$221:$P$301,MATCH(LARGE($Q$221:$Q$301,37),$Q$221:$Q$301,0)),0)</f>
        <v>186</v>
      </c>
      <c r="E142" s="187">
        <f>IFERROR(INDEX($O$221:$O$301,MATCH(LARGE($Q$221:$Q$301,37),$Q$221:$Q$301,0)),0)</f>
        <v>511</v>
      </c>
    </row>
    <row r="143" spans="1:5">
      <c r="A143" s="188">
        <v>38</v>
      </c>
      <c r="B143" s="163" t="str">
        <f>IFERROR(INDEX($A$221:$A$301,MATCH(LARGE($Q$221:$Q$301,38),$Q$221:$Q$301,0)),"")</f>
        <v>Ersättare Felix/ Erik S</v>
      </c>
      <c r="C143" s="141" t="str">
        <f>IFERROR(INDEX($B$221:$B$301,MATCH(LARGE($Q$221:$Q$301,38),$Q$221:$Q$301,0)),"")</f>
        <v>Olskroken</v>
      </c>
      <c r="D143" s="62">
        <f>IFERROR(INDEX($P$221:$P$301,MATCH(LARGE($Q$221:$Q$301,38),$Q$221:$Q$301,0)),0)</f>
        <v>186</v>
      </c>
      <c r="E143" s="165">
        <f>IFERROR(INDEX($O$221:$O$301,MATCH(LARGE($Q$221:$Q$301,38),$Q$221:$Q$301,0)),0)</f>
        <v>485</v>
      </c>
    </row>
    <row r="144" spans="1:5">
      <c r="A144" s="185">
        <v>39</v>
      </c>
      <c r="B144" s="186" t="str">
        <f>IFERROR(INDEX($A$221:$A$301,MATCH(LARGE($Q$221:$Q$301,39),$Q$221:$Q$301,0)),"")</f>
        <v>Jim Glimmersten</v>
      </c>
      <c r="C144" s="142" t="str">
        <f>IFERROR(INDEX($B$221:$B$301,MATCH(LARGE($Q$221:$Q$301,39),$Q$221:$Q$301,0)),"")</f>
        <v>Åmål</v>
      </c>
      <c r="D144" s="61">
        <f>IFERROR(INDEX($P$221:$P$301,MATCH(LARGE($Q$221:$Q$301,39),$Q$221:$Q$301,0)),0)</f>
        <v>185</v>
      </c>
      <c r="E144" s="187">
        <f>IFERROR(INDEX($O$221:$O$301,MATCH(LARGE($Q$221:$Q$301,39),$Q$221:$Q$301,0)),0)</f>
        <v>454</v>
      </c>
    </row>
    <row r="145" spans="1:5">
      <c r="A145" s="188">
        <v>40</v>
      </c>
      <c r="B145" s="163" t="str">
        <f>IFERROR(INDEX($A$221:$A$301,MATCH(LARGE($Q$221:$Q$301,40),$Q$221:$Q$301,0)),"")</f>
        <v>Maria Torstensson</v>
      </c>
      <c r="C145" s="141" t="str">
        <f>IFERROR(INDEX($B$221:$B$301,MATCH(LARGE($Q$221:$Q$301,40),$Q$221:$Q$301,0)),"")</f>
        <v>Tanum och Fjällbacka</v>
      </c>
      <c r="D145" s="62">
        <f>IFERROR(INDEX($P$221:$P$301,MATCH(LARGE($Q$221:$Q$301,40),$Q$221:$Q$301,0)),0)</f>
        <v>184</v>
      </c>
      <c r="E145" s="165">
        <f>IFERROR(INDEX($O$221:$O$301,MATCH(LARGE($Q$221:$Q$301,40),$Q$221:$Q$301,0)),0)</f>
        <v>892</v>
      </c>
    </row>
    <row r="146" spans="1:5">
      <c r="A146" s="185">
        <v>41</v>
      </c>
      <c r="B146" s="186" t="str">
        <f>IFERROR(INDEX($A$221:$A$301,MATCH(LARGE($Q$221:$Q$301,41),$Q$221:$Q$301,0)),"")</f>
        <v>Albert Lindström</v>
      </c>
      <c r="C146" s="142" t="str">
        <f>IFERROR(INDEX($B$221:$B$301,MATCH(LARGE($Q$221:$Q$301,41),$Q$221:$Q$301,0)),"")</f>
        <v>Frölunda Torg</v>
      </c>
      <c r="D146" s="61">
        <f>IFERROR(INDEX($P$221:$P$301,MATCH(LARGE($Q$221:$Q$301,41),$Q$221:$Q$301,0)),0)</f>
        <v>184</v>
      </c>
      <c r="E146" s="187">
        <f>IFERROR(INDEX($O$221:$O$301,MATCH(LARGE($Q$221:$Q$301,41),$Q$221:$Q$301,0)),0)</f>
        <v>616</v>
      </c>
    </row>
    <row r="147" spans="1:5">
      <c r="A147" s="188">
        <v>42</v>
      </c>
      <c r="B147" s="163" t="str">
        <f>IFERROR(INDEX($A$221:$A$301,MATCH(LARGE($Q$221:$Q$301,42),$Q$221:$Q$301,0)),"")</f>
        <v>Kristina Tjernberg</v>
      </c>
      <c r="C147" s="141" t="str">
        <f>IFERROR(INDEX($B$221:$B$301,MATCH(LARGE($Q$221:$Q$301,42),$Q$221:$Q$301,0)),"")</f>
        <v>Noltrop</v>
      </c>
      <c r="D147" s="62">
        <f>IFERROR(INDEX($P$221:$P$301,MATCH(LARGE($Q$221:$Q$301,42),$Q$221:$Q$301,0)),0)</f>
        <v>181</v>
      </c>
      <c r="E147" s="165">
        <f>IFERROR(INDEX($O$221:$O$301,MATCH(LARGE($Q$221:$Q$301,42),$Q$221:$Q$301,0)),0)</f>
        <v>709</v>
      </c>
    </row>
    <row r="148" spans="1:5">
      <c r="A148" s="185">
        <v>43</v>
      </c>
      <c r="B148" s="186" t="str">
        <f>IFERROR(INDEX($A$221:$A$301,MATCH(LARGE($Q$221:$Q$301,43),$Q$221:$Q$301,0)),"")</f>
        <v>Åsa Tillmar</v>
      </c>
      <c r="C148" s="142" t="str">
        <f>IFERROR(INDEX($B$221:$B$301,MATCH(LARGE($Q$221:$Q$301,43),$Q$221:$Q$301,0)),"")</f>
        <v>Noltrop</v>
      </c>
      <c r="D148" s="61">
        <f>IFERROR(INDEX($P$221:$P$301,MATCH(LARGE($Q$221:$Q$301,43),$Q$221:$Q$301,0)),0)</f>
        <v>181</v>
      </c>
      <c r="E148" s="187">
        <f>IFERROR(INDEX($O$221:$O$301,MATCH(LARGE($Q$221:$Q$301,43),$Q$221:$Q$301,0)),0)</f>
        <v>672</v>
      </c>
    </row>
    <row r="149" spans="1:5">
      <c r="A149" s="188">
        <v>44</v>
      </c>
      <c r="B149" s="163" t="str">
        <f>IFERROR(INDEX($A$221:$A$301,MATCH(LARGE($Q$221:$Q$301,44),$Q$221:$Q$301,0)),"")</f>
        <v>Anna Abrahamsson</v>
      </c>
      <c r="C149" s="141" t="str">
        <f>IFERROR(INDEX($B$221:$B$301,MATCH(LARGE($Q$221:$Q$301,44),$Q$221:$Q$301,0)),"")</f>
        <v>Åby</v>
      </c>
      <c r="D149" s="62">
        <f>IFERROR(INDEX($P$221:$P$301,MATCH(LARGE($Q$221:$Q$301,44),$Q$221:$Q$301,0)),0)</f>
        <v>180</v>
      </c>
      <c r="E149" s="165">
        <f>IFERROR(INDEX($O$221:$O$301,MATCH(LARGE($Q$221:$Q$301,44),$Q$221:$Q$301,0)),0)</f>
        <v>697</v>
      </c>
    </row>
    <row r="150" spans="1:5">
      <c r="A150" s="185">
        <v>45</v>
      </c>
      <c r="B150" s="186" t="str">
        <f>IFERROR(INDEX($A$221:$A$301,MATCH(LARGE($Q$221:$Q$301,45),$Q$221:$Q$301,0)),"")</f>
        <v>Caroline Möller</v>
      </c>
      <c r="C150" s="142" t="str">
        <f>IFERROR(INDEX($B$221:$B$301,MATCH(LARGE($Q$221:$Q$301,45),$Q$221:$Q$301,0)),"")</f>
        <v>Grimmered</v>
      </c>
      <c r="D150" s="61">
        <f>IFERROR(INDEX($P$221:$P$301,MATCH(LARGE($Q$221:$Q$301,45),$Q$221:$Q$301,0)),0)</f>
        <v>179</v>
      </c>
      <c r="E150" s="187">
        <f>IFERROR(INDEX($O$221:$O$301,MATCH(LARGE($Q$221:$Q$301,45),$Q$221:$Q$301,0)),0)</f>
        <v>560</v>
      </c>
    </row>
    <row r="151" spans="1:5">
      <c r="A151" s="188">
        <v>46</v>
      </c>
      <c r="B151" s="163" t="str">
        <f>IFERROR(INDEX($A$221:$A$301,MATCH(LARGE($Q$221:$Q$301,46),$Q$221:$Q$301,0)),"")</f>
        <v>Michaela Voeler</v>
      </c>
      <c r="C151" s="141" t="str">
        <f>IFERROR(INDEX($B$221:$B$301,MATCH(LARGE($Q$221:$Q$301,46),$Q$221:$Q$301,0)),"")</f>
        <v>Åby</v>
      </c>
      <c r="D151" s="62">
        <f>IFERROR(INDEX($P$221:$P$301,MATCH(LARGE($Q$221:$Q$301,46),$Q$221:$Q$301,0)),0)</f>
        <v>178</v>
      </c>
      <c r="E151" s="165">
        <f>IFERROR(INDEX($O$221:$O$301,MATCH(LARGE($Q$221:$Q$301,46),$Q$221:$Q$301,0)),0)</f>
        <v>808</v>
      </c>
    </row>
    <row r="152" spans="1:5">
      <c r="A152" s="185">
        <v>47</v>
      </c>
      <c r="B152" s="186" t="str">
        <f>IFERROR(INDEX($A$221:$A$301,MATCH(LARGE($Q$221:$Q$301,47),$Q$221:$Q$301,0)),"")</f>
        <v>Nina Nexborn</v>
      </c>
      <c r="C152" s="142" t="str">
        <f>IFERROR(INDEX($B$221:$B$301,MATCH(LARGE($Q$221:$Q$301,47),$Q$221:$Q$301,0)),"")</f>
        <v>Avenyn</v>
      </c>
      <c r="D152" s="61">
        <f>IFERROR(INDEX($P$221:$P$301,MATCH(LARGE($Q$221:$Q$301,47),$Q$221:$Q$301,0)),0)</f>
        <v>174</v>
      </c>
      <c r="E152" s="187">
        <f>IFERROR(INDEX($O$221:$O$301,MATCH(LARGE($Q$221:$Q$301,47),$Q$221:$Q$301,0)),0)</f>
        <v>629</v>
      </c>
    </row>
    <row r="153" spans="1:5">
      <c r="A153" s="188">
        <v>48</v>
      </c>
      <c r="B153" s="163" t="str">
        <f>IFERROR(INDEX($A$221:$A$301,MATCH(LARGE($Q$221:$Q$301,48),$Q$221:$Q$301,0)),"")</f>
        <v>Simon Lageson</v>
      </c>
      <c r="C153" s="141" t="str">
        <f>IFERROR(INDEX($B$221:$B$301,MATCH(LARGE($Q$221:$Q$301,48),$Q$221:$Q$301,0)),"")</f>
        <v>Frölunda Torg</v>
      </c>
      <c r="D153" s="62">
        <f>IFERROR(INDEX($P$221:$P$301,MATCH(LARGE($Q$221:$Q$301,48),$Q$221:$Q$301,0)),0)</f>
        <v>172</v>
      </c>
      <c r="E153" s="165">
        <f>IFERROR(INDEX($O$221:$O$301,MATCH(LARGE($Q$221:$Q$301,48),$Q$221:$Q$301,0)),0)</f>
        <v>437</v>
      </c>
    </row>
    <row r="154" spans="1:5">
      <c r="A154" s="185">
        <v>49</v>
      </c>
      <c r="B154" s="186" t="str">
        <f>IFERROR(INDEX($A$221:$A$301,MATCH(LARGE($Q$221:$Q$301,49),$Q$221:$Q$301,0)),"")</f>
        <v>Jonathan Lindblad</v>
      </c>
      <c r="C154" s="142" t="str">
        <f>IFERROR(INDEX($B$221:$B$301,MATCH(LARGE($Q$221:$Q$301,49),$Q$221:$Q$301,0)),"")</f>
        <v>Åmål</v>
      </c>
      <c r="D154" s="61">
        <f>IFERROR(INDEX($P$221:$P$301,MATCH(LARGE($Q$221:$Q$301,49),$Q$221:$Q$301,0)),0)</f>
        <v>171</v>
      </c>
      <c r="E154" s="187">
        <f>IFERROR(INDEX($O$221:$O$301,MATCH(LARGE($Q$221:$Q$301,49),$Q$221:$Q$301,0)),0)</f>
        <v>532</v>
      </c>
    </row>
    <row r="155" spans="1:5">
      <c r="A155" s="188">
        <v>50</v>
      </c>
      <c r="B155" s="163" t="str">
        <f>IFERROR(INDEX($A$221:$A$301,MATCH(LARGE($Q$221:$Q$301,50),$Q$221:$Q$301,0)),"")</f>
        <v>Therese Eriksson</v>
      </c>
      <c r="C155" s="141" t="str">
        <f>IFERROR(INDEX($B$221:$B$301,MATCH(LARGE($Q$221:$Q$301,50),$Q$221:$Q$301,0)),"")</f>
        <v>Åmål</v>
      </c>
      <c r="D155" s="62">
        <f>IFERROR(INDEX($P$221:$P$301,MATCH(LARGE($Q$221:$Q$301,50),$Q$221:$Q$301,0)),0)</f>
        <v>168</v>
      </c>
      <c r="E155" s="165">
        <f>IFERROR(INDEX($O$221:$O$301,MATCH(LARGE($Q$221:$Q$301,50),$Q$221:$Q$301,0)),0)</f>
        <v>876</v>
      </c>
    </row>
    <row r="156" spans="1:5">
      <c r="A156" s="185">
        <v>51</v>
      </c>
      <c r="B156" s="186" t="str">
        <f>IFERROR(INDEX($A$221:$A$301,MATCH(LARGE($Q$221:$Q$301,51),$Q$221:$Q$301,0)),"")</f>
        <v>Anna-Karin Book</v>
      </c>
      <c r="C156" s="142" t="str">
        <f>IFERROR(INDEX($B$221:$B$301,MATCH(LARGE($Q$221:$Q$301,51),$Q$221:$Q$301,0)),"")</f>
        <v>Majorna</v>
      </c>
      <c r="D156" s="61">
        <f>IFERROR(INDEX($P$221:$P$301,MATCH(LARGE($Q$221:$Q$301,51),$Q$221:$Q$301,0)),0)</f>
        <v>165</v>
      </c>
      <c r="E156" s="187">
        <f>IFERROR(INDEX($O$221:$O$301,MATCH(LARGE($Q$221:$Q$301,51),$Q$221:$Q$301,0)),0)</f>
        <v>725</v>
      </c>
    </row>
    <row r="157" spans="1:5">
      <c r="A157" s="188">
        <v>52</v>
      </c>
      <c r="B157" s="163" t="str">
        <f>IFERROR(INDEX($A$221:$A$301,MATCH(LARGE($Q$221:$Q$301,52),$Q$221:$Q$301,0)),"")</f>
        <v>Malin Svensson</v>
      </c>
      <c r="C157" s="141" t="str">
        <f>IFERROR(INDEX($B$221:$B$301,MATCH(LARGE($Q$221:$Q$301,52),$Q$221:$Q$301,0)),"")</f>
        <v>Grimmered</v>
      </c>
      <c r="D157" s="62">
        <f>IFERROR(INDEX($P$221:$P$301,MATCH(LARGE($Q$221:$Q$301,52),$Q$221:$Q$301,0)),0)</f>
        <v>164</v>
      </c>
      <c r="E157" s="165">
        <f>IFERROR(INDEX($O$221:$O$301,MATCH(LARGE($Q$221:$Q$301,52),$Q$221:$Q$301,0)),0)</f>
        <v>563</v>
      </c>
    </row>
    <row r="158" spans="1:5">
      <c r="A158" s="185">
        <v>53</v>
      </c>
      <c r="B158" s="186" t="str">
        <f>IFERROR(INDEX($A$221:$A$301,MATCH(LARGE($Q$221:$Q$301,53),$Q$221:$Q$301,0)),"")</f>
        <v>Frida Eriksson Gustafsson</v>
      </c>
      <c r="C158" s="142" t="str">
        <f>IFERROR(INDEX($B$221:$B$301,MATCH(LARGE($Q$221:$Q$301,53),$Q$221:$Q$301,0)),"")</f>
        <v>Åmål</v>
      </c>
      <c r="D158" s="61">
        <f>IFERROR(INDEX($P$221:$P$301,MATCH(LARGE($Q$221:$Q$301,53),$Q$221:$Q$301,0)),0)</f>
        <v>156</v>
      </c>
      <c r="E158" s="187">
        <f>IFERROR(INDEX($O$221:$O$301,MATCH(LARGE($Q$221:$Q$301,53),$Q$221:$Q$301,0)),0)</f>
        <v>530</v>
      </c>
    </row>
    <row r="159" spans="1:5">
      <c r="A159" s="188">
        <v>54</v>
      </c>
      <c r="B159" s="163" t="str">
        <f>IFERROR(INDEX($A$221:$A$301,MATCH(LARGE($Q$221:$Q$301,54),$Q$221:$Q$301,0)),"")</f>
        <v>Molly Lindmark</v>
      </c>
      <c r="C159" s="141" t="str">
        <f>IFERROR(INDEX($B$221:$B$301,MATCH(LARGE($Q$221:$Q$301,54),$Q$221:$Q$301,0)),"")</f>
        <v>Karlastaden</v>
      </c>
      <c r="D159" s="62">
        <f>IFERROR(INDEX($P$221:$P$301,MATCH(LARGE($Q$221:$Q$301,54),$Q$221:$Q$301,0)),0)</f>
        <v>154</v>
      </c>
      <c r="E159" s="165">
        <f>IFERROR(INDEX($O$221:$O$301,MATCH(LARGE($Q$221:$Q$301,54),$Q$221:$Q$301,0)),0)</f>
        <v>565</v>
      </c>
    </row>
    <row r="160" spans="1:5">
      <c r="A160" s="185">
        <v>55</v>
      </c>
      <c r="B160" s="186" t="str">
        <f>IFERROR(INDEX($A$221:$A$301,MATCH(LARGE($Q$221:$Q$301,55),$Q$221:$Q$301,0)),"")</f>
        <v>Rana Baratifar</v>
      </c>
      <c r="C160" s="142" t="str">
        <f>IFERROR(INDEX($B$221:$B$301,MATCH(LARGE($Q$221:$Q$301,55),$Q$221:$Q$301,0)),"")</f>
        <v>Frölunda Torg</v>
      </c>
      <c r="D160" s="61">
        <f>IFERROR(INDEX($P$221:$P$301,MATCH(LARGE($Q$221:$Q$301,55),$Q$221:$Q$301,0)),0)</f>
        <v>145</v>
      </c>
      <c r="E160" s="187">
        <f>IFERROR(INDEX($O$221:$O$301,MATCH(LARGE($Q$221:$Q$301,55),$Q$221:$Q$301,0)),0)</f>
        <v>554</v>
      </c>
    </row>
    <row r="161" spans="1:5">
      <c r="A161" s="188">
        <v>56</v>
      </c>
      <c r="B161" s="163" t="str">
        <f>IFERROR(INDEX($A$221:$A$301,MATCH(LARGE($Q$221:$Q$301,56),$Q$221:$Q$301,0)),"")</f>
        <v>Arvid Lennartsson</v>
      </c>
      <c r="C161" s="141" t="str">
        <f>IFERROR(INDEX($B$221:$B$301,MATCH(LARGE($Q$221:$Q$301,56),$Q$221:$Q$301,0)),"")</f>
        <v>Pedagogen Park</v>
      </c>
      <c r="D161" s="62">
        <f>IFERROR(INDEX($P$221:$P$301,MATCH(LARGE($Q$221:$Q$301,56),$Q$221:$Q$301,0)),0)</f>
        <v>145</v>
      </c>
      <c r="E161" s="165">
        <f>IFERROR(INDEX($O$221:$O$301,MATCH(LARGE($Q$221:$Q$301,56),$Q$221:$Q$301,0)),0)</f>
        <v>572</v>
      </c>
    </row>
    <row r="162" spans="1:5">
      <c r="A162" s="185">
        <v>57</v>
      </c>
      <c r="B162" s="186" t="str">
        <f>IFERROR(INDEX($A$221:$A$301,MATCH(LARGE($Q$221:$Q$301,57),$Q$221:$Q$301,0)),"")</f>
        <v>Helena Ö</v>
      </c>
      <c r="C162" s="142" t="str">
        <f>IFERROR(INDEX($B$221:$B$301,MATCH(LARGE($Q$221:$Q$301,57),$Q$221:$Q$301,0)),"")</f>
        <v>Olskroken</v>
      </c>
      <c r="D162" s="61">
        <f>IFERROR(INDEX($P$221:$P$301,MATCH(LARGE($Q$221:$Q$301,57),$Q$221:$Q$301,0)),0)</f>
        <v>129</v>
      </c>
      <c r="E162" s="187">
        <f>IFERROR(INDEX($O$221:$O$301,MATCH(LARGE($Q$221:$Q$301,57),$Q$221:$Q$301,0)),0)</f>
        <v>647</v>
      </c>
    </row>
    <row r="163" spans="1:5">
      <c r="A163" s="188">
        <v>58</v>
      </c>
      <c r="B163" s="163" t="str">
        <f>IFERROR(INDEX($A$221:$A$301,MATCH(LARGE($Q$221:$Q$301,58),$Q$221:$Q$301,0)),"")</f>
        <v>Helen/Ny FT</v>
      </c>
      <c r="C163" s="141" t="str">
        <f>IFERROR(INDEX($B$221:$B$301,MATCH(LARGE($Q$221:$Q$301,58),$Q$221:$Q$301,0)),"")</f>
        <v>Majorna</v>
      </c>
      <c r="D163" s="62">
        <f>IFERROR(INDEX($P$221:$P$301,MATCH(LARGE($Q$221:$Q$301,58),$Q$221:$Q$301,0)),0)</f>
        <v>124</v>
      </c>
      <c r="E163" s="165">
        <f>IFERROR(INDEX($O$221:$O$301,MATCH(LARGE($Q$221:$Q$301,58),$Q$221:$Q$301,0)),0)</f>
        <v>360</v>
      </c>
    </row>
    <row r="164" spans="1:5">
      <c r="A164" s="185">
        <v>59</v>
      </c>
      <c r="B164" s="186" t="str">
        <f>IFERROR(INDEX($A$221:$A$301,MATCH(LARGE($Q$221:$Q$301,59),$Q$221:$Q$301,0)),"")</f>
        <v>Albin Kolberg</v>
      </c>
      <c r="C164" s="142" t="str">
        <f>IFERROR(INDEX($B$221:$B$301,MATCH(LARGE($Q$221:$Q$301,59),$Q$221:$Q$301,0)),"")</f>
        <v>Tanum och Fjällbacka</v>
      </c>
      <c r="D164" s="61">
        <f>IFERROR(INDEX($P$221:$P$301,MATCH(LARGE($Q$221:$Q$301,59),$Q$221:$Q$301,0)),0)</f>
        <v>121</v>
      </c>
      <c r="E164" s="187">
        <f>IFERROR(INDEX($O$221:$O$301,MATCH(LARGE($Q$221:$Q$301,59),$Q$221:$Q$301,0)),0)</f>
        <v>323</v>
      </c>
    </row>
    <row r="165" spans="1:5">
      <c r="A165" s="188">
        <v>60</v>
      </c>
      <c r="B165" s="163" t="str">
        <f>IFERROR(INDEX($A$221:$A$301,MATCH(LARGE($Q$221:$Q$301,60),$Q$221:$Q$301,0)),"")</f>
        <v>Emma Holmström</v>
      </c>
      <c r="C165" s="141" t="str">
        <f>IFERROR(INDEX($B$221:$B$301,MATCH(LARGE($Q$221:$Q$301,60),$Q$221:$Q$301,0)),"")</f>
        <v>Lilla Edet</v>
      </c>
      <c r="D165" s="62">
        <f>IFERROR(INDEX($P$221:$P$301,MATCH(LARGE($Q$221:$Q$301,60),$Q$221:$Q$301,0)),0)</f>
        <v>115</v>
      </c>
      <c r="E165" s="165">
        <f>IFERROR(INDEX($O$221:$O$301,MATCH(LARGE($Q$221:$Q$301,60),$Q$221:$Q$301,0)),0)</f>
        <v>516</v>
      </c>
    </row>
    <row r="166" spans="1:5">
      <c r="A166" s="185">
        <v>61</v>
      </c>
      <c r="B166" s="186" t="str">
        <f>IFERROR(INDEX($A$221:$A$301,MATCH(LARGE($Q$221:$Q$301,61),$Q$221:$Q$301,0)),"")</f>
        <v>Lena</v>
      </c>
      <c r="C166" s="142" t="str">
        <f>IFERROR(INDEX($B$221:$B$301,MATCH(LARGE($Q$221:$Q$301,61),$Q$221:$Q$301,0)),"")</f>
        <v>Majorna</v>
      </c>
      <c r="D166" s="61">
        <f>IFERROR(INDEX($P$221:$P$301,MATCH(LARGE($Q$221:$Q$301,61),$Q$221:$Q$301,0)),0)</f>
        <v>110</v>
      </c>
      <c r="E166" s="187">
        <f>IFERROR(INDEX($O$221:$O$301,MATCH(LARGE($Q$221:$Q$301,61),$Q$221:$Q$301,0)),0)</f>
        <v>409</v>
      </c>
    </row>
    <row r="167" spans="1:5">
      <c r="A167" s="188">
        <v>62</v>
      </c>
      <c r="B167" s="163" t="str">
        <f>IFERROR(INDEX($A$221:$A$301,MATCH(LARGE($Q$221:$Q$301,62),$Q$221:$Q$301,0)),"")</f>
        <v>Josefin Samuelsson</v>
      </c>
      <c r="C167" s="141" t="str">
        <f>IFERROR(INDEX($B$221:$B$301,MATCH(LARGE($Q$221:$Q$301,62),$Q$221:$Q$301,0)),"")</f>
        <v>Stavre</v>
      </c>
      <c r="D167" s="62">
        <f>IFERROR(INDEX($P$221:$P$301,MATCH(LARGE($Q$221:$Q$301,62),$Q$221:$Q$301,0)),0)</f>
        <v>99</v>
      </c>
      <c r="E167" s="165">
        <f>IFERROR(INDEX($O$221:$O$301,MATCH(LARGE($Q$221:$Q$301,62),$Q$221:$Q$301,0)),0)</f>
        <v>568</v>
      </c>
    </row>
    <row r="168" spans="1:5">
      <c r="A168" s="185">
        <v>63</v>
      </c>
      <c r="B168" s="186" t="str">
        <f>IFERROR(INDEX($A$221:$A$301,MATCH(LARGE($Q$221:$Q$301,63),$Q$221:$Q$301,0)),"")</f>
        <v>Anna Lorentzon</v>
      </c>
      <c r="C168" s="142" t="str">
        <f>IFERROR(INDEX($B$221:$B$301,MATCH(LARGE($Q$221:$Q$301,63),$Q$221:$Q$301,0)),"")</f>
        <v>Brålanda-Torpa</v>
      </c>
      <c r="D168" s="61">
        <f>IFERROR(INDEX($P$221:$P$301,MATCH(LARGE($Q$221:$Q$301,63),$Q$221:$Q$301,0)),0)</f>
        <v>97</v>
      </c>
      <c r="E168" s="187">
        <f>IFERROR(INDEX($O$221:$O$301,MATCH(LARGE($Q$221:$Q$301,63),$Q$221:$Q$301,0)),0)</f>
        <v>393</v>
      </c>
    </row>
    <row r="169" spans="1:5">
      <c r="A169" s="188">
        <v>64</v>
      </c>
      <c r="B169" s="163" t="str">
        <f>IFERROR(INDEX($A$221:$A$301,MATCH(LARGE($Q$221:$Q$301,64),$Q$221:$Q$301,0)),"")</f>
        <v>Beata Uggla</v>
      </c>
      <c r="C169" s="141" t="str">
        <f>IFERROR(INDEX($B$221:$B$301,MATCH(LARGE($Q$221:$Q$301,64),$Q$221:$Q$301,0)),"")</f>
        <v>Tanum och Fjällbacka</v>
      </c>
      <c r="D169" s="62">
        <f>IFERROR(INDEX($P$221:$P$301,MATCH(LARGE($Q$221:$Q$301,64),$Q$221:$Q$301,0)),0)</f>
        <v>77</v>
      </c>
      <c r="E169" s="165">
        <f>IFERROR(INDEX($O$221:$O$301,MATCH(LARGE($Q$221:$Q$301,64),$Q$221:$Q$301,0)),0)</f>
        <v>380</v>
      </c>
    </row>
    <row r="170" spans="1:5">
      <c r="A170" s="185">
        <v>65</v>
      </c>
      <c r="B170" s="186" t="str">
        <f>IFERROR(INDEX($A$221:$A$301,MATCH(LARGE($Q$221:$Q$301,65),$Q$221:$Q$301,0)),"")</f>
        <v>Jenny Trommer</v>
      </c>
      <c r="C170" s="142" t="str">
        <f>IFERROR(INDEX($B$221:$B$301,MATCH(LARGE($Q$221:$Q$301,65),$Q$221:$Q$301,0)),"")</f>
        <v>Brålanda-Torpa</v>
      </c>
      <c r="D170" s="61">
        <f>IFERROR(INDEX($P$221:$P$301,MATCH(LARGE($Q$221:$Q$301,65),$Q$221:$Q$301,0)),0)</f>
        <v>72</v>
      </c>
      <c r="E170" s="187">
        <f>IFERROR(INDEX($O$221:$O$301,MATCH(LARGE($Q$221:$Q$301,65),$Q$221:$Q$301,0)),0)</f>
        <v>186</v>
      </c>
    </row>
    <row r="171" spans="1:5">
      <c r="A171" s="188">
        <v>66</v>
      </c>
      <c r="B171" s="163" t="str">
        <f>IFERROR(INDEX($A$221:$A$301,MATCH(LARGE($Q$221:$Q$301,66),$Q$221:$Q$301,0)),"")</f>
        <v>Maja Fresk</v>
      </c>
      <c r="C171" s="141" t="str">
        <f>IFERROR(INDEX($B$221:$B$301,MATCH(LARGE($Q$221:$Q$301,66),$Q$221:$Q$301,0)),"")</f>
        <v>Tanum och Fjällbacka</v>
      </c>
      <c r="D171" s="62">
        <f>IFERROR(INDEX($P$221:$P$301,MATCH(LARGE($Q$221:$Q$301,66),$Q$221:$Q$301,0)),0)</f>
        <v>69</v>
      </c>
      <c r="E171" s="165">
        <f>IFERROR(INDEX($O$221:$O$301,MATCH(LARGE($Q$221:$Q$301,66),$Q$221:$Q$301,0)),0)</f>
        <v>249</v>
      </c>
    </row>
    <row r="172" spans="1:5">
      <c r="A172" s="185">
        <v>67</v>
      </c>
      <c r="B172" s="186" t="str">
        <f>IFERROR(INDEX($A$221:$A$301,MATCH(LARGE($Q$221:$Q$301,67),$Q$221:$Q$301,0)),"")</f>
        <v>Elin Jolsö</v>
      </c>
      <c r="C172" s="142" t="str">
        <f>IFERROR(INDEX($B$221:$B$301,MATCH(LARGE($Q$221:$Q$301,67),$Q$221:$Q$301,0)),"")</f>
        <v>Avenyn</v>
      </c>
      <c r="D172" s="61">
        <f>IFERROR(INDEX($P$221:$P$301,MATCH(LARGE($Q$221:$Q$301,67),$Q$221:$Q$301,0)),0)</f>
        <v>57</v>
      </c>
      <c r="E172" s="187">
        <f>IFERROR(INDEX($O$221:$O$301,MATCH(LARGE($Q$221:$Q$301,67),$Q$221:$Q$301,0)),0)</f>
        <v>273</v>
      </c>
    </row>
    <row r="173" spans="1:5">
      <c r="A173" s="188">
        <v>68</v>
      </c>
      <c r="B173" s="163" t="str">
        <f>IFERROR(INDEX($A$221:$A$301,MATCH(LARGE($Q$221:$Q$301,68),$Q$221:$Q$301,0)),"")</f>
        <v>Sabrina Mesic</v>
      </c>
      <c r="C173" s="141" t="str">
        <f>IFERROR(INDEX($B$221:$B$301,MATCH(LARGE($Q$221:$Q$301,68),$Q$221:$Q$301,0)),"")</f>
        <v>Brålanda-Torpa</v>
      </c>
      <c r="D173" s="62">
        <f>IFERROR(INDEX($P$221:$P$301,MATCH(LARGE($Q$221:$Q$301,68),$Q$221:$Q$301,0)),0)</f>
        <v>55</v>
      </c>
      <c r="E173" s="165">
        <f>IFERROR(INDEX($O$221:$O$301,MATCH(LARGE($Q$221:$Q$301,68),$Q$221:$Q$301,0)),0)</f>
        <v>194</v>
      </c>
    </row>
    <row r="174" spans="1:5">
      <c r="A174" s="185">
        <v>69</v>
      </c>
      <c r="B174" s="186" t="str">
        <f>IFERROR(INDEX($A$221:$A$301,MATCH(LARGE($Q$221:$Q$301,69),$Q$221:$Q$301,0)),"")</f>
        <v>Fredrik Lindström</v>
      </c>
      <c r="C174" s="142" t="str">
        <f>IFERROR(INDEX($B$221:$B$301,MATCH(LARGE($Q$221:$Q$301,69),$Q$221:$Q$301,0)),"")</f>
        <v>Karlastaden</v>
      </c>
      <c r="D174" s="61">
        <f>IFERROR(INDEX($P$221:$P$301,MATCH(LARGE($Q$221:$Q$301,69),$Q$221:$Q$301,0)),0)</f>
        <v>54</v>
      </c>
      <c r="E174" s="187">
        <f>IFERROR(INDEX($O$221:$O$301,MATCH(LARGE($Q$221:$Q$301,69),$Q$221:$Q$301,0)),0)</f>
        <v>261</v>
      </c>
    </row>
    <row r="175" spans="1:5">
      <c r="A175" s="188">
        <v>70</v>
      </c>
      <c r="B175" s="163" t="str">
        <f>IFERROR(INDEX($A$221:$A$301,MATCH(LARGE($Q$221:$Q$301,70),$Q$221:$Q$301,0)),"")</f>
        <v>Thomas Lindblom</v>
      </c>
      <c r="C175" s="141" t="str">
        <f>IFERROR(INDEX($B$221:$B$301,MATCH(LARGE($Q$221:$Q$301,70),$Q$221:$Q$301,0)),"")</f>
        <v>Tanum och Fjällbacka</v>
      </c>
      <c r="D175" s="62">
        <f>IFERROR(INDEX($P$221:$P$301,MATCH(LARGE($Q$221:$Q$301,70),$Q$221:$Q$301,0)),0)</f>
        <v>24</v>
      </c>
      <c r="E175" s="165">
        <f>IFERROR(INDEX($O$221:$O$301,MATCH(LARGE($Q$221:$Q$301,70),$Q$221:$Q$301,0)),0)</f>
        <v>94</v>
      </c>
    </row>
    <row r="176" spans="1:5">
      <c r="A176" s="185">
        <v>71</v>
      </c>
      <c r="B176" s="186" t="str">
        <f>IFERROR(INDEX($A$221:$A$301,MATCH(LARGE($Q$221:$Q$301,71),$Q$221:$Q$301,0)),"")</f>
        <v>David Jansson</v>
      </c>
      <c r="C176" s="142" t="str">
        <f>IFERROR(INDEX($B$221:$B$301,MATCH(LARGE($Q$221:$Q$301,71),$Q$221:$Q$301,0)),"")</f>
        <v>Brålanda-Torpa</v>
      </c>
      <c r="D176" s="61">
        <f>IFERROR(INDEX($P$221:$P$301,MATCH(LARGE($Q$221:$Q$301,71),$Q$221:$Q$301,0)),0)</f>
        <v>17</v>
      </c>
      <c r="E176" s="187">
        <f>IFERROR(INDEX($O$221:$O$301,MATCH(LARGE($Q$221:$Q$301,71),$Q$221:$Q$301,0)),0)</f>
        <v>298</v>
      </c>
    </row>
    <row r="177" spans="1:5">
      <c r="A177" s="188">
        <v>72</v>
      </c>
      <c r="B177" s="163" t="str">
        <f>IFERROR(INDEX($A$221:$A$301,MATCH(LARGE($Q$221:$Q$301,72),$Q$221:$Q$301,0)),"")</f>
        <v>Mimmi Landelius</v>
      </c>
      <c r="C177" s="141" t="str">
        <f>IFERROR(INDEX($B$221:$B$301,MATCH(LARGE($Q$221:$Q$301,72),$Q$221:$Q$301,0)),"")</f>
        <v>Lilla Edet</v>
      </c>
      <c r="D177" s="62">
        <f>IFERROR(INDEX($P$221:$P$301,MATCH(LARGE($Q$221:$Q$301,72),$Q$221:$Q$301,0)),0)</f>
        <v>0</v>
      </c>
      <c r="E177" s="165">
        <f>IFERROR(INDEX($O$221:$O$301,MATCH(LARGE($Q$221:$Q$301,72),$Q$221:$Q$301,0)),0)</f>
        <v>424</v>
      </c>
    </row>
    <row r="178" spans="1:5">
      <c r="A178" s="185">
        <v>73</v>
      </c>
      <c r="B178" s="186" t="str">
        <f>IFERROR(INDEX($A$221:$A$301,MATCH(LARGE($Q$221:$Q$301,73),$Q$221:$Q$301,0)),"")</f>
        <v>Vikarie Charlotta LA</v>
      </c>
      <c r="C178" s="142" t="str">
        <f>IFERROR(INDEX($B$221:$B$301,MATCH(LARGE($Q$221:$Q$301,73),$Q$221:$Q$301,0)),"")</f>
        <v>Tanum och Fjällbacka</v>
      </c>
      <c r="D178" s="61">
        <f>IFERROR(INDEX($P$221:$P$301,MATCH(LARGE($Q$221:$Q$301,73),$Q$221:$Q$301,0)),0)</f>
        <v>0</v>
      </c>
      <c r="E178" s="187">
        <f>IFERROR(INDEX($O$221:$O$301,MATCH(LARGE($Q$221:$Q$301,73),$Q$221:$Q$301,0)),0)</f>
        <v>0</v>
      </c>
    </row>
    <row r="179" spans="1:5">
      <c r="A179" s="188">
        <v>74</v>
      </c>
      <c r="B179" s="163" t="str">
        <f>IFERROR(INDEX($A$221:$A$301,MATCH(LARGE($Q$221:$Q$301,74),$Q$221:$Q$301,0)),"")</f>
        <v>Vikarie Åsa H</v>
      </c>
      <c r="C179" s="141" t="str">
        <f>IFERROR(INDEX($B$221:$B$301,MATCH(LARGE($Q$221:$Q$301,74),$Q$221:$Q$301,0)),"")</f>
        <v>Tanum och Fjällbacka</v>
      </c>
      <c r="D179" s="62">
        <f>IFERROR(INDEX($P$221:$P$301,MATCH(LARGE($Q$221:$Q$301,74),$Q$221:$Q$301,0)),0)</f>
        <v>0</v>
      </c>
      <c r="E179" s="165">
        <f>IFERROR(INDEX($O$221:$O$301,MATCH(LARGE($Q$221:$Q$301,74),$Q$221:$Q$301,0)),0)</f>
        <v>0</v>
      </c>
    </row>
    <row r="180" spans="1:5">
      <c r="A180" s="185">
        <v>75</v>
      </c>
      <c r="B180" s="186" t="str">
        <f>IFERROR(INDEX($A$221:$A$301,MATCH(LARGE($Q$221:$Q$301,75),$Q$221:$Q$301,0)),"")</f>
        <v>Helen Wiefeldt</v>
      </c>
      <c r="C180" s="142" t="str">
        <f>IFERROR(INDEX($B$221:$B$301,MATCH(LARGE($Q$221:$Q$301,75),$Q$221:$Q$301,0)),"")</f>
        <v>Lilla Edet</v>
      </c>
      <c r="D180" s="61">
        <f>IFERROR(INDEX($P$221:$P$301,MATCH(LARGE($Q$221:$Q$301,75),$Q$221:$Q$301,0)),0)</f>
        <v>0</v>
      </c>
      <c r="E180" s="187">
        <f>IFERROR(INDEX($O$221:$O$301,MATCH(LARGE($Q$221:$Q$301,75),$Q$221:$Q$301,0)),0)</f>
        <v>0</v>
      </c>
    </row>
    <row r="181" spans="1:5">
      <c r="A181" s="188">
        <v>76</v>
      </c>
      <c r="B181" s="163" t="str">
        <f>IFERROR(INDEX($A$221:$A$301,MATCH(LARGE($Q$221:$Q$301,76),$Q$221:$Q$301,0)),"")</f>
        <v>Ajla Spahic</v>
      </c>
      <c r="C181" s="141" t="str">
        <f>IFERROR(INDEX($B$221:$B$301,MATCH(LARGE($Q$221:$Q$301,76),$Q$221:$Q$301,0)),"")</f>
        <v>Brålanda-Torpa</v>
      </c>
      <c r="D181" s="62">
        <f>IFERROR(INDEX($P$221:$P$301,MATCH(LARGE($Q$221:$Q$301,76),$Q$221:$Q$301,0)),0)</f>
        <v>0</v>
      </c>
      <c r="E181" s="165">
        <f>IFERROR(INDEX($O$221:$O$301,MATCH(LARGE($Q$221:$Q$301,76),$Q$221:$Q$301,0)),0)</f>
        <v>253</v>
      </c>
    </row>
    <row r="182" spans="1:5">
      <c r="A182" s="185">
        <v>77</v>
      </c>
      <c r="B182" s="186" t="str">
        <f>IFERROR(INDEX($A$221:$A$301,MATCH(LARGE($Q$221:$Q$301,77),$Q$221:$Q$301,0)),"")</f>
        <v>Camilla Skånberg</v>
      </c>
      <c r="C182" s="142" t="str">
        <f>IFERROR(INDEX($B$221:$B$301,MATCH(LARGE($Q$221:$Q$301,77),$Q$221:$Q$301,0)),"")</f>
        <v>Lilla Edet</v>
      </c>
      <c r="D182" s="61">
        <f>IFERROR(INDEX($P$221:$P$301,MATCH(LARGE($Q$221:$Q$301,77),$Q$221:$Q$301,0)),0)</f>
        <v>0</v>
      </c>
      <c r="E182" s="187">
        <f>IFERROR(INDEX($O$221:$O$301,MATCH(LARGE($Q$221:$Q$301,77),$Q$221:$Q$301,0)),0)</f>
        <v>236</v>
      </c>
    </row>
    <row r="183" spans="1:5">
      <c r="A183" s="188">
        <v>78</v>
      </c>
      <c r="B183" s="163" t="str">
        <f>IFERROR(INDEX($A$221:$A$301,MATCH(LARGE($Q$221:$Q$301,78),$Q$221:$Q$301,0)),"")</f>
        <v>Pontus Berglund</v>
      </c>
      <c r="C183" s="141" t="str">
        <f>IFERROR(INDEX($B$221:$B$301,MATCH(LARGE($Q$221:$Q$301,78),$Q$221:$Q$301,0)),"")</f>
        <v>Frölunda Torg</v>
      </c>
      <c r="D183" s="62">
        <f>IFERROR(INDEX($P$221:$P$301,MATCH(LARGE($Q$221:$Q$301,78),$Q$221:$Q$301,0)),0)</f>
        <v>0</v>
      </c>
      <c r="E183" s="165">
        <f>IFERROR(INDEX($O$221:$O$301,MATCH(LARGE($Q$221:$Q$301,78),$Q$221:$Q$301,0)),0)</f>
        <v>220</v>
      </c>
    </row>
    <row r="184" spans="1:5">
      <c r="A184" s="185">
        <v>79</v>
      </c>
      <c r="B184" s="186" t="str">
        <f>IFERROR(INDEX($A$221:$A$301,MATCH(LARGE($Q$221:$Q$301,79),$Q$221:$Q$301,0)),"")</f>
        <v>Charlotta West</v>
      </c>
      <c r="C184" s="142" t="str">
        <f>IFERROR(INDEX($B$221:$B$301,MATCH(LARGE($Q$221:$Q$301,79),$Q$221:$Q$301,0)),"")</f>
        <v>Brålanda-Torpa</v>
      </c>
      <c r="D184" s="61">
        <f>IFERROR(INDEX($P$221:$P$301,MATCH(LARGE($Q$221:$Q$301,79),$Q$221:$Q$301,0)),0)</f>
        <v>0</v>
      </c>
      <c r="E184" s="187">
        <f>IFERROR(INDEX($O$221:$O$301,MATCH(LARGE($Q$221:$Q$301,79),$Q$221:$Q$301,0)),0)</f>
        <v>0</v>
      </c>
    </row>
    <row r="185" spans="1:5">
      <c r="A185" s="188">
        <v>80</v>
      </c>
      <c r="B185" s="163" t="str">
        <f>IFERROR(INDEX($A$221:$A$301,MATCH(LARGE($Q$221:$Q$301,80),$Q$221:$Q$301,0)),"")</f>
        <v>Louise From</v>
      </c>
      <c r="C185" s="141" t="str">
        <f>IFERROR(INDEX($B$221:$B$301,MATCH(LARGE($Q$221:$Q$301,80),$Q$221:$Q$301,0)),"")</f>
        <v>Frölunda Torg</v>
      </c>
      <c r="D185" s="62">
        <f>IFERROR(INDEX($P$221:$P$301,MATCH(LARGE($Q$221:$Q$301,80),$Q$221:$Q$301,0)),0)</f>
        <v>0</v>
      </c>
      <c r="E185" s="165">
        <f>IFERROR(INDEX($O$221:$O$301,MATCH(LARGE($Q$221:$Q$301,80),$Q$221:$Q$301,0)),0)</f>
        <v>177</v>
      </c>
    </row>
    <row r="186" spans="1:5" ht="15" thickBot="1">
      <c r="A186" s="189">
        <v>81</v>
      </c>
      <c r="B186" s="190" t="str">
        <f>IFERROR(INDEX($A$221:$A$301,MATCH(LARGE($Q$221:$Q$301,81),$Q$221:$Q$301,0)),"")</f>
        <v>Sanna Bohman</v>
      </c>
      <c r="C186" s="144" t="str">
        <f>IFERROR(INDEX($B$221:$B$301,MATCH(LARGE($Q$221:$Q$301,81),$Q$221:$Q$301,0)),"")</f>
        <v>Lilla Edet</v>
      </c>
      <c r="D186" s="191">
        <f>IFERROR(INDEX($P$221:$P$301,MATCH(LARGE($Q$221:$Q$301,81),$Q$221:$Q$301,0)),0)</f>
        <v>0</v>
      </c>
      <c r="E186" s="192">
        <f>IFERROR(INDEX($O$221:$O$301,MATCH(LARGE($Q$221:$Q$301,81),$Q$221:$Q$301,0)),0)</f>
        <v>178</v>
      </c>
    </row>
    <row r="188" spans="1:5">
      <c r="A188" s="198" t="str">
        <f>"📊 SAMMANFATTNING ("&amp;$C$98&amp;")"</f>
        <v>📊 SAMMANFATTNING (Mar)</v>
      </c>
      <c r="B188" s="198"/>
    </row>
    <row r="189" spans="1:5" ht="18">
      <c r="A189" s="136" t="s">
        <v>238</v>
      </c>
      <c r="B189" s="104">
        <f>COUNTA($A$221:$A$301)</f>
        <v>81</v>
      </c>
    </row>
    <row r="190" spans="1:5" ht="15.6">
      <c r="A190" s="127" t="str">
        <f>"Bäst ("&amp;$C$98&amp;"):"</f>
        <v>Bäst (Mar):</v>
      </c>
      <c r="B190" s="128" t="str">
        <f>B102</f>
        <v>Cecilia Lilja</v>
      </c>
      <c r="C190" s="145">
        <f>D102</f>
        <v>358</v>
      </c>
    </row>
    <row r="191" spans="1:5" ht="15.6">
      <c r="A191" s="130" t="str">
        <f>"Sämst ("&amp;$C$98&amp;"):"</f>
        <v>Sämst (Mar):</v>
      </c>
      <c r="B191" s="131" t="str">
        <f>B186</f>
        <v>Sanna Bohman</v>
      </c>
      <c r="C191" s="146">
        <f>D186</f>
        <v>0</v>
      </c>
    </row>
    <row r="192" spans="1:5" ht="18">
      <c r="A192" s="133" t="str">
        <f>"Genomsnitt ("&amp;$C$98&amp;"):"</f>
        <v>Genomsnitt (Mar):</v>
      </c>
      <c r="B192" s="105">
        <f>AVERAGEIF($P$221:$P$301,"&gt;0")</f>
        <v>186.83098591549296</v>
      </c>
    </row>
    <row r="193" spans="1:2" ht="18">
      <c r="A193" s="147" t="str">
        <f>"Högsta enskilda poäng ("&amp;$C$98&amp;"):"</f>
        <v>Högsta enskilda poäng (Mar):</v>
      </c>
      <c r="B193" s="148">
        <f>MAX($P$221:$P$301)</f>
        <v>358</v>
      </c>
    </row>
    <row r="219" spans="1:17">
      <c r="A219" s="149" t="s">
        <v>236</v>
      </c>
    </row>
    <row r="220" spans="1:17" hidden="1" outlineLevel="1">
      <c r="A220" s="151" t="s">
        <v>187</v>
      </c>
      <c r="B220" s="151" t="s">
        <v>176</v>
      </c>
      <c r="C220" s="150" t="str">
        <f>'Enheterna AO VGR'!B2</f>
        <v>Jan</v>
      </c>
      <c r="D220" s="150" t="str">
        <f>'Enheterna AO VGR'!C2</f>
        <v>Feb</v>
      </c>
      <c r="E220" s="150" t="str">
        <f>'Enheterna AO VGR'!D2</f>
        <v>Mar</v>
      </c>
      <c r="F220" s="150" t="str">
        <f>'Enheterna AO VGR'!E2</f>
        <v>Apr</v>
      </c>
      <c r="G220" s="150" t="str">
        <f>'Enheterna AO VGR'!F2</f>
        <v>Maj</v>
      </c>
      <c r="H220" s="150" t="str">
        <f>'Enheterna AO VGR'!G2</f>
        <v>Jun</v>
      </c>
      <c r="I220" s="150" t="str">
        <f>'Enheterna AO VGR'!H2</f>
        <v>Jul</v>
      </c>
      <c r="J220" s="150" t="str">
        <f>'Enheterna AO VGR'!I2</f>
        <v>Aug</v>
      </c>
      <c r="K220" s="150" t="str">
        <f>'Enheterna AO VGR'!J2</f>
        <v>Sep</v>
      </c>
      <c r="L220" s="150" t="str">
        <f>'Enheterna AO VGR'!K2</f>
        <v>Okt</v>
      </c>
      <c r="M220" s="150" t="str">
        <f>'Enheterna AO VGR'!L2</f>
        <v>Nov</v>
      </c>
      <c r="N220" s="150" t="str">
        <f>'Enheterna AO VGR'!M2</f>
        <v>Dec</v>
      </c>
      <c r="O220" s="150" t="s">
        <v>234</v>
      </c>
      <c r="P220" s="150" t="str">
        <f>$D$97&amp;" (vald)"</f>
        <v xml:space="preserve"> (vald)</v>
      </c>
    </row>
    <row r="221" spans="1:17" hidden="1" outlineLevel="1">
      <c r="A221" s="152" t="s">
        <v>167</v>
      </c>
      <c r="B221" s="152" t="s">
        <v>96</v>
      </c>
      <c r="C221" s="153">
        <f>IFERROR(IF(_xlfn.XLOOKUP($A221,Stavre!$A$4:$A$17,Stavre!B$4:B$17)=0,"",_xlfn.XLOOKUP($A221,Stavre!$A$4:$A$17,Stavre!B$4:B$17)),"")</f>
        <v>229</v>
      </c>
      <c r="D221" s="153">
        <f>IFERROR(IF(_xlfn.XLOOKUP($A221,Stavre!$A$4:$A$17,Stavre!C$4:C$17)=0,"",_xlfn.XLOOKUP($A221,Stavre!$A$4:$A$17,Stavre!C$4:C$17)),"")</f>
        <v>283</v>
      </c>
      <c r="E221" s="153">
        <f>IFERROR(IF(_xlfn.XLOOKUP($A221,Stavre!$A$4:$A$17,Stavre!D$4:D$17)=0,"",_xlfn.XLOOKUP($A221,Stavre!$A$4:$A$17,Stavre!D$4:D$17)),"")</f>
        <v>358</v>
      </c>
      <c r="F221" s="153">
        <f>IFERROR(IF(_xlfn.XLOOKUP($A221,Stavre!$A$4:$A$17,Stavre!E$4:E$17)=0,"",_xlfn.XLOOKUP($A221,Stavre!$A$4:$A$17,Stavre!E$4:E$17)),"")</f>
        <v>213</v>
      </c>
      <c r="G221" s="153" t="str">
        <f>IFERROR(IF(_xlfn.XLOOKUP($A221,Stavre!$A$4:$A$17,Stavre!F$4:F$17)=0,"",_xlfn.XLOOKUP($A221,Stavre!$A$4:$A$17,Stavre!F$4:F$17)),"")</f>
        <v/>
      </c>
      <c r="H221" s="153" t="str">
        <f>IFERROR(IF(_xlfn.XLOOKUP($A221,Stavre!$A$4:$A$17,Stavre!G$4:G$17)=0,"",_xlfn.XLOOKUP($A221,Stavre!$A$4:$A$17,Stavre!G$4:G$17)),"")</f>
        <v/>
      </c>
      <c r="I221" s="153" t="str">
        <f>IFERROR(IF(_xlfn.XLOOKUP($A221,Stavre!$A$4:$A$17,Stavre!H$4:H$17)=0,"",_xlfn.XLOOKUP($A221,Stavre!$A$4:$A$17,Stavre!H$4:H$17)),"")</f>
        <v/>
      </c>
      <c r="J221" s="153" t="str">
        <f>IFERROR(IF(_xlfn.XLOOKUP($A221,Stavre!$A$4:$A$17,Stavre!I$4:I$17)=0,"",_xlfn.XLOOKUP($A221,Stavre!$A$4:$A$17,Stavre!I$4:I$17)),"")</f>
        <v/>
      </c>
      <c r="K221" s="153" t="str">
        <f>IFERROR(IF(_xlfn.XLOOKUP($A221,Stavre!$A$4:$A$17,Stavre!J$4:J$17)=0,"",_xlfn.XLOOKUP($A221,Stavre!$A$4:$A$17,Stavre!J$4:J$17)),"")</f>
        <v/>
      </c>
      <c r="L221" s="153" t="str">
        <f>IFERROR(IF(_xlfn.XLOOKUP($A221,Stavre!$A$4:$A$17,Stavre!K$4:K$17)=0,"",_xlfn.XLOOKUP($A221,Stavre!$A$4:$A$17,Stavre!K$4:K$17)),"")</f>
        <v/>
      </c>
      <c r="M221" s="153" t="str">
        <f>IFERROR(IF(_xlfn.XLOOKUP($A221,Stavre!$A$4:$A$17,Stavre!L$4:L$17)=0,"",_xlfn.XLOOKUP($A221,Stavre!$A$4:$A$17,Stavre!L$4:L$17)),"")</f>
        <v/>
      </c>
      <c r="N221" s="153" t="str">
        <f>IFERROR(IF(_xlfn.XLOOKUP($A221,Stavre!$A$4:$A$17,Stavre!M$4:M$17)=0,"",_xlfn.XLOOKUP($A221,Stavre!$A$4:$A$17,Stavre!M$4:M$17)),"")</f>
        <v/>
      </c>
      <c r="O221" s="154">
        <f>IFERROR(SUM(C221:N221),0)</f>
        <v>1083</v>
      </c>
      <c r="P221" s="154">
        <f>IFERROR(IF($C$98="YTD",N(O221),N(INDEX(C221:N221,MATCH($C$98,$C$220:$N$220,0)))),0)</f>
        <v>358</v>
      </c>
      <c r="Q221">
        <f>IFERROR(N(P221)*100000+(301-ROW()),0)</f>
        <v>35800080</v>
      </c>
    </row>
    <row r="222" spans="1:17" hidden="1" outlineLevel="1">
      <c r="A222" s="152" t="s">
        <v>107</v>
      </c>
      <c r="B222" s="152" t="s">
        <v>181</v>
      </c>
      <c r="C222" s="153">
        <f>IFERROR(IF(_xlfn.XLOOKUP($A222,Noltrop!$A$4:$A$17,Noltrop!B$4:B$17)=0,"",_xlfn.XLOOKUP($A222,Noltrop!$A$4:$A$17,Noltrop!B$4:B$17)),"")</f>
        <v>178</v>
      </c>
      <c r="D222" s="153">
        <f>IFERROR(IF(_xlfn.XLOOKUP($A222,Noltrop!$A$4:$A$17,Noltrop!C$4:C$17)=0,"",_xlfn.XLOOKUP($A222,Noltrop!$A$4:$A$17,Noltrop!C$4:C$17)),"")</f>
        <v>319</v>
      </c>
      <c r="E222" s="153">
        <f>IFERROR(IF(_xlfn.XLOOKUP($A222,Noltrop!$A$4:$A$17,Noltrop!D$4:D$17)=0,"",_xlfn.XLOOKUP($A222,Noltrop!$A$4:$A$17,Noltrop!D$4:D$17)),"")</f>
        <v>355</v>
      </c>
      <c r="F222" s="153">
        <f>IFERROR(IF(_xlfn.XLOOKUP($A222,Noltrop!$A$4:$A$17,Noltrop!E$4:E$17)=0,"",_xlfn.XLOOKUP($A222,Noltrop!$A$4:$A$17,Noltrop!E$4:E$17)),"")</f>
        <v>337</v>
      </c>
      <c r="G222" s="153" t="str">
        <f>IFERROR(IF(_xlfn.XLOOKUP($A222,Noltrop!$A$4:$A$17,Noltrop!F$4:F$17)=0,"",_xlfn.XLOOKUP($A222,Noltrop!$A$4:$A$17,Noltrop!F$4:F$17)),"")</f>
        <v/>
      </c>
      <c r="H222" s="153" t="str">
        <f>IFERROR(IF(_xlfn.XLOOKUP($A222,Noltrop!$A$4:$A$17,Noltrop!G$4:G$17)=0,"",_xlfn.XLOOKUP($A222,Noltrop!$A$4:$A$17,Noltrop!G$4:G$17)),"")</f>
        <v/>
      </c>
      <c r="I222" s="153" t="str">
        <f>IFERROR(IF(_xlfn.XLOOKUP($A222,Noltrop!$A$4:$A$17,Noltrop!H$4:H$17)=0,"",_xlfn.XLOOKUP($A222,Noltrop!$A$4:$A$17,Noltrop!H$4:H$17)),"")</f>
        <v/>
      </c>
      <c r="J222" s="153" t="str">
        <f>IFERROR(IF(_xlfn.XLOOKUP($A222,Noltrop!$A$4:$A$17,Noltrop!I$4:I$17)=0,"",_xlfn.XLOOKUP($A222,Noltrop!$A$4:$A$17,Noltrop!I$4:I$17)),"")</f>
        <v/>
      </c>
      <c r="K222" s="153" t="str">
        <f>IFERROR(IF(_xlfn.XLOOKUP($A222,Noltrop!$A$4:$A$17,Noltrop!J$4:J$17)=0,"",_xlfn.XLOOKUP($A222,Noltrop!$A$4:$A$17,Noltrop!J$4:J$17)),"")</f>
        <v/>
      </c>
      <c r="L222" s="153" t="str">
        <f>IFERROR(IF(_xlfn.XLOOKUP($A222,Noltrop!$A$4:$A$17,Noltrop!K$4:K$17)=0,"",_xlfn.XLOOKUP($A222,Noltrop!$A$4:$A$17,Noltrop!K$4:K$17)),"")</f>
        <v/>
      </c>
      <c r="M222" s="153" t="str">
        <f>IFERROR(IF(_xlfn.XLOOKUP($A222,Noltrop!$A$4:$A$17,Noltrop!L$4:L$17)=0,"",_xlfn.XLOOKUP($A222,Noltrop!$A$4:$A$17,Noltrop!L$4:L$17)),"")</f>
        <v/>
      </c>
      <c r="N222" s="153" t="str">
        <f>IFERROR(IF(_xlfn.XLOOKUP($A222,Noltrop!$A$4:$A$17,Noltrop!M$4:M$17)=0,"",_xlfn.XLOOKUP($A222,Noltrop!$A$4:$A$17,Noltrop!M$4:M$17)),"")</f>
        <v/>
      </c>
      <c r="O222" s="154">
        <f>IFERROR(SUM(C222:N222),0)</f>
        <v>1189</v>
      </c>
      <c r="P222" s="154">
        <f>IFERROR(IF($C$98="YTD",N(O222),N(INDEX(C222:N222,MATCH($C$98,$C$220:$N$220,0)))),0)</f>
        <v>355</v>
      </c>
      <c r="Q222">
        <f>IFERROR(N(P222)*100000+(301-ROW()),0)</f>
        <v>35500079</v>
      </c>
    </row>
    <row r="223" spans="1:17" hidden="1" outlineLevel="1">
      <c r="A223" s="152" t="s">
        <v>131</v>
      </c>
      <c r="B223" s="152" t="s">
        <v>97</v>
      </c>
      <c r="C223" s="153">
        <f>IFERROR(IF(_xlfn.XLOOKUP($A223,Åmål!$A$4:$A$17,Åmål!B$4:B$17)=0,"",_xlfn.XLOOKUP($A223,Åmål!$A$4:$A$17,Åmål!B$4:B$17)),"")</f>
        <v>228</v>
      </c>
      <c r="D223" s="153">
        <f>IFERROR(IF(_xlfn.XLOOKUP($A223,Åmål!$A$4:$A$17,Åmål!C$4:C$17)=0,"",_xlfn.XLOOKUP($A223,Åmål!$A$4:$A$17,Åmål!C$4:C$17)),"")</f>
        <v>249</v>
      </c>
      <c r="E223" s="153">
        <f>IFERROR(IF(_xlfn.XLOOKUP($A223,Åmål!$A$4:$A$17,Åmål!D$4:D$17)=0,"",_xlfn.XLOOKUP($A223,Åmål!$A$4:$A$17,Åmål!D$4:D$17)),"")</f>
        <v>353</v>
      </c>
      <c r="F223" s="153">
        <f>IFERROR(IF(_xlfn.XLOOKUP($A223,Åmål!$A$4:$A$17,Åmål!E$4:E$17)=0,"",_xlfn.XLOOKUP($A223,Åmål!$A$4:$A$17,Åmål!E$4:E$17)),"")</f>
        <v>244</v>
      </c>
      <c r="G223" s="153" t="str">
        <f>IFERROR(IF(_xlfn.XLOOKUP($A223,Åmål!$A$4:$A$17,Åmål!F$4:F$17)=0,"",_xlfn.XLOOKUP($A223,Åmål!$A$4:$A$17,Åmål!F$4:F$17)),"")</f>
        <v/>
      </c>
      <c r="H223" s="153" t="str">
        <f>IFERROR(IF(_xlfn.XLOOKUP($A223,Åmål!$A$4:$A$17,Åmål!G$4:G$17)=0,"",_xlfn.XLOOKUP($A223,Åmål!$A$4:$A$17,Åmål!G$4:G$17)),"")</f>
        <v/>
      </c>
      <c r="I223" s="153" t="str">
        <f>IFERROR(IF(_xlfn.XLOOKUP($A223,Åmål!$A$4:$A$17,Åmål!H$4:H$17)=0,"",_xlfn.XLOOKUP($A223,Åmål!$A$4:$A$17,Åmål!H$4:H$17)),"")</f>
        <v/>
      </c>
      <c r="J223" s="153" t="str">
        <f>IFERROR(IF(_xlfn.XLOOKUP($A223,Åmål!$A$4:$A$17,Åmål!I$4:I$17)=0,"",_xlfn.XLOOKUP($A223,Åmål!$A$4:$A$17,Åmål!I$4:I$17)),"")</f>
        <v/>
      </c>
      <c r="K223" s="153" t="str">
        <f>IFERROR(IF(_xlfn.XLOOKUP($A223,Åmål!$A$4:$A$17,Åmål!J$4:J$17)=0,"",_xlfn.XLOOKUP($A223,Åmål!$A$4:$A$17,Åmål!J$4:J$17)),"")</f>
        <v/>
      </c>
      <c r="L223" s="153" t="str">
        <f>IFERROR(IF(_xlfn.XLOOKUP($A223,Åmål!$A$4:$A$17,Åmål!K$4:K$17)=0,"",_xlfn.XLOOKUP($A223,Åmål!$A$4:$A$17,Åmål!K$4:K$17)),"")</f>
        <v/>
      </c>
      <c r="M223" s="153" t="str">
        <f>IFERROR(IF(_xlfn.XLOOKUP($A223,Åmål!$A$4:$A$17,Åmål!L$4:L$17)=0,"",_xlfn.XLOOKUP($A223,Åmål!$A$4:$A$17,Åmål!L$4:L$17)),"")</f>
        <v/>
      </c>
      <c r="N223" s="153" t="str">
        <f>IFERROR(IF(_xlfn.XLOOKUP($A223,Åmål!$A$4:$A$17,Åmål!M$4:M$17)=0,"",_xlfn.XLOOKUP($A223,Åmål!$A$4:$A$17,Åmål!M$4:M$17)),"")</f>
        <v/>
      </c>
      <c r="O223" s="154">
        <f>IFERROR(SUM(C223:N223),0)</f>
        <v>1074</v>
      </c>
      <c r="P223" s="154">
        <f>IFERROR(IF($C$98="YTD",N(O223),N(INDEX(C223:N223,MATCH($C$98,$C$220:$N$220,0)))),0)</f>
        <v>353</v>
      </c>
      <c r="Q223">
        <f>IFERROR(N(P223)*100000+(301-ROW()),0)</f>
        <v>35300078</v>
      </c>
    </row>
    <row r="224" spans="1:17" hidden="1" outlineLevel="1">
      <c r="A224" s="152" t="s">
        <v>152</v>
      </c>
      <c r="B224" s="152" t="s">
        <v>141</v>
      </c>
      <c r="C224" s="153">
        <f>IFERROR(IF(_xlfn.XLOOKUP($A224,'Tanum och Fjällbacka'!$A$4:$A$17,'Tanum och Fjällbacka'!B$4:B$17)=0,"",_xlfn.XLOOKUP($A224,'Tanum och Fjällbacka'!$A$4:$A$17,'Tanum och Fjällbacka'!B$4:B$17)),"")</f>
        <v>232</v>
      </c>
      <c r="D224" s="153">
        <f>IFERROR(IF(_xlfn.XLOOKUP($A224,'Tanum och Fjällbacka'!$A$4:$A$17,'Tanum och Fjällbacka'!C$4:C$17)=0,"",_xlfn.XLOOKUP($A224,'Tanum och Fjällbacka'!$A$4:$A$17,'Tanum och Fjällbacka'!C$4:C$17)),"")</f>
        <v>264</v>
      </c>
      <c r="E224" s="153">
        <f>IFERROR(IF(_xlfn.XLOOKUP($A224,'Tanum och Fjällbacka'!$A$4:$A$17,'Tanum och Fjällbacka'!D$4:D$17)=0,"",_xlfn.XLOOKUP($A224,'Tanum och Fjällbacka'!$A$4:$A$17,'Tanum och Fjällbacka'!D$4:D$17)),"")</f>
        <v>300</v>
      </c>
      <c r="F224" s="153">
        <f>IFERROR(IF(_xlfn.XLOOKUP($A224,'Tanum och Fjällbacka'!$A$4:$A$17,'Tanum och Fjällbacka'!E$4:E$17)=0,"",_xlfn.XLOOKUP($A224,'Tanum och Fjällbacka'!$A$4:$A$17,'Tanum och Fjällbacka'!E$4:E$17)),"")</f>
        <v>250</v>
      </c>
      <c r="G224" s="153" t="str">
        <f>IFERROR(IF(_xlfn.XLOOKUP($A224,'Tanum och Fjällbacka'!$A$4:$A$17,'Tanum och Fjällbacka'!F$4:F$17)=0,"",_xlfn.XLOOKUP($A224,'Tanum och Fjällbacka'!$A$4:$A$17,'Tanum och Fjällbacka'!F$4:F$17)),"")</f>
        <v/>
      </c>
      <c r="H224" s="153" t="str">
        <f>IFERROR(IF(_xlfn.XLOOKUP($A224,'Tanum och Fjällbacka'!$A$4:$A$17,'Tanum och Fjällbacka'!G$4:G$17)=0,"",_xlfn.XLOOKUP($A224,'Tanum och Fjällbacka'!$A$4:$A$17,'Tanum och Fjällbacka'!G$4:G$17)),"")</f>
        <v/>
      </c>
      <c r="I224" s="153" t="str">
        <f>IFERROR(IF(_xlfn.XLOOKUP($A224,'Tanum och Fjällbacka'!$A$4:$A$17,'Tanum och Fjällbacka'!H$4:H$17)=0,"",_xlfn.XLOOKUP($A224,'Tanum och Fjällbacka'!$A$4:$A$17,'Tanum och Fjällbacka'!H$4:H$17)),"")</f>
        <v/>
      </c>
      <c r="J224" s="153" t="str">
        <f>IFERROR(IF(_xlfn.XLOOKUP($A224,'Tanum och Fjällbacka'!$A$4:$A$17,'Tanum och Fjällbacka'!I$4:I$17)=0,"",_xlfn.XLOOKUP($A224,'Tanum och Fjällbacka'!$A$4:$A$17,'Tanum och Fjällbacka'!I$4:I$17)),"")</f>
        <v/>
      </c>
      <c r="K224" s="153" t="str">
        <f>IFERROR(IF(_xlfn.XLOOKUP($A224,'Tanum och Fjällbacka'!$A$4:$A$17,'Tanum och Fjällbacka'!J$4:J$17)=0,"",_xlfn.XLOOKUP($A224,'Tanum och Fjällbacka'!$A$4:$A$17,'Tanum och Fjällbacka'!J$4:J$17)),"")</f>
        <v/>
      </c>
      <c r="L224" s="153" t="str">
        <f>IFERROR(IF(_xlfn.XLOOKUP($A224,'Tanum och Fjällbacka'!$A$4:$A$17,'Tanum och Fjällbacka'!K$4:K$17)=0,"",_xlfn.XLOOKUP($A224,'Tanum och Fjällbacka'!$A$4:$A$17,'Tanum och Fjällbacka'!K$4:K$17)),"")</f>
        <v/>
      </c>
      <c r="M224" s="153" t="str">
        <f>IFERROR(IF(_xlfn.XLOOKUP($A224,'Tanum och Fjällbacka'!$A$4:$A$17,'Tanum och Fjällbacka'!L$4:L$17)=0,"",_xlfn.XLOOKUP($A224,'Tanum och Fjällbacka'!$A$4:$A$17,'Tanum och Fjällbacka'!L$4:L$17)),"")</f>
        <v/>
      </c>
      <c r="N224" s="153" t="str">
        <f>IFERROR(IF(_xlfn.XLOOKUP($A224,'Tanum och Fjällbacka'!$A$4:$A$17,'Tanum och Fjällbacka'!M$4:M$17)=0,"",_xlfn.XLOOKUP($A224,'Tanum och Fjällbacka'!$A$4:$A$17,'Tanum och Fjällbacka'!M$4:M$17)),"")</f>
        <v/>
      </c>
      <c r="O224" s="154">
        <f>IFERROR(SUM(C224:N224),0)</f>
        <v>1046</v>
      </c>
      <c r="P224" s="154">
        <f>IFERROR(IF($C$98="YTD",N(O224),N(INDEX(C224:N224,MATCH($C$98,$C$220:$N$220,0)))),0)</f>
        <v>300</v>
      </c>
      <c r="Q224">
        <f>IFERROR(N(P224)*100000+(301-ROW()),0)</f>
        <v>30000077</v>
      </c>
    </row>
    <row r="225" spans="1:17" hidden="1" outlineLevel="1">
      <c r="A225" s="152" t="s">
        <v>157</v>
      </c>
      <c r="B225" s="152" t="s">
        <v>142</v>
      </c>
      <c r="C225" s="153">
        <f>IFERROR(IF(_xlfn.XLOOKUP($A225,'Brålanda-Torpa'!$A$4:$A$17,'Brålanda-Torpa'!B$4:B$17)=0,"",_xlfn.XLOOKUP($A225,'Brålanda-Torpa'!$A$4:$A$17,'Brålanda-Torpa'!B$4:B$17)),"")</f>
        <v>250</v>
      </c>
      <c r="D225" s="153">
        <f>IFERROR(IF(_xlfn.XLOOKUP($A225,'Brålanda-Torpa'!$A$4:$A$17,'Brålanda-Torpa'!C$4:C$17)=0,"",_xlfn.XLOOKUP($A225,'Brålanda-Torpa'!$A$4:$A$17,'Brålanda-Torpa'!C$4:C$17)),"")</f>
        <v>294</v>
      </c>
      <c r="E225" s="153">
        <f>IFERROR(IF(_xlfn.XLOOKUP($A225,'Brålanda-Torpa'!$A$4:$A$17,'Brålanda-Torpa'!D$4:D$17)=0,"",_xlfn.XLOOKUP($A225,'Brålanda-Torpa'!$A$4:$A$17,'Brålanda-Torpa'!D$4:D$17)),"")</f>
        <v>197</v>
      </c>
      <c r="F225" s="153">
        <f>IFERROR(IF(_xlfn.XLOOKUP($A225,'Brålanda-Torpa'!$A$4:$A$17,'Brålanda-Torpa'!E$4:E$17)=0,"",_xlfn.XLOOKUP($A225,'Brålanda-Torpa'!$A$4:$A$17,'Brålanda-Torpa'!E$4:E$17)),"")</f>
        <v>312</v>
      </c>
      <c r="G225" s="153" t="str">
        <f>IFERROR(IF(_xlfn.XLOOKUP($A225,'Brålanda-Torpa'!$A$4:$A$17,'Brålanda-Torpa'!F$4:F$17)=0,"",_xlfn.XLOOKUP($A225,'Brålanda-Torpa'!$A$4:$A$17,'Brålanda-Torpa'!F$4:F$17)),"")</f>
        <v/>
      </c>
      <c r="H225" s="153" t="str">
        <f>IFERROR(IF(_xlfn.XLOOKUP($A225,'Brålanda-Torpa'!$A$4:$A$17,'Brålanda-Torpa'!G$4:G$17)=0,"",_xlfn.XLOOKUP($A225,'Brålanda-Torpa'!$A$4:$A$17,'Brålanda-Torpa'!G$4:G$17)),"")</f>
        <v/>
      </c>
      <c r="I225" s="153" t="str">
        <f>IFERROR(IF(_xlfn.XLOOKUP($A225,'Brålanda-Torpa'!$A$4:$A$17,'Brålanda-Torpa'!H$4:H$17)=0,"",_xlfn.XLOOKUP($A225,'Brålanda-Torpa'!$A$4:$A$17,'Brålanda-Torpa'!H$4:H$17)),"")</f>
        <v/>
      </c>
      <c r="J225" s="153" t="str">
        <f>IFERROR(IF(_xlfn.XLOOKUP($A225,'Brålanda-Torpa'!$A$4:$A$17,'Brålanda-Torpa'!I$4:I$17)=0,"",_xlfn.XLOOKUP($A225,'Brålanda-Torpa'!$A$4:$A$17,'Brålanda-Torpa'!I$4:I$17)),"")</f>
        <v/>
      </c>
      <c r="K225" s="153" t="str">
        <f>IFERROR(IF(_xlfn.XLOOKUP($A225,'Brålanda-Torpa'!$A$4:$A$17,'Brålanda-Torpa'!J$4:J$17)=0,"",_xlfn.XLOOKUP($A225,'Brålanda-Torpa'!$A$4:$A$17,'Brålanda-Torpa'!J$4:J$17)),"")</f>
        <v/>
      </c>
      <c r="L225" s="153" t="str">
        <f>IFERROR(IF(_xlfn.XLOOKUP($A225,'Brålanda-Torpa'!$A$4:$A$17,'Brålanda-Torpa'!K$4:K$17)=0,"",_xlfn.XLOOKUP($A225,'Brålanda-Torpa'!$A$4:$A$17,'Brålanda-Torpa'!K$4:K$17)),"")</f>
        <v/>
      </c>
      <c r="M225" s="153" t="str">
        <f>IFERROR(IF(_xlfn.XLOOKUP($A225,'Brålanda-Torpa'!$A$4:$A$17,'Brålanda-Torpa'!L$4:L$17)=0,"",_xlfn.XLOOKUP($A225,'Brålanda-Torpa'!$A$4:$A$17,'Brålanda-Torpa'!L$4:L$17)),"")</f>
        <v/>
      </c>
      <c r="N225" s="153" t="str">
        <f>IFERROR(IF(_xlfn.XLOOKUP($A225,'Brålanda-Torpa'!$A$4:$A$17,'Brålanda-Torpa'!M$4:M$17)=0,"",_xlfn.XLOOKUP($A225,'Brålanda-Torpa'!$A$4:$A$17,'Brålanda-Torpa'!M$4:M$17)),"")</f>
        <v/>
      </c>
      <c r="O225" s="154">
        <f>IFERROR(SUM(C225:N225),0)</f>
        <v>1053</v>
      </c>
      <c r="P225" s="154">
        <f>IFERROR(IF($C$98="YTD",N(O225),N(INDEX(C225:N225,MATCH($C$98,$C$220:$N$220,0)))),0)</f>
        <v>197</v>
      </c>
      <c r="Q225">
        <f>IFERROR(N(P225)*100000+(301-ROW()),0)</f>
        <v>19700076</v>
      </c>
    </row>
    <row r="226" spans="1:17" hidden="1" outlineLevel="1">
      <c r="A226" s="152" t="s">
        <v>169</v>
      </c>
      <c r="B226" s="152" t="s">
        <v>96</v>
      </c>
      <c r="C226" s="153">
        <f>IFERROR(IF(_xlfn.XLOOKUP($A226,Stavre!$A$4:$A$17,Stavre!B$4:B$17)=0,"",_xlfn.XLOOKUP($A226,Stavre!$A$4:$A$17,Stavre!B$4:B$17)),"")</f>
        <v>274</v>
      </c>
      <c r="D226" s="153">
        <f>IFERROR(IF(_xlfn.XLOOKUP($A226,Stavre!$A$4:$A$17,Stavre!C$4:C$17)=0,"",_xlfn.XLOOKUP($A226,Stavre!$A$4:$A$17,Stavre!C$4:C$17)),"")</f>
        <v>193</v>
      </c>
      <c r="E226" s="153">
        <f>IFERROR(IF(_xlfn.XLOOKUP($A226,Stavre!$A$4:$A$17,Stavre!D$4:D$17)=0,"",_xlfn.XLOOKUP($A226,Stavre!$A$4:$A$17,Stavre!D$4:D$17)),"")</f>
        <v>274</v>
      </c>
      <c r="F226" s="153">
        <f>IFERROR(IF(_xlfn.XLOOKUP($A226,Stavre!$A$4:$A$17,Stavre!E$4:E$17)=0,"",_xlfn.XLOOKUP($A226,Stavre!$A$4:$A$17,Stavre!E$4:E$17)),"")</f>
        <v>290</v>
      </c>
      <c r="G226" s="153" t="str">
        <f>IFERROR(IF(_xlfn.XLOOKUP($A226,Stavre!$A$4:$A$17,Stavre!F$4:F$17)=0,"",_xlfn.XLOOKUP($A226,Stavre!$A$4:$A$17,Stavre!F$4:F$17)),"")</f>
        <v/>
      </c>
      <c r="H226" s="153" t="str">
        <f>IFERROR(IF(_xlfn.XLOOKUP($A226,Stavre!$A$4:$A$17,Stavre!G$4:G$17)=0,"",_xlfn.XLOOKUP($A226,Stavre!$A$4:$A$17,Stavre!G$4:G$17)),"")</f>
        <v/>
      </c>
      <c r="I226" s="153" t="str">
        <f>IFERROR(IF(_xlfn.XLOOKUP($A226,Stavre!$A$4:$A$17,Stavre!H$4:H$17)=0,"",_xlfn.XLOOKUP($A226,Stavre!$A$4:$A$17,Stavre!H$4:H$17)),"")</f>
        <v/>
      </c>
      <c r="J226" s="153" t="str">
        <f>IFERROR(IF(_xlfn.XLOOKUP($A226,Stavre!$A$4:$A$17,Stavre!I$4:I$17)=0,"",_xlfn.XLOOKUP($A226,Stavre!$A$4:$A$17,Stavre!I$4:I$17)),"")</f>
        <v/>
      </c>
      <c r="K226" s="153" t="str">
        <f>IFERROR(IF(_xlfn.XLOOKUP($A226,Stavre!$A$4:$A$17,Stavre!J$4:J$17)=0,"",_xlfn.XLOOKUP($A226,Stavre!$A$4:$A$17,Stavre!J$4:J$17)),"")</f>
        <v/>
      </c>
      <c r="L226" s="153" t="str">
        <f>IFERROR(IF(_xlfn.XLOOKUP($A226,Stavre!$A$4:$A$17,Stavre!K$4:K$17)=0,"",_xlfn.XLOOKUP($A226,Stavre!$A$4:$A$17,Stavre!K$4:K$17)),"")</f>
        <v/>
      </c>
      <c r="M226" s="153" t="str">
        <f>IFERROR(IF(_xlfn.XLOOKUP($A226,Stavre!$A$4:$A$17,Stavre!L$4:L$17)=0,"",_xlfn.XLOOKUP($A226,Stavre!$A$4:$A$17,Stavre!L$4:L$17)),"")</f>
        <v/>
      </c>
      <c r="N226" s="153" t="str">
        <f>IFERROR(IF(_xlfn.XLOOKUP($A226,Stavre!$A$4:$A$17,Stavre!M$4:M$17)=0,"",_xlfn.XLOOKUP($A226,Stavre!$A$4:$A$17,Stavre!M$4:M$17)),"")</f>
        <v/>
      </c>
      <c r="O226" s="154">
        <f>IFERROR(SUM(C226:N226),0)</f>
        <v>1031</v>
      </c>
      <c r="P226" s="154">
        <f>IFERROR(IF($C$98="YTD",N(O226),N(INDEX(C226:N226,MATCH($C$98,$C$220:$N$220,0)))),0)</f>
        <v>274</v>
      </c>
      <c r="Q226">
        <f>IFERROR(N(P226)*100000+(301-ROW()),0)</f>
        <v>27400075</v>
      </c>
    </row>
    <row r="227" spans="1:17" hidden="1" outlineLevel="1">
      <c r="A227" s="152" t="s">
        <v>168</v>
      </c>
      <c r="B227" s="152" t="s">
        <v>96</v>
      </c>
      <c r="C227" s="153">
        <f>IFERROR(IF(_xlfn.XLOOKUP($A227,Stavre!$A$4:$A$17,Stavre!B$4:B$17)=0,"",_xlfn.XLOOKUP($A227,Stavre!$A$4:$A$17,Stavre!B$4:B$17)),"")</f>
        <v>251</v>
      </c>
      <c r="D227" s="153">
        <f>IFERROR(IF(_xlfn.XLOOKUP($A227,Stavre!$A$4:$A$17,Stavre!C$4:C$17)=0,"",_xlfn.XLOOKUP($A227,Stavre!$A$4:$A$17,Stavre!C$4:C$17)),"")</f>
        <v>220</v>
      </c>
      <c r="E227" s="153">
        <f>IFERROR(IF(_xlfn.XLOOKUP($A227,Stavre!$A$4:$A$17,Stavre!D$4:D$17)=0,"",_xlfn.XLOOKUP($A227,Stavre!$A$4:$A$17,Stavre!D$4:D$17)),"")</f>
        <v>264</v>
      </c>
      <c r="F227" s="153">
        <f>IFERROR(IF(_xlfn.XLOOKUP($A227,Stavre!$A$4:$A$17,Stavre!E$4:E$17)=0,"",_xlfn.XLOOKUP($A227,Stavre!$A$4:$A$17,Stavre!E$4:E$17)),"")</f>
        <v>241</v>
      </c>
      <c r="G227" s="153" t="str">
        <f>IFERROR(IF(_xlfn.XLOOKUP($A227,Stavre!$A$4:$A$17,Stavre!F$4:F$17)=0,"",_xlfn.XLOOKUP($A227,Stavre!$A$4:$A$17,Stavre!F$4:F$17)),"")</f>
        <v/>
      </c>
      <c r="H227" s="153" t="str">
        <f>IFERROR(IF(_xlfn.XLOOKUP($A227,Stavre!$A$4:$A$17,Stavre!G$4:G$17)=0,"",_xlfn.XLOOKUP($A227,Stavre!$A$4:$A$17,Stavre!G$4:G$17)),"")</f>
        <v/>
      </c>
      <c r="I227" s="153" t="str">
        <f>IFERROR(IF(_xlfn.XLOOKUP($A227,Stavre!$A$4:$A$17,Stavre!H$4:H$17)=0,"",_xlfn.XLOOKUP($A227,Stavre!$A$4:$A$17,Stavre!H$4:H$17)),"")</f>
        <v/>
      </c>
      <c r="J227" s="153" t="str">
        <f>IFERROR(IF(_xlfn.XLOOKUP($A227,Stavre!$A$4:$A$17,Stavre!I$4:I$17)=0,"",_xlfn.XLOOKUP($A227,Stavre!$A$4:$A$17,Stavre!I$4:I$17)),"")</f>
        <v/>
      </c>
      <c r="K227" s="153" t="str">
        <f>IFERROR(IF(_xlfn.XLOOKUP($A227,Stavre!$A$4:$A$17,Stavre!J$4:J$17)=0,"",_xlfn.XLOOKUP($A227,Stavre!$A$4:$A$17,Stavre!J$4:J$17)),"")</f>
        <v/>
      </c>
      <c r="L227" s="153" t="str">
        <f>IFERROR(IF(_xlfn.XLOOKUP($A227,Stavre!$A$4:$A$17,Stavre!K$4:K$17)=0,"",_xlfn.XLOOKUP($A227,Stavre!$A$4:$A$17,Stavre!K$4:K$17)),"")</f>
        <v/>
      </c>
      <c r="M227" s="153" t="str">
        <f>IFERROR(IF(_xlfn.XLOOKUP($A227,Stavre!$A$4:$A$17,Stavre!L$4:L$17)=0,"",_xlfn.XLOOKUP($A227,Stavre!$A$4:$A$17,Stavre!L$4:L$17)),"")</f>
        <v/>
      </c>
      <c r="N227" s="153" t="str">
        <f>IFERROR(IF(_xlfn.XLOOKUP($A227,Stavre!$A$4:$A$17,Stavre!M$4:M$17)=0,"",_xlfn.XLOOKUP($A227,Stavre!$A$4:$A$17,Stavre!M$4:M$17)),"")</f>
        <v/>
      </c>
      <c r="O227" s="154">
        <f>IFERROR(SUM(C227:N227),0)</f>
        <v>976</v>
      </c>
      <c r="P227" s="154">
        <f>IFERROR(IF($C$98="YTD",N(O227),N(INDEX(C227:N227,MATCH($C$98,$C$220:$N$220,0)))),0)</f>
        <v>264</v>
      </c>
      <c r="Q227">
        <f>IFERROR(N(P227)*100000+(301-ROW()),0)</f>
        <v>26400074</v>
      </c>
    </row>
    <row r="228" spans="1:17" hidden="1" outlineLevel="1">
      <c r="A228" s="152" t="s">
        <v>57</v>
      </c>
      <c r="B228" s="152" t="s">
        <v>30</v>
      </c>
      <c r="C228" s="153">
        <f>IFERROR(IF(_xlfn.XLOOKUP($A228,Åby!$A$4:$A$17,Åby!B$4:B$17)=0,"",_xlfn.XLOOKUP($A228,Åby!$A$4:$A$17,Åby!B$4:B$17)),"")</f>
        <v>190</v>
      </c>
      <c r="D228" s="153">
        <f>IFERROR(IF(_xlfn.XLOOKUP($A228,Åby!$A$4:$A$17,Åby!C$4:C$17)=0,"",_xlfn.XLOOKUP($A228,Åby!$A$4:$A$17,Åby!C$4:C$17)),"")</f>
        <v>251</v>
      </c>
      <c r="E228" s="153">
        <f>IFERROR(IF(_xlfn.XLOOKUP($A228,Åby!$A$4:$A$17,Åby!D$4:D$17)=0,"",_xlfn.XLOOKUP($A228,Åby!$A$4:$A$17,Åby!D$4:D$17)),"")</f>
        <v>278</v>
      </c>
      <c r="F228" s="153">
        <f>IFERROR(IF(_xlfn.XLOOKUP($A228,Åby!$A$4:$A$17,Åby!E$4:E$17)=0,"",_xlfn.XLOOKUP($A228,Åby!$A$4:$A$17,Åby!E$4:E$17)),"")</f>
        <v>169</v>
      </c>
      <c r="G228" s="153" t="str">
        <f>IFERROR(IF(_xlfn.XLOOKUP($A228,Åby!$A$4:$A$17,Åby!F$4:F$17)=0,"",_xlfn.XLOOKUP($A228,Åby!$A$4:$A$17,Åby!F$4:F$17)),"")</f>
        <v/>
      </c>
      <c r="H228" s="153" t="str">
        <f>IFERROR(IF(_xlfn.XLOOKUP($A228,Åby!$A$4:$A$17,Åby!G$4:G$17)=0,"",_xlfn.XLOOKUP($A228,Åby!$A$4:$A$17,Åby!G$4:G$17)),"")</f>
        <v/>
      </c>
      <c r="I228" s="153" t="str">
        <f>IFERROR(IF(_xlfn.XLOOKUP($A228,Åby!$A$4:$A$17,Åby!H$4:H$17)=0,"",_xlfn.XLOOKUP($A228,Åby!$A$4:$A$17,Åby!H$4:H$17)),"")</f>
        <v/>
      </c>
      <c r="J228" s="153" t="str">
        <f>IFERROR(IF(_xlfn.XLOOKUP($A228,Åby!$A$4:$A$17,Åby!I$4:I$17)=0,"",_xlfn.XLOOKUP($A228,Åby!$A$4:$A$17,Åby!I$4:I$17)),"")</f>
        <v/>
      </c>
      <c r="K228" s="153" t="str">
        <f>IFERROR(IF(_xlfn.XLOOKUP($A228,Åby!$A$4:$A$17,Åby!J$4:J$17)=0,"",_xlfn.XLOOKUP($A228,Åby!$A$4:$A$17,Åby!J$4:J$17)),"")</f>
        <v/>
      </c>
      <c r="L228" s="153" t="str">
        <f>IFERROR(IF(_xlfn.XLOOKUP($A228,Åby!$A$4:$A$17,Åby!K$4:K$17)=0,"",_xlfn.XLOOKUP($A228,Åby!$A$4:$A$17,Åby!K$4:K$17)),"")</f>
        <v/>
      </c>
      <c r="M228" s="153" t="str">
        <f>IFERROR(IF(_xlfn.XLOOKUP($A228,Åby!$A$4:$A$17,Åby!L$4:L$17)=0,"",_xlfn.XLOOKUP($A228,Åby!$A$4:$A$17,Åby!L$4:L$17)),"")</f>
        <v/>
      </c>
      <c r="N228" s="153" t="str">
        <f>IFERROR(IF(_xlfn.XLOOKUP($A228,Åby!$A$4:$A$17,Åby!M$4:M$17)=0,"",_xlfn.XLOOKUP($A228,Åby!$A$4:$A$17,Åby!M$4:M$17)),"")</f>
        <v/>
      </c>
      <c r="O228" s="154">
        <f>IFERROR(SUM(C228:N228),0)</f>
        <v>888</v>
      </c>
      <c r="P228" s="154">
        <f>IFERROR(IF($C$98="YTD",N(O228),N(INDEX(C228:N228,MATCH($C$98,$C$220:$N$220,0)))),0)</f>
        <v>278</v>
      </c>
      <c r="Q228">
        <f>IFERROR(N(P228)*100000+(301-ROW()),0)</f>
        <v>27800073</v>
      </c>
    </row>
    <row r="229" spans="1:17" hidden="1" outlineLevel="1">
      <c r="A229" s="152" t="s">
        <v>114</v>
      </c>
      <c r="B229" s="152" t="s">
        <v>181</v>
      </c>
      <c r="C229" s="153">
        <f>IFERROR(IF(_xlfn.XLOOKUP($A229,Noltrop!$A$4:$A$17,Noltrop!B$4:B$17)=0,"",_xlfn.XLOOKUP($A229,Noltrop!$A$4:$A$17,Noltrop!B$4:B$17)),"")</f>
        <v>231</v>
      </c>
      <c r="D229" s="153">
        <f>IFERROR(IF(_xlfn.XLOOKUP($A229,Noltrop!$A$4:$A$17,Noltrop!C$4:C$17)=0,"",_xlfn.XLOOKUP($A229,Noltrop!$A$4:$A$17,Noltrop!C$4:C$17)),"")</f>
        <v>230</v>
      </c>
      <c r="E229" s="153">
        <f>IFERROR(IF(_xlfn.XLOOKUP($A229,Noltrop!$A$4:$A$17,Noltrop!D$4:D$17)=0,"",_xlfn.XLOOKUP($A229,Noltrop!$A$4:$A$17,Noltrop!D$4:D$17)),"")</f>
        <v>218</v>
      </c>
      <c r="F229" s="153">
        <f>IFERROR(IF(_xlfn.XLOOKUP($A229,Noltrop!$A$4:$A$17,Noltrop!E$4:E$17)=0,"",_xlfn.XLOOKUP($A229,Noltrop!$A$4:$A$17,Noltrop!E$4:E$17)),"")</f>
        <v>191</v>
      </c>
      <c r="G229" s="153" t="str">
        <f>IFERROR(IF(_xlfn.XLOOKUP($A229,Noltrop!$A$4:$A$17,Noltrop!F$4:F$17)=0,"",_xlfn.XLOOKUP($A229,Noltrop!$A$4:$A$17,Noltrop!F$4:F$17)),"")</f>
        <v/>
      </c>
      <c r="H229" s="153" t="str">
        <f>IFERROR(IF(_xlfn.XLOOKUP($A229,Noltrop!$A$4:$A$17,Noltrop!G$4:G$17)=0,"",_xlfn.XLOOKUP($A229,Noltrop!$A$4:$A$17,Noltrop!G$4:G$17)),"")</f>
        <v/>
      </c>
      <c r="I229" s="153" t="str">
        <f>IFERROR(IF(_xlfn.XLOOKUP($A229,Noltrop!$A$4:$A$17,Noltrop!H$4:H$17)=0,"",_xlfn.XLOOKUP($A229,Noltrop!$A$4:$A$17,Noltrop!H$4:H$17)),"")</f>
        <v/>
      </c>
      <c r="J229" s="153" t="str">
        <f>IFERROR(IF(_xlfn.XLOOKUP($A229,Noltrop!$A$4:$A$17,Noltrop!I$4:I$17)=0,"",_xlfn.XLOOKUP($A229,Noltrop!$A$4:$A$17,Noltrop!I$4:I$17)),"")</f>
        <v/>
      </c>
      <c r="K229" s="153" t="str">
        <f>IFERROR(IF(_xlfn.XLOOKUP($A229,Noltrop!$A$4:$A$17,Noltrop!J$4:J$17)=0,"",_xlfn.XLOOKUP($A229,Noltrop!$A$4:$A$17,Noltrop!J$4:J$17)),"")</f>
        <v/>
      </c>
      <c r="L229" s="153" t="str">
        <f>IFERROR(IF(_xlfn.XLOOKUP($A229,Noltrop!$A$4:$A$17,Noltrop!K$4:K$17)=0,"",_xlfn.XLOOKUP($A229,Noltrop!$A$4:$A$17,Noltrop!K$4:K$17)),"")</f>
        <v/>
      </c>
      <c r="M229" s="153" t="str">
        <f>IFERROR(IF(_xlfn.XLOOKUP($A229,Noltrop!$A$4:$A$17,Noltrop!L$4:L$17)=0,"",_xlfn.XLOOKUP($A229,Noltrop!$A$4:$A$17,Noltrop!L$4:L$17)),"")</f>
        <v/>
      </c>
      <c r="N229" s="153" t="str">
        <f>IFERROR(IF(_xlfn.XLOOKUP($A229,Noltrop!$A$4:$A$17,Noltrop!M$4:M$17)=0,"",_xlfn.XLOOKUP($A229,Noltrop!$A$4:$A$17,Noltrop!M$4:M$17)),"")</f>
        <v/>
      </c>
      <c r="O229" s="154">
        <f>IFERROR(SUM(C229:N229),0)</f>
        <v>870</v>
      </c>
      <c r="P229" s="154">
        <f>IFERROR(IF($C$98="YTD",N(O229),N(INDEX(C229:N229,MATCH($C$98,$C$220:$N$220,0)))),0)</f>
        <v>218</v>
      </c>
      <c r="Q229">
        <f>IFERROR(N(P229)*100000+(301-ROW()),0)</f>
        <v>21800072</v>
      </c>
    </row>
    <row r="230" spans="1:17" hidden="1" outlineLevel="1">
      <c r="A230" s="152" t="s">
        <v>52</v>
      </c>
      <c r="B230" s="152" t="s">
        <v>28</v>
      </c>
      <c r="C230" s="153">
        <f>IFERROR(IF(_xlfn.XLOOKUP($A230,Majorna!$A$4:$A$17,Majorna!B$4:B$17)=0,"",_xlfn.XLOOKUP($A230,Majorna!$A$4:$A$17,Majorna!B$4:B$17)),"")</f>
        <v>211</v>
      </c>
      <c r="D230" s="153">
        <f>IFERROR(IF(_xlfn.XLOOKUP($A230,Majorna!$A$4:$A$17,Majorna!C$4:C$17)=0,"",_xlfn.XLOOKUP($A230,Majorna!$A$4:$A$17,Majorna!C$4:C$17)),"")</f>
        <v>232</v>
      </c>
      <c r="E230" s="153">
        <f>IFERROR(IF(_xlfn.XLOOKUP($A230,Majorna!$A$4:$A$17,Majorna!D$4:D$17)=0,"",_xlfn.XLOOKUP($A230,Majorna!$A$4:$A$17,Majorna!D$4:D$17)),"")</f>
        <v>202</v>
      </c>
      <c r="F230" s="153">
        <f>IFERROR(IF(_xlfn.XLOOKUP($A230,Majorna!$A$4:$A$17,Majorna!E$4:E$17)=0,"",_xlfn.XLOOKUP($A230,Majorna!$A$4:$A$17,Majorna!E$4:E$17)),"")</f>
        <v>224</v>
      </c>
      <c r="G230" s="153" t="str">
        <f>IFERROR(IF(_xlfn.XLOOKUP($A230,Majorna!$A$4:$A$17,Majorna!F$4:F$17)=0,"",_xlfn.XLOOKUP($A230,Majorna!$A$4:$A$17,Majorna!F$4:F$17)),"")</f>
        <v/>
      </c>
      <c r="H230" s="153" t="str">
        <f>IFERROR(IF(_xlfn.XLOOKUP($A230,Majorna!$A$4:$A$17,Majorna!G$4:G$17)=0,"",_xlfn.XLOOKUP($A230,Majorna!$A$4:$A$17,Majorna!G$4:G$17)),"")</f>
        <v/>
      </c>
      <c r="I230" s="153" t="str">
        <f>IFERROR(IF(_xlfn.XLOOKUP($A230,Majorna!$A$4:$A$17,Majorna!H$4:H$17)=0,"",_xlfn.XLOOKUP($A230,Majorna!$A$4:$A$17,Majorna!H$4:H$17)),"")</f>
        <v/>
      </c>
      <c r="J230" s="153" t="str">
        <f>IFERROR(IF(_xlfn.XLOOKUP($A230,Majorna!$A$4:$A$17,Majorna!I$4:I$17)=0,"",_xlfn.XLOOKUP($A230,Majorna!$A$4:$A$17,Majorna!I$4:I$17)),"")</f>
        <v/>
      </c>
      <c r="K230" s="153" t="str">
        <f>IFERROR(IF(_xlfn.XLOOKUP($A230,Majorna!$A$4:$A$17,Majorna!J$4:J$17)=0,"",_xlfn.XLOOKUP($A230,Majorna!$A$4:$A$17,Majorna!J$4:J$17)),"")</f>
        <v/>
      </c>
      <c r="L230" s="153" t="str">
        <f>IFERROR(IF(_xlfn.XLOOKUP($A230,Majorna!$A$4:$A$17,Majorna!K$4:K$17)=0,"",_xlfn.XLOOKUP($A230,Majorna!$A$4:$A$17,Majorna!K$4:K$17)),"")</f>
        <v/>
      </c>
      <c r="M230" s="153" t="str">
        <f>IFERROR(IF(_xlfn.XLOOKUP($A230,Majorna!$A$4:$A$17,Majorna!L$4:L$17)=0,"",_xlfn.XLOOKUP($A230,Majorna!$A$4:$A$17,Majorna!L$4:L$17)),"")</f>
        <v/>
      </c>
      <c r="N230" s="153" t="str">
        <f>IFERROR(IF(_xlfn.XLOOKUP($A230,Majorna!$A$4:$A$17,Majorna!M$4:M$17)=0,"",_xlfn.XLOOKUP($A230,Majorna!$A$4:$A$17,Majorna!M$4:M$17)),"")</f>
        <v/>
      </c>
      <c r="O230" s="154">
        <f>IFERROR(SUM(C230:N230),0)</f>
        <v>869</v>
      </c>
      <c r="P230" s="154">
        <f>IFERROR(IF($C$98="YTD",N(O230),N(INDEX(C230:N230,MATCH($C$98,$C$220:$N$220,0)))),0)</f>
        <v>202</v>
      </c>
      <c r="Q230">
        <f>IFERROR(N(P230)*100000+(301-ROW()),0)</f>
        <v>20200071</v>
      </c>
    </row>
    <row r="231" spans="1:17" hidden="1" outlineLevel="1">
      <c r="A231" s="152" t="s">
        <v>137</v>
      </c>
      <c r="B231" s="152" t="s">
        <v>97</v>
      </c>
      <c r="C231" s="153">
        <f>IFERROR(IF(_xlfn.XLOOKUP($A231,Åmål!$A$4:$A$17,Åmål!B$4:B$17)=0,"",_xlfn.XLOOKUP($A231,Åmål!$A$4:$A$17,Åmål!B$4:B$17)),"")</f>
        <v>231</v>
      </c>
      <c r="D231" s="153">
        <f>IFERROR(IF(_xlfn.XLOOKUP($A231,Åmål!$A$4:$A$17,Åmål!C$4:C$17)=0,"",_xlfn.XLOOKUP($A231,Åmål!$A$4:$A$17,Åmål!C$4:C$17)),"")</f>
        <v>245</v>
      </c>
      <c r="E231" s="153">
        <f>IFERROR(IF(_xlfn.XLOOKUP($A231,Åmål!$A$4:$A$17,Åmål!D$4:D$17)=0,"",_xlfn.XLOOKUP($A231,Åmål!$A$4:$A$17,Åmål!D$4:D$17)),"")</f>
        <v>168</v>
      </c>
      <c r="F231" s="153">
        <f>IFERROR(IF(_xlfn.XLOOKUP($A231,Åmål!$A$4:$A$17,Åmål!E$4:E$17)=0,"",_xlfn.XLOOKUP($A231,Åmål!$A$4:$A$17,Åmål!E$4:E$17)),"")</f>
        <v>232</v>
      </c>
      <c r="G231" s="153" t="str">
        <f>IFERROR(IF(_xlfn.XLOOKUP($A231,Åmål!$A$4:$A$17,Åmål!F$4:F$17)=0,"",_xlfn.XLOOKUP($A231,Åmål!$A$4:$A$17,Åmål!F$4:F$17)),"")</f>
        <v/>
      </c>
      <c r="H231" s="153" t="str">
        <f>IFERROR(IF(_xlfn.XLOOKUP($A231,Åmål!$A$4:$A$17,Åmål!G$4:G$17)=0,"",_xlfn.XLOOKUP($A231,Åmål!$A$4:$A$17,Åmål!G$4:G$17)),"")</f>
        <v/>
      </c>
      <c r="I231" s="153" t="str">
        <f>IFERROR(IF(_xlfn.XLOOKUP($A231,Åmål!$A$4:$A$17,Åmål!H$4:H$17)=0,"",_xlfn.XLOOKUP($A231,Åmål!$A$4:$A$17,Åmål!H$4:H$17)),"")</f>
        <v/>
      </c>
      <c r="J231" s="153" t="str">
        <f>IFERROR(IF(_xlfn.XLOOKUP($A231,Åmål!$A$4:$A$17,Åmål!I$4:I$17)=0,"",_xlfn.XLOOKUP($A231,Åmål!$A$4:$A$17,Åmål!I$4:I$17)),"")</f>
        <v/>
      </c>
      <c r="K231" s="153" t="str">
        <f>IFERROR(IF(_xlfn.XLOOKUP($A231,Åmål!$A$4:$A$17,Åmål!J$4:J$17)=0,"",_xlfn.XLOOKUP($A231,Åmål!$A$4:$A$17,Åmål!J$4:J$17)),"")</f>
        <v/>
      </c>
      <c r="L231" s="153" t="str">
        <f>IFERROR(IF(_xlfn.XLOOKUP($A231,Åmål!$A$4:$A$17,Åmål!K$4:K$17)=0,"",_xlfn.XLOOKUP($A231,Åmål!$A$4:$A$17,Åmål!K$4:K$17)),"")</f>
        <v/>
      </c>
      <c r="M231" s="153" t="str">
        <f>IFERROR(IF(_xlfn.XLOOKUP($A231,Åmål!$A$4:$A$17,Åmål!L$4:L$17)=0,"",_xlfn.XLOOKUP($A231,Åmål!$A$4:$A$17,Åmål!L$4:L$17)),"")</f>
        <v/>
      </c>
      <c r="N231" s="153" t="str">
        <f>IFERROR(IF(_xlfn.XLOOKUP($A231,Åmål!$A$4:$A$17,Åmål!M$4:M$17)=0,"",_xlfn.XLOOKUP($A231,Åmål!$A$4:$A$17,Åmål!M$4:M$17)),"")</f>
        <v/>
      </c>
      <c r="O231" s="154">
        <f>IFERROR(SUM(C231:N231),0)</f>
        <v>876</v>
      </c>
      <c r="P231" s="154">
        <f>IFERROR(IF($C$98="YTD",N(O231),N(INDEX(C231:N231,MATCH($C$98,$C$220:$N$220,0)))),0)</f>
        <v>168</v>
      </c>
      <c r="Q231">
        <f>IFERROR(N(P231)*100000+(301-ROW()),0)</f>
        <v>16800070</v>
      </c>
    </row>
    <row r="232" spans="1:17" hidden="1" outlineLevel="1">
      <c r="A232" s="152" t="s">
        <v>83</v>
      </c>
      <c r="B232" s="152" t="s">
        <v>27</v>
      </c>
      <c r="C232" s="153">
        <f>IFERROR(IF(_xlfn.XLOOKUP($A232,Grimmered!$A$4:$A$17,Grimmered!B$4:B$17)=0,"",_xlfn.XLOOKUP($A232,Grimmered!$A$4:$A$17,Grimmered!B$4:B$17)),"")</f>
        <v>195</v>
      </c>
      <c r="D232" s="153">
        <f>IFERROR(IF(_xlfn.XLOOKUP($A232,Grimmered!$A$4:$A$17,Grimmered!C$4:C$17)=0,"",_xlfn.XLOOKUP($A232,Grimmered!$A$4:$A$17,Grimmered!C$4:C$17)),"")</f>
        <v>261</v>
      </c>
      <c r="E232" s="153">
        <f>IFERROR(IF(_xlfn.XLOOKUP($A232,Grimmered!$A$4:$A$17,Grimmered!D$4:D$17)=0,"",_xlfn.XLOOKUP($A232,Grimmered!$A$4:$A$17,Grimmered!D$4:D$17)),"")</f>
        <v>217</v>
      </c>
      <c r="F232" s="153">
        <f>IFERROR(IF(_xlfn.XLOOKUP($A232,Grimmered!$A$4:$A$17,Grimmered!E$4:E$17)=0,"",_xlfn.XLOOKUP($A232,Grimmered!$A$4:$A$17,Grimmered!E$4:E$17)),"")</f>
        <v>227</v>
      </c>
      <c r="G232" s="153" t="str">
        <f>IFERROR(IF(_xlfn.XLOOKUP($A232,Grimmered!$A$4:$A$17,Grimmered!F$4:F$17)=0,"",_xlfn.XLOOKUP($A232,Grimmered!$A$4:$A$17,Grimmered!F$4:F$17)),"")</f>
        <v/>
      </c>
      <c r="H232" s="153" t="str">
        <f>IFERROR(IF(_xlfn.XLOOKUP($A232,Grimmered!$A$4:$A$17,Grimmered!G$4:G$17)=0,"",_xlfn.XLOOKUP($A232,Grimmered!$A$4:$A$17,Grimmered!G$4:G$17)),"")</f>
        <v/>
      </c>
      <c r="I232" s="153" t="str">
        <f>IFERROR(IF(_xlfn.XLOOKUP($A232,Grimmered!$A$4:$A$17,Grimmered!H$4:H$17)=0,"",_xlfn.XLOOKUP($A232,Grimmered!$A$4:$A$17,Grimmered!H$4:H$17)),"")</f>
        <v/>
      </c>
      <c r="J232" s="153" t="str">
        <f>IFERROR(IF(_xlfn.XLOOKUP($A232,Grimmered!$A$4:$A$17,Grimmered!I$4:I$17)=0,"",_xlfn.XLOOKUP($A232,Grimmered!$A$4:$A$17,Grimmered!I$4:I$17)),"")</f>
        <v/>
      </c>
      <c r="K232" s="153" t="str">
        <f>IFERROR(IF(_xlfn.XLOOKUP($A232,Grimmered!$A$4:$A$17,Grimmered!J$4:J$17)=0,"",_xlfn.XLOOKUP($A232,Grimmered!$A$4:$A$17,Grimmered!J$4:J$17)),"")</f>
        <v/>
      </c>
      <c r="L232" s="153" t="str">
        <f>IFERROR(IF(_xlfn.XLOOKUP($A232,Grimmered!$A$4:$A$17,Grimmered!K$4:K$17)=0,"",_xlfn.XLOOKUP($A232,Grimmered!$A$4:$A$17,Grimmered!K$4:K$17)),"")</f>
        <v/>
      </c>
      <c r="M232" s="153" t="str">
        <f>IFERROR(IF(_xlfn.XLOOKUP($A232,Grimmered!$A$4:$A$17,Grimmered!L$4:L$17)=0,"",_xlfn.XLOOKUP($A232,Grimmered!$A$4:$A$17,Grimmered!L$4:L$17)),"")</f>
        <v/>
      </c>
      <c r="N232" s="153" t="str">
        <f>IFERROR(IF(_xlfn.XLOOKUP($A232,Grimmered!$A$4:$A$17,Grimmered!M$4:M$17)=0,"",_xlfn.XLOOKUP($A232,Grimmered!$A$4:$A$17,Grimmered!M$4:M$17)),"")</f>
        <v/>
      </c>
      <c r="O232" s="154">
        <f>IFERROR(SUM(C232:N232),0)</f>
        <v>900</v>
      </c>
      <c r="P232" s="154">
        <f>IFERROR(IF($C$98="YTD",N(O232),N(INDEX(C232:N232,MATCH($C$98,$C$220:$N$220,0)))),0)</f>
        <v>217</v>
      </c>
      <c r="Q232">
        <f>IFERROR(N(P232)*100000+(301-ROW()),0)</f>
        <v>21700069</v>
      </c>
    </row>
    <row r="233" spans="1:17" hidden="1" outlineLevel="1">
      <c r="A233" s="152" t="s">
        <v>84</v>
      </c>
      <c r="B233" s="152" t="s">
        <v>27</v>
      </c>
      <c r="C233" s="153">
        <f>IFERROR(IF(_xlfn.XLOOKUP($A233,Grimmered!$A$4:$A$17,Grimmered!B$4:B$17)=0,"",_xlfn.XLOOKUP($A233,Grimmered!$A$4:$A$17,Grimmered!B$4:B$17)),"")</f>
        <v>179</v>
      </c>
      <c r="D233" s="153">
        <f>IFERROR(IF(_xlfn.XLOOKUP($A233,Grimmered!$A$4:$A$17,Grimmered!C$4:C$17)=0,"",_xlfn.XLOOKUP($A233,Grimmered!$A$4:$A$17,Grimmered!C$4:C$17)),"")</f>
        <v>199</v>
      </c>
      <c r="E233" s="153">
        <f>IFERROR(IF(_xlfn.XLOOKUP($A233,Grimmered!$A$4:$A$17,Grimmered!D$4:D$17)=0,"",_xlfn.XLOOKUP($A233,Grimmered!$A$4:$A$17,Grimmered!D$4:D$17)),"")</f>
        <v>250</v>
      </c>
      <c r="F233" s="153">
        <f>IFERROR(IF(_xlfn.XLOOKUP($A233,Grimmered!$A$4:$A$17,Grimmered!E$4:E$17)=0,"",_xlfn.XLOOKUP($A233,Grimmered!$A$4:$A$17,Grimmered!E$4:E$17)),"")</f>
        <v>283</v>
      </c>
      <c r="G233" s="153" t="str">
        <f>IFERROR(IF(_xlfn.XLOOKUP($A233,Grimmered!$A$4:$A$17,Grimmered!F$4:F$17)=0,"",_xlfn.XLOOKUP($A233,Grimmered!$A$4:$A$17,Grimmered!F$4:F$17)),"")</f>
        <v/>
      </c>
      <c r="H233" s="153" t="str">
        <f>IFERROR(IF(_xlfn.XLOOKUP($A233,Grimmered!$A$4:$A$17,Grimmered!G$4:G$17)=0,"",_xlfn.XLOOKUP($A233,Grimmered!$A$4:$A$17,Grimmered!G$4:G$17)),"")</f>
        <v/>
      </c>
      <c r="I233" s="153" t="str">
        <f>IFERROR(IF(_xlfn.XLOOKUP($A233,Grimmered!$A$4:$A$17,Grimmered!H$4:H$17)=0,"",_xlfn.XLOOKUP($A233,Grimmered!$A$4:$A$17,Grimmered!H$4:H$17)),"")</f>
        <v/>
      </c>
      <c r="J233" s="153" t="str">
        <f>IFERROR(IF(_xlfn.XLOOKUP($A233,Grimmered!$A$4:$A$17,Grimmered!I$4:I$17)=0,"",_xlfn.XLOOKUP($A233,Grimmered!$A$4:$A$17,Grimmered!I$4:I$17)),"")</f>
        <v/>
      </c>
      <c r="K233" s="153" t="str">
        <f>IFERROR(IF(_xlfn.XLOOKUP($A233,Grimmered!$A$4:$A$17,Grimmered!J$4:J$17)=0,"",_xlfn.XLOOKUP($A233,Grimmered!$A$4:$A$17,Grimmered!J$4:J$17)),"")</f>
        <v/>
      </c>
      <c r="L233" s="153" t="str">
        <f>IFERROR(IF(_xlfn.XLOOKUP($A233,Grimmered!$A$4:$A$17,Grimmered!K$4:K$17)=0,"",_xlfn.XLOOKUP($A233,Grimmered!$A$4:$A$17,Grimmered!K$4:K$17)),"")</f>
        <v/>
      </c>
      <c r="M233" s="153" t="str">
        <f>IFERROR(IF(_xlfn.XLOOKUP($A233,Grimmered!$A$4:$A$17,Grimmered!L$4:L$17)=0,"",_xlfn.XLOOKUP($A233,Grimmered!$A$4:$A$17,Grimmered!L$4:L$17)),"")</f>
        <v/>
      </c>
      <c r="N233" s="153" t="str">
        <f>IFERROR(IF(_xlfn.XLOOKUP($A233,Grimmered!$A$4:$A$17,Grimmered!M$4:M$17)=0,"",_xlfn.XLOOKUP($A233,Grimmered!$A$4:$A$17,Grimmered!M$4:M$17)),"")</f>
        <v/>
      </c>
      <c r="O233" s="154">
        <f>IFERROR(SUM(C233:N233),0)</f>
        <v>911</v>
      </c>
      <c r="P233" s="154">
        <f>IFERROR(IF($C$98="YTD",N(O233),N(INDEX(C233:N233,MATCH($C$98,$C$220:$N$220,0)))),0)</f>
        <v>250</v>
      </c>
      <c r="Q233">
        <f>IFERROR(N(P233)*100000+(301-ROW()),0)</f>
        <v>25000068</v>
      </c>
    </row>
    <row r="234" spans="1:17" hidden="1" outlineLevel="1">
      <c r="A234" s="152" t="s">
        <v>89</v>
      </c>
      <c r="B234" s="152" t="s">
        <v>32</v>
      </c>
      <c r="C234" s="153">
        <f>IFERROR(IF(_xlfn.XLOOKUP($A234,Avenyn!$A$4:$A$17,Avenyn!B$4:B$17)=0,"",_xlfn.XLOOKUP($A234,Avenyn!$A$4:$A$17,Avenyn!B$4:B$17)),"")</f>
        <v>139</v>
      </c>
      <c r="D234" s="153">
        <f>IFERROR(IF(_xlfn.XLOOKUP($A234,Avenyn!$A$4:$A$17,Avenyn!C$4:C$17)=0,"",_xlfn.XLOOKUP($A234,Avenyn!$A$4:$A$17,Avenyn!C$4:C$17)),"")</f>
        <v>221</v>
      </c>
      <c r="E234" s="153">
        <f>IFERROR(IF(_xlfn.XLOOKUP($A234,Avenyn!$A$4:$A$17,Avenyn!D$4:D$17)=0,"",_xlfn.XLOOKUP($A234,Avenyn!$A$4:$A$17,Avenyn!D$4:D$17)),"")</f>
        <v>279</v>
      </c>
      <c r="F234" s="153">
        <f>IFERROR(IF(_xlfn.XLOOKUP($A234,Avenyn!$A$4:$A$17,Avenyn!E$4:E$17)=0,"",_xlfn.XLOOKUP($A234,Avenyn!$A$4:$A$17,Avenyn!E$4:E$17)),"")</f>
        <v>175</v>
      </c>
      <c r="G234" s="153" t="str">
        <f>IFERROR(IF(_xlfn.XLOOKUP($A234,Avenyn!$A$4:$A$17,Avenyn!F$4:F$17)=0,"",_xlfn.XLOOKUP($A234,Avenyn!$A$4:$A$17,Avenyn!F$4:F$17)),"")</f>
        <v/>
      </c>
      <c r="H234" s="153" t="str">
        <f>IFERROR(IF(_xlfn.XLOOKUP($A234,Avenyn!$A$4:$A$17,Avenyn!G$4:G$17)=0,"",_xlfn.XLOOKUP($A234,Avenyn!$A$4:$A$17,Avenyn!G$4:G$17)),"")</f>
        <v/>
      </c>
      <c r="I234" s="153" t="str">
        <f>IFERROR(IF(_xlfn.XLOOKUP($A234,Avenyn!$A$4:$A$17,Avenyn!H$4:H$17)=0,"",_xlfn.XLOOKUP($A234,Avenyn!$A$4:$A$17,Avenyn!H$4:H$17)),"")</f>
        <v/>
      </c>
      <c r="J234" s="153" t="str">
        <f>IFERROR(IF(_xlfn.XLOOKUP($A234,Avenyn!$A$4:$A$17,Avenyn!I$4:I$17)=0,"",_xlfn.XLOOKUP($A234,Avenyn!$A$4:$A$17,Avenyn!I$4:I$17)),"")</f>
        <v/>
      </c>
      <c r="K234" s="153" t="str">
        <f>IFERROR(IF(_xlfn.XLOOKUP($A234,Avenyn!$A$4:$A$17,Avenyn!J$4:J$17)=0,"",_xlfn.XLOOKUP($A234,Avenyn!$A$4:$A$17,Avenyn!J$4:J$17)),"")</f>
        <v/>
      </c>
      <c r="L234" s="153" t="str">
        <f>IFERROR(IF(_xlfn.XLOOKUP($A234,Avenyn!$A$4:$A$17,Avenyn!K$4:K$17)=0,"",_xlfn.XLOOKUP($A234,Avenyn!$A$4:$A$17,Avenyn!K$4:K$17)),"")</f>
        <v/>
      </c>
      <c r="M234" s="153" t="str">
        <f>IFERROR(IF(_xlfn.XLOOKUP($A234,Avenyn!$A$4:$A$17,Avenyn!L$4:L$17)=0,"",_xlfn.XLOOKUP($A234,Avenyn!$A$4:$A$17,Avenyn!L$4:L$17)),"")</f>
        <v/>
      </c>
      <c r="N234" s="153" t="str">
        <f>IFERROR(IF(_xlfn.XLOOKUP($A234,Avenyn!$A$4:$A$17,Avenyn!M$4:M$17)=0,"",_xlfn.XLOOKUP($A234,Avenyn!$A$4:$A$17,Avenyn!M$4:M$17)),"")</f>
        <v/>
      </c>
      <c r="O234" s="154">
        <f>IFERROR(SUM(C234:N234),0)</f>
        <v>814</v>
      </c>
      <c r="P234" s="154">
        <f>IFERROR(IF($C$98="YTD",N(O234),N(INDEX(C234:N234,MATCH($C$98,$C$220:$N$220,0)))),0)</f>
        <v>279</v>
      </c>
      <c r="Q234">
        <f>IFERROR(N(P234)*100000+(301-ROW()),0)</f>
        <v>27900067</v>
      </c>
    </row>
    <row r="235" spans="1:17" hidden="1" outlineLevel="1">
      <c r="A235" s="152" t="s">
        <v>155</v>
      </c>
      <c r="B235" s="152" t="s">
        <v>141</v>
      </c>
      <c r="C235" s="153">
        <f>IFERROR(IF(_xlfn.XLOOKUP($A235,'Tanum och Fjällbacka'!$A$4:$A$17,'Tanum och Fjällbacka'!B$4:B$17)=0,"",_xlfn.XLOOKUP($A235,'Tanum och Fjällbacka'!$A$4:$A$17,'Tanum och Fjällbacka'!B$4:B$17)),"")</f>
        <v>239</v>
      </c>
      <c r="D235" s="153">
        <f>IFERROR(IF(_xlfn.XLOOKUP($A235,'Tanum och Fjällbacka'!$A$4:$A$17,'Tanum och Fjällbacka'!C$4:C$17)=0,"",_xlfn.XLOOKUP($A235,'Tanum och Fjällbacka'!$A$4:$A$17,'Tanum och Fjällbacka'!C$4:C$17)),"")</f>
        <v>144</v>
      </c>
      <c r="E235" s="153">
        <f>IFERROR(IF(_xlfn.XLOOKUP($A235,'Tanum och Fjällbacka'!$A$4:$A$17,'Tanum och Fjällbacka'!D$4:D$17)=0,"",_xlfn.XLOOKUP($A235,'Tanum och Fjällbacka'!$A$4:$A$17,'Tanum och Fjällbacka'!D$4:D$17)),"")</f>
        <v>246</v>
      </c>
      <c r="F235" s="153">
        <f>IFERROR(IF(_xlfn.XLOOKUP($A235,'Tanum och Fjällbacka'!$A$4:$A$17,'Tanum och Fjällbacka'!E$4:E$17)=0,"",_xlfn.XLOOKUP($A235,'Tanum och Fjällbacka'!$A$4:$A$17,'Tanum och Fjällbacka'!E$4:E$17)),"")</f>
        <v>251</v>
      </c>
      <c r="G235" s="153" t="str">
        <f>IFERROR(IF(_xlfn.XLOOKUP($A235,'Tanum och Fjällbacka'!$A$4:$A$17,'Tanum och Fjällbacka'!F$4:F$17)=0,"",_xlfn.XLOOKUP($A235,'Tanum och Fjällbacka'!$A$4:$A$17,'Tanum och Fjällbacka'!F$4:F$17)),"")</f>
        <v/>
      </c>
      <c r="H235" s="153" t="str">
        <f>IFERROR(IF(_xlfn.XLOOKUP($A235,'Tanum och Fjällbacka'!$A$4:$A$17,'Tanum och Fjällbacka'!G$4:G$17)=0,"",_xlfn.XLOOKUP($A235,'Tanum och Fjällbacka'!$A$4:$A$17,'Tanum och Fjällbacka'!G$4:G$17)),"")</f>
        <v/>
      </c>
      <c r="I235" s="153" t="str">
        <f>IFERROR(IF(_xlfn.XLOOKUP($A235,'Tanum och Fjällbacka'!$A$4:$A$17,'Tanum och Fjällbacka'!H$4:H$17)=0,"",_xlfn.XLOOKUP($A235,'Tanum och Fjällbacka'!$A$4:$A$17,'Tanum och Fjällbacka'!H$4:H$17)),"")</f>
        <v/>
      </c>
      <c r="J235" s="153" t="str">
        <f>IFERROR(IF(_xlfn.XLOOKUP($A235,'Tanum och Fjällbacka'!$A$4:$A$17,'Tanum och Fjällbacka'!I$4:I$17)=0,"",_xlfn.XLOOKUP($A235,'Tanum och Fjällbacka'!$A$4:$A$17,'Tanum och Fjällbacka'!I$4:I$17)),"")</f>
        <v/>
      </c>
      <c r="K235" s="153" t="str">
        <f>IFERROR(IF(_xlfn.XLOOKUP($A235,'Tanum och Fjällbacka'!$A$4:$A$17,'Tanum och Fjällbacka'!J$4:J$17)=0,"",_xlfn.XLOOKUP($A235,'Tanum och Fjällbacka'!$A$4:$A$17,'Tanum och Fjällbacka'!J$4:J$17)),"")</f>
        <v/>
      </c>
      <c r="L235" s="153" t="str">
        <f>IFERROR(IF(_xlfn.XLOOKUP($A235,'Tanum och Fjällbacka'!$A$4:$A$17,'Tanum och Fjällbacka'!K$4:K$17)=0,"",_xlfn.XLOOKUP($A235,'Tanum och Fjällbacka'!$A$4:$A$17,'Tanum och Fjällbacka'!K$4:K$17)),"")</f>
        <v/>
      </c>
      <c r="M235" s="153" t="str">
        <f>IFERROR(IF(_xlfn.XLOOKUP($A235,'Tanum och Fjällbacka'!$A$4:$A$17,'Tanum och Fjällbacka'!L$4:L$17)=0,"",_xlfn.XLOOKUP($A235,'Tanum och Fjällbacka'!$A$4:$A$17,'Tanum och Fjällbacka'!L$4:L$17)),"")</f>
        <v/>
      </c>
      <c r="N235" s="153" t="str">
        <f>IFERROR(IF(_xlfn.XLOOKUP($A235,'Tanum och Fjällbacka'!$A$4:$A$17,'Tanum och Fjällbacka'!M$4:M$17)=0,"",_xlfn.XLOOKUP($A235,'Tanum och Fjällbacka'!$A$4:$A$17,'Tanum och Fjällbacka'!M$4:M$17)),"")</f>
        <v/>
      </c>
      <c r="O235" s="154">
        <f>IFERROR(SUM(C235:N235),0)</f>
        <v>880</v>
      </c>
      <c r="P235" s="154">
        <f>IFERROR(IF($C$98="YTD",N(O235),N(INDEX(C235:N235,MATCH($C$98,$C$220:$N$220,0)))),0)</f>
        <v>246</v>
      </c>
      <c r="Q235">
        <f>IFERROR(N(P235)*100000+(301-ROW()),0)</f>
        <v>24600066</v>
      </c>
    </row>
    <row r="236" spans="1:17" hidden="1" outlineLevel="1">
      <c r="A236" s="152" t="s">
        <v>154</v>
      </c>
      <c r="B236" s="152" t="s">
        <v>141</v>
      </c>
      <c r="C236" s="153">
        <f>IFERROR(IF(_xlfn.XLOOKUP($A236,'Tanum och Fjällbacka'!$A$4:$A$17,'Tanum och Fjällbacka'!B$4:B$17)=0,"",_xlfn.XLOOKUP($A236,'Tanum och Fjällbacka'!$A$4:$A$17,'Tanum och Fjällbacka'!B$4:B$17)),"")</f>
        <v>230</v>
      </c>
      <c r="D236" s="153">
        <f>IFERROR(IF(_xlfn.XLOOKUP($A236,'Tanum och Fjällbacka'!$A$4:$A$17,'Tanum och Fjällbacka'!C$4:C$17)=0,"",_xlfn.XLOOKUP($A236,'Tanum och Fjällbacka'!$A$4:$A$17,'Tanum och Fjällbacka'!C$4:C$17)),"")</f>
        <v>246</v>
      </c>
      <c r="E236" s="153">
        <f>IFERROR(IF(_xlfn.XLOOKUP($A236,'Tanum och Fjällbacka'!$A$4:$A$17,'Tanum och Fjällbacka'!D$4:D$17)=0,"",_xlfn.XLOOKUP($A236,'Tanum och Fjällbacka'!$A$4:$A$17,'Tanum och Fjällbacka'!D$4:D$17)),"")</f>
        <v>184</v>
      </c>
      <c r="F236" s="153">
        <f>IFERROR(IF(_xlfn.XLOOKUP($A236,'Tanum och Fjällbacka'!$A$4:$A$17,'Tanum och Fjällbacka'!E$4:E$17)=0,"",_xlfn.XLOOKUP($A236,'Tanum och Fjällbacka'!$A$4:$A$17,'Tanum och Fjällbacka'!E$4:E$17)),"")</f>
        <v>232</v>
      </c>
      <c r="G236" s="153" t="str">
        <f>IFERROR(IF(_xlfn.XLOOKUP($A236,'Tanum och Fjällbacka'!$A$4:$A$17,'Tanum och Fjällbacka'!F$4:F$17)=0,"",_xlfn.XLOOKUP($A236,'Tanum och Fjällbacka'!$A$4:$A$17,'Tanum och Fjällbacka'!F$4:F$17)),"")</f>
        <v/>
      </c>
      <c r="H236" s="153" t="str">
        <f>IFERROR(IF(_xlfn.XLOOKUP($A236,'Tanum och Fjällbacka'!$A$4:$A$17,'Tanum och Fjällbacka'!G$4:G$17)=0,"",_xlfn.XLOOKUP($A236,'Tanum och Fjällbacka'!$A$4:$A$17,'Tanum och Fjällbacka'!G$4:G$17)),"")</f>
        <v/>
      </c>
      <c r="I236" s="153" t="str">
        <f>IFERROR(IF(_xlfn.XLOOKUP($A236,'Tanum och Fjällbacka'!$A$4:$A$17,'Tanum och Fjällbacka'!H$4:H$17)=0,"",_xlfn.XLOOKUP($A236,'Tanum och Fjällbacka'!$A$4:$A$17,'Tanum och Fjällbacka'!H$4:H$17)),"")</f>
        <v/>
      </c>
      <c r="J236" s="153" t="str">
        <f>IFERROR(IF(_xlfn.XLOOKUP($A236,'Tanum och Fjällbacka'!$A$4:$A$17,'Tanum och Fjällbacka'!I$4:I$17)=0,"",_xlfn.XLOOKUP($A236,'Tanum och Fjällbacka'!$A$4:$A$17,'Tanum och Fjällbacka'!I$4:I$17)),"")</f>
        <v/>
      </c>
      <c r="K236" s="153" t="str">
        <f>IFERROR(IF(_xlfn.XLOOKUP($A236,'Tanum och Fjällbacka'!$A$4:$A$17,'Tanum och Fjällbacka'!J$4:J$17)=0,"",_xlfn.XLOOKUP($A236,'Tanum och Fjällbacka'!$A$4:$A$17,'Tanum och Fjällbacka'!J$4:J$17)),"")</f>
        <v/>
      </c>
      <c r="L236" s="153" t="str">
        <f>IFERROR(IF(_xlfn.XLOOKUP($A236,'Tanum och Fjällbacka'!$A$4:$A$17,'Tanum och Fjällbacka'!K$4:K$17)=0,"",_xlfn.XLOOKUP($A236,'Tanum och Fjällbacka'!$A$4:$A$17,'Tanum och Fjällbacka'!K$4:K$17)),"")</f>
        <v/>
      </c>
      <c r="M236" s="153" t="str">
        <f>IFERROR(IF(_xlfn.XLOOKUP($A236,'Tanum och Fjällbacka'!$A$4:$A$17,'Tanum och Fjällbacka'!L$4:L$17)=0,"",_xlfn.XLOOKUP($A236,'Tanum och Fjällbacka'!$A$4:$A$17,'Tanum och Fjällbacka'!L$4:L$17)),"")</f>
        <v/>
      </c>
      <c r="N236" s="153" t="str">
        <f>IFERROR(IF(_xlfn.XLOOKUP($A236,'Tanum och Fjällbacka'!$A$4:$A$17,'Tanum och Fjällbacka'!M$4:M$17)=0,"",_xlfn.XLOOKUP($A236,'Tanum och Fjällbacka'!$A$4:$A$17,'Tanum och Fjällbacka'!M$4:M$17)),"")</f>
        <v/>
      </c>
      <c r="O236" s="154">
        <f>IFERROR(SUM(C236:N236),0)</f>
        <v>892</v>
      </c>
      <c r="P236" s="154">
        <f>IFERROR(IF($C$98="YTD",N(O236),N(INDEX(C236:N236,MATCH($C$98,$C$220:$N$220,0)))),0)</f>
        <v>184</v>
      </c>
      <c r="Q236">
        <f>IFERROR(N(P236)*100000+(301-ROW()),0)</f>
        <v>18400065</v>
      </c>
    </row>
    <row r="237" spans="1:17" hidden="1" outlineLevel="1">
      <c r="A237" s="152" t="s">
        <v>56</v>
      </c>
      <c r="B237" s="152" t="s">
        <v>30</v>
      </c>
      <c r="C237" s="153">
        <f>IFERROR(IF(_xlfn.XLOOKUP($A237,Åby!$A$4:$A$17,Åby!B$4:B$17)=0,"",_xlfn.XLOOKUP($A237,Åby!$A$4:$A$17,Åby!B$4:B$17)),"")</f>
        <v>204</v>
      </c>
      <c r="D237" s="153">
        <f>IFERROR(IF(_xlfn.XLOOKUP($A237,Åby!$A$4:$A$17,Åby!C$4:C$17)=0,"",_xlfn.XLOOKUP($A237,Åby!$A$4:$A$17,Åby!C$4:C$17)),"")</f>
        <v>199</v>
      </c>
      <c r="E237" s="153">
        <f>IFERROR(IF(_xlfn.XLOOKUP($A237,Åby!$A$4:$A$17,Åby!D$4:D$17)=0,"",_xlfn.XLOOKUP($A237,Åby!$A$4:$A$17,Åby!D$4:D$17)),"")</f>
        <v>219</v>
      </c>
      <c r="F237" s="153">
        <f>IFERROR(IF(_xlfn.XLOOKUP($A237,Åby!$A$4:$A$17,Åby!E$4:E$17)=0,"",_xlfn.XLOOKUP($A237,Åby!$A$4:$A$17,Åby!E$4:E$17)),"")</f>
        <v>154</v>
      </c>
      <c r="G237" s="153" t="str">
        <f>IFERROR(IF(_xlfn.XLOOKUP($A237,Åby!$A$4:$A$17,Åby!F$4:F$17)=0,"",_xlfn.XLOOKUP($A237,Åby!$A$4:$A$17,Åby!F$4:F$17)),"")</f>
        <v/>
      </c>
      <c r="H237" s="153" t="str">
        <f>IFERROR(IF(_xlfn.XLOOKUP($A237,Åby!$A$4:$A$17,Åby!G$4:G$17)=0,"",_xlfn.XLOOKUP($A237,Åby!$A$4:$A$17,Åby!G$4:G$17)),"")</f>
        <v/>
      </c>
      <c r="I237" s="153" t="str">
        <f>IFERROR(IF(_xlfn.XLOOKUP($A237,Åby!$A$4:$A$17,Åby!H$4:H$17)=0,"",_xlfn.XLOOKUP($A237,Åby!$A$4:$A$17,Åby!H$4:H$17)),"")</f>
        <v/>
      </c>
      <c r="J237" s="153" t="str">
        <f>IFERROR(IF(_xlfn.XLOOKUP($A237,Åby!$A$4:$A$17,Åby!I$4:I$17)=0,"",_xlfn.XLOOKUP($A237,Åby!$A$4:$A$17,Åby!I$4:I$17)),"")</f>
        <v/>
      </c>
      <c r="K237" s="153" t="str">
        <f>IFERROR(IF(_xlfn.XLOOKUP($A237,Åby!$A$4:$A$17,Åby!J$4:J$17)=0,"",_xlfn.XLOOKUP($A237,Åby!$A$4:$A$17,Åby!J$4:J$17)),"")</f>
        <v/>
      </c>
      <c r="L237" s="153" t="str">
        <f>IFERROR(IF(_xlfn.XLOOKUP($A237,Åby!$A$4:$A$17,Åby!K$4:K$17)=0,"",_xlfn.XLOOKUP($A237,Åby!$A$4:$A$17,Åby!K$4:K$17)),"")</f>
        <v/>
      </c>
      <c r="M237" s="153" t="str">
        <f>IFERROR(IF(_xlfn.XLOOKUP($A237,Åby!$A$4:$A$17,Åby!L$4:L$17)=0,"",_xlfn.XLOOKUP($A237,Åby!$A$4:$A$17,Åby!L$4:L$17)),"")</f>
        <v/>
      </c>
      <c r="N237" s="153" t="str">
        <f>IFERROR(IF(_xlfn.XLOOKUP($A237,Åby!$A$4:$A$17,Åby!M$4:M$17)=0,"",_xlfn.XLOOKUP($A237,Åby!$A$4:$A$17,Åby!M$4:M$17)),"")</f>
        <v/>
      </c>
      <c r="O237" s="154">
        <f>IFERROR(SUM(C237:N237),0)</f>
        <v>776</v>
      </c>
      <c r="P237" s="154">
        <f>IFERROR(IF($C$98="YTD",N(O237),N(INDEX(C237:N237,MATCH($C$98,$C$220:$N$220,0)))),0)</f>
        <v>219</v>
      </c>
      <c r="Q237">
        <f>IFERROR(N(P237)*100000+(301-ROW()),0)</f>
        <v>21900064</v>
      </c>
    </row>
    <row r="238" spans="1:17" hidden="1" outlineLevel="1">
      <c r="A238" s="152" t="s">
        <v>158</v>
      </c>
      <c r="B238" s="152" t="s">
        <v>142</v>
      </c>
      <c r="C238" s="153">
        <f>IFERROR(IF(_xlfn.XLOOKUP($A238,'Brålanda-Torpa'!$A$4:$A$17,'Brålanda-Torpa'!B$4:B$17)=0,"",_xlfn.XLOOKUP($A238,'Brålanda-Torpa'!$A$4:$A$17,'Brålanda-Torpa'!B$4:B$17)),"")</f>
        <v>177</v>
      </c>
      <c r="D238" s="153">
        <f>IFERROR(IF(_xlfn.XLOOKUP($A238,'Brålanda-Torpa'!$A$4:$A$17,'Brålanda-Torpa'!C$4:C$17)=0,"",_xlfn.XLOOKUP($A238,'Brålanda-Torpa'!$A$4:$A$17,'Brålanda-Torpa'!C$4:C$17)),"")</f>
        <v>211</v>
      </c>
      <c r="E238" s="153">
        <f>IFERROR(IF(_xlfn.XLOOKUP($A238,'Brålanda-Torpa'!$A$4:$A$17,'Brålanda-Torpa'!D$4:D$17)=0,"",_xlfn.XLOOKUP($A238,'Brålanda-Torpa'!$A$4:$A$17,'Brålanda-Torpa'!D$4:D$17)),"")</f>
        <v>234</v>
      </c>
      <c r="F238" s="153">
        <f>IFERROR(IF(_xlfn.XLOOKUP($A238,'Brålanda-Torpa'!$A$4:$A$17,'Brålanda-Torpa'!E$4:E$17)=0,"",_xlfn.XLOOKUP($A238,'Brålanda-Torpa'!$A$4:$A$17,'Brålanda-Torpa'!E$4:E$17)),"")</f>
        <v>180</v>
      </c>
      <c r="G238" s="153" t="str">
        <f>IFERROR(IF(_xlfn.XLOOKUP($A238,'Brålanda-Torpa'!$A$4:$A$17,'Brålanda-Torpa'!F$4:F$17)=0,"",_xlfn.XLOOKUP($A238,'Brålanda-Torpa'!$A$4:$A$17,'Brålanda-Torpa'!F$4:F$17)),"")</f>
        <v/>
      </c>
      <c r="H238" s="153" t="str">
        <f>IFERROR(IF(_xlfn.XLOOKUP($A238,'Brålanda-Torpa'!$A$4:$A$17,'Brålanda-Torpa'!G$4:G$17)=0,"",_xlfn.XLOOKUP($A238,'Brålanda-Torpa'!$A$4:$A$17,'Brålanda-Torpa'!G$4:G$17)),"")</f>
        <v/>
      </c>
      <c r="I238" s="153" t="str">
        <f>IFERROR(IF(_xlfn.XLOOKUP($A238,'Brålanda-Torpa'!$A$4:$A$17,'Brålanda-Torpa'!H$4:H$17)=0,"",_xlfn.XLOOKUP($A238,'Brålanda-Torpa'!$A$4:$A$17,'Brålanda-Torpa'!H$4:H$17)),"")</f>
        <v/>
      </c>
      <c r="J238" s="153" t="str">
        <f>IFERROR(IF(_xlfn.XLOOKUP($A238,'Brålanda-Torpa'!$A$4:$A$17,'Brålanda-Torpa'!I$4:I$17)=0,"",_xlfn.XLOOKUP($A238,'Brålanda-Torpa'!$A$4:$A$17,'Brålanda-Torpa'!I$4:I$17)),"")</f>
        <v/>
      </c>
      <c r="K238" s="153" t="str">
        <f>IFERROR(IF(_xlfn.XLOOKUP($A238,'Brålanda-Torpa'!$A$4:$A$17,'Brålanda-Torpa'!J$4:J$17)=0,"",_xlfn.XLOOKUP($A238,'Brålanda-Torpa'!$A$4:$A$17,'Brålanda-Torpa'!J$4:J$17)),"")</f>
        <v/>
      </c>
      <c r="L238" s="153" t="str">
        <f>IFERROR(IF(_xlfn.XLOOKUP($A238,'Brålanda-Torpa'!$A$4:$A$17,'Brålanda-Torpa'!K$4:K$17)=0,"",_xlfn.XLOOKUP($A238,'Brålanda-Torpa'!$A$4:$A$17,'Brålanda-Torpa'!K$4:K$17)),"")</f>
        <v/>
      </c>
      <c r="M238" s="153" t="str">
        <f>IFERROR(IF(_xlfn.XLOOKUP($A238,'Brålanda-Torpa'!$A$4:$A$17,'Brålanda-Torpa'!L$4:L$17)=0,"",_xlfn.XLOOKUP($A238,'Brålanda-Torpa'!$A$4:$A$17,'Brålanda-Torpa'!L$4:L$17)),"")</f>
        <v/>
      </c>
      <c r="N238" s="153" t="str">
        <f>IFERROR(IF(_xlfn.XLOOKUP($A238,'Brålanda-Torpa'!$A$4:$A$17,'Brålanda-Torpa'!M$4:M$17)=0,"",_xlfn.XLOOKUP($A238,'Brålanda-Torpa'!$A$4:$A$17,'Brålanda-Torpa'!M$4:M$17)),"")</f>
        <v/>
      </c>
      <c r="O238" s="154">
        <f>IFERROR(SUM(C238:N238),0)</f>
        <v>802</v>
      </c>
      <c r="P238" s="154">
        <f>IFERROR(IF($C$98="YTD",N(O238),N(INDEX(C238:N238,MATCH($C$98,$C$220:$N$220,0)))),0)</f>
        <v>234</v>
      </c>
      <c r="Q238">
        <f>IFERROR(N(P238)*100000+(301-ROW()),0)</f>
        <v>23400063</v>
      </c>
    </row>
    <row r="239" spans="1:17" hidden="1" outlineLevel="1">
      <c r="A239" s="152" t="s">
        <v>60</v>
      </c>
      <c r="B239" s="152" t="s">
        <v>30</v>
      </c>
      <c r="C239" s="153">
        <f>IFERROR(IF(_xlfn.XLOOKUP($A239,Åby!$A$4:$A$17,Åby!B$4:B$17)=0,"",_xlfn.XLOOKUP($A239,Åby!$A$4:$A$17,Åby!B$4:B$17)),"")</f>
        <v>147</v>
      </c>
      <c r="D239" s="153">
        <f>IFERROR(IF(_xlfn.XLOOKUP($A239,Åby!$A$4:$A$17,Åby!C$4:C$17)=0,"",_xlfn.XLOOKUP($A239,Åby!$A$4:$A$17,Åby!C$4:C$17)),"")</f>
        <v>264</v>
      </c>
      <c r="E239" s="153">
        <f>IFERROR(IF(_xlfn.XLOOKUP($A239,Åby!$A$4:$A$17,Åby!D$4:D$17)=0,"",_xlfn.XLOOKUP($A239,Åby!$A$4:$A$17,Åby!D$4:D$17)),"")</f>
        <v>248</v>
      </c>
      <c r="F239" s="153">
        <f>IFERROR(IF(_xlfn.XLOOKUP($A239,Åby!$A$4:$A$17,Åby!E$4:E$17)=0,"",_xlfn.XLOOKUP($A239,Åby!$A$4:$A$17,Åby!E$4:E$17)),"")</f>
        <v>191</v>
      </c>
      <c r="G239" s="153" t="str">
        <f>IFERROR(IF(_xlfn.XLOOKUP($A239,Åby!$A$4:$A$17,Åby!F$4:F$17)=0,"",_xlfn.XLOOKUP($A239,Åby!$A$4:$A$17,Åby!F$4:F$17)),"")</f>
        <v/>
      </c>
      <c r="H239" s="153" t="str">
        <f>IFERROR(IF(_xlfn.XLOOKUP($A239,Åby!$A$4:$A$17,Åby!G$4:G$17)=0,"",_xlfn.XLOOKUP($A239,Åby!$A$4:$A$17,Åby!G$4:G$17)),"")</f>
        <v/>
      </c>
      <c r="I239" s="153" t="str">
        <f>IFERROR(IF(_xlfn.XLOOKUP($A239,Åby!$A$4:$A$17,Åby!H$4:H$17)=0,"",_xlfn.XLOOKUP($A239,Åby!$A$4:$A$17,Åby!H$4:H$17)),"")</f>
        <v/>
      </c>
      <c r="J239" s="153" t="str">
        <f>IFERROR(IF(_xlfn.XLOOKUP($A239,Åby!$A$4:$A$17,Åby!I$4:I$17)=0,"",_xlfn.XLOOKUP($A239,Åby!$A$4:$A$17,Åby!I$4:I$17)),"")</f>
        <v/>
      </c>
      <c r="K239" s="153" t="str">
        <f>IFERROR(IF(_xlfn.XLOOKUP($A239,Åby!$A$4:$A$17,Åby!J$4:J$17)=0,"",_xlfn.XLOOKUP($A239,Åby!$A$4:$A$17,Åby!J$4:J$17)),"")</f>
        <v/>
      </c>
      <c r="L239" s="153" t="str">
        <f>IFERROR(IF(_xlfn.XLOOKUP($A239,Åby!$A$4:$A$17,Åby!K$4:K$17)=0,"",_xlfn.XLOOKUP($A239,Åby!$A$4:$A$17,Åby!K$4:K$17)),"")</f>
        <v/>
      </c>
      <c r="M239" s="153" t="str">
        <f>IFERROR(IF(_xlfn.XLOOKUP($A239,Åby!$A$4:$A$17,Åby!L$4:L$17)=0,"",_xlfn.XLOOKUP($A239,Åby!$A$4:$A$17,Åby!L$4:L$17)),"")</f>
        <v/>
      </c>
      <c r="N239" s="153" t="str">
        <f>IFERROR(IF(_xlfn.XLOOKUP($A239,Åby!$A$4:$A$17,Åby!M$4:M$17)=0,"",_xlfn.XLOOKUP($A239,Åby!$A$4:$A$17,Åby!M$4:M$17)),"")</f>
        <v/>
      </c>
      <c r="O239" s="154">
        <f>IFERROR(SUM(C239:N239),0)</f>
        <v>850</v>
      </c>
      <c r="P239" s="154">
        <f>IFERROR(IF($C$98="YTD",N(O239),N(INDEX(C239:N239,MATCH($C$98,$C$220:$N$220,0)))),0)</f>
        <v>248</v>
      </c>
      <c r="Q239">
        <f>IFERROR(N(P239)*100000+(301-ROW()),0)</f>
        <v>24800062</v>
      </c>
    </row>
    <row r="240" spans="1:17" hidden="1" outlineLevel="1">
      <c r="A240" s="152" t="s">
        <v>91</v>
      </c>
      <c r="B240" s="152" t="s">
        <v>32</v>
      </c>
      <c r="C240" s="153">
        <f>IFERROR(IF(_xlfn.XLOOKUP($A240,Avenyn!$A$4:$A$17,Avenyn!B$4:B$17)=0,"",_xlfn.XLOOKUP($A240,Avenyn!$A$4:$A$17,Avenyn!B$4:B$17)),"")</f>
        <v>157</v>
      </c>
      <c r="D240" s="153">
        <f>IFERROR(IF(_xlfn.XLOOKUP($A240,Avenyn!$A$4:$A$17,Avenyn!C$4:C$17)=0,"",_xlfn.XLOOKUP($A240,Avenyn!$A$4:$A$17,Avenyn!C$4:C$17)),"")</f>
        <v>177</v>
      </c>
      <c r="E240" s="153">
        <f>IFERROR(IF(_xlfn.XLOOKUP($A240,Avenyn!$A$4:$A$17,Avenyn!D$4:D$17)=0,"",_xlfn.XLOOKUP($A240,Avenyn!$A$4:$A$17,Avenyn!D$4:D$17)),"")</f>
        <v>238</v>
      </c>
      <c r="F240" s="153">
        <f>IFERROR(IF(_xlfn.XLOOKUP($A240,Avenyn!$A$4:$A$17,Avenyn!E$4:E$17)=0,"",_xlfn.XLOOKUP($A240,Avenyn!$A$4:$A$17,Avenyn!E$4:E$17)),"")</f>
        <v>251</v>
      </c>
      <c r="G240" s="153" t="str">
        <f>IFERROR(IF(_xlfn.XLOOKUP($A240,Avenyn!$A$4:$A$17,Avenyn!F$4:F$17)=0,"",_xlfn.XLOOKUP($A240,Avenyn!$A$4:$A$17,Avenyn!F$4:F$17)),"")</f>
        <v/>
      </c>
      <c r="H240" s="153" t="str">
        <f>IFERROR(IF(_xlfn.XLOOKUP($A240,Avenyn!$A$4:$A$17,Avenyn!G$4:G$17)=0,"",_xlfn.XLOOKUP($A240,Avenyn!$A$4:$A$17,Avenyn!G$4:G$17)),"")</f>
        <v/>
      </c>
      <c r="I240" s="153" t="str">
        <f>IFERROR(IF(_xlfn.XLOOKUP($A240,Avenyn!$A$4:$A$17,Avenyn!H$4:H$17)=0,"",_xlfn.XLOOKUP($A240,Avenyn!$A$4:$A$17,Avenyn!H$4:H$17)),"")</f>
        <v/>
      </c>
      <c r="J240" s="153" t="str">
        <f>IFERROR(IF(_xlfn.XLOOKUP($A240,Avenyn!$A$4:$A$17,Avenyn!I$4:I$17)=0,"",_xlfn.XLOOKUP($A240,Avenyn!$A$4:$A$17,Avenyn!I$4:I$17)),"")</f>
        <v/>
      </c>
      <c r="K240" s="153" t="str">
        <f>IFERROR(IF(_xlfn.XLOOKUP($A240,Avenyn!$A$4:$A$17,Avenyn!J$4:J$17)=0,"",_xlfn.XLOOKUP($A240,Avenyn!$A$4:$A$17,Avenyn!J$4:J$17)),"")</f>
        <v/>
      </c>
      <c r="L240" s="153" t="str">
        <f>IFERROR(IF(_xlfn.XLOOKUP($A240,Avenyn!$A$4:$A$17,Avenyn!K$4:K$17)=0,"",_xlfn.XLOOKUP($A240,Avenyn!$A$4:$A$17,Avenyn!K$4:K$17)),"")</f>
        <v/>
      </c>
      <c r="M240" s="153" t="str">
        <f>IFERROR(IF(_xlfn.XLOOKUP($A240,Avenyn!$A$4:$A$17,Avenyn!L$4:L$17)=0,"",_xlfn.XLOOKUP($A240,Avenyn!$A$4:$A$17,Avenyn!L$4:L$17)),"")</f>
        <v/>
      </c>
      <c r="N240" s="153" t="str">
        <f>IFERROR(IF(_xlfn.XLOOKUP($A240,Avenyn!$A$4:$A$17,Avenyn!M$4:M$17)=0,"",_xlfn.XLOOKUP($A240,Avenyn!$A$4:$A$17,Avenyn!M$4:M$17)),"")</f>
        <v/>
      </c>
      <c r="O240" s="154">
        <f>IFERROR(SUM(C240:N240),0)</f>
        <v>823</v>
      </c>
      <c r="P240" s="154">
        <f>IFERROR(IF($C$98="YTD",N(O240),N(INDEX(C240:N240,MATCH($C$98,$C$220:$N$220,0)))),0)</f>
        <v>238</v>
      </c>
      <c r="Q240">
        <f>IFERROR(N(P240)*100000+(301-ROW()),0)</f>
        <v>23800061</v>
      </c>
    </row>
    <row r="241" spans="1:17" hidden="1" outlineLevel="1">
      <c r="A241" s="152" t="s">
        <v>116</v>
      </c>
      <c r="B241" s="152" t="s">
        <v>181</v>
      </c>
      <c r="C241" s="153">
        <f>IFERROR(IF(_xlfn.XLOOKUP($A241,Noltrop!$A$4:$A$17,Noltrop!B$4:B$17)=0,"",_xlfn.XLOOKUP($A241,Noltrop!$A$4:$A$17,Noltrop!B$4:B$17)),"")</f>
        <v>130</v>
      </c>
      <c r="D241" s="153">
        <f>IFERROR(IF(_xlfn.XLOOKUP($A241,Noltrop!$A$4:$A$17,Noltrop!C$4:C$17)=0,"",_xlfn.XLOOKUP($A241,Noltrop!$A$4:$A$17,Noltrop!C$4:C$17)),"")</f>
        <v>222</v>
      </c>
      <c r="E241" s="153">
        <f>IFERROR(IF(_xlfn.XLOOKUP($A241,Noltrop!$A$4:$A$17,Noltrop!D$4:D$17)=0,"",_xlfn.XLOOKUP($A241,Noltrop!$A$4:$A$17,Noltrop!D$4:D$17)),"")</f>
        <v>222</v>
      </c>
      <c r="F241" s="153">
        <f>IFERROR(IF(_xlfn.XLOOKUP($A241,Noltrop!$A$4:$A$17,Noltrop!E$4:E$17)=0,"",_xlfn.XLOOKUP($A241,Noltrop!$A$4:$A$17,Noltrop!E$4:E$17)),"")</f>
        <v>253</v>
      </c>
      <c r="G241" s="153" t="str">
        <f>IFERROR(IF(_xlfn.XLOOKUP($A241,Noltrop!$A$4:$A$17,Noltrop!F$4:F$17)=0,"",_xlfn.XLOOKUP($A241,Noltrop!$A$4:$A$17,Noltrop!F$4:F$17)),"")</f>
        <v/>
      </c>
      <c r="H241" s="153" t="str">
        <f>IFERROR(IF(_xlfn.XLOOKUP($A241,Noltrop!$A$4:$A$17,Noltrop!G$4:G$17)=0,"",_xlfn.XLOOKUP($A241,Noltrop!$A$4:$A$17,Noltrop!G$4:G$17)),"")</f>
        <v/>
      </c>
      <c r="I241" s="153" t="str">
        <f>IFERROR(IF(_xlfn.XLOOKUP($A241,Noltrop!$A$4:$A$17,Noltrop!H$4:H$17)=0,"",_xlfn.XLOOKUP($A241,Noltrop!$A$4:$A$17,Noltrop!H$4:H$17)),"")</f>
        <v/>
      </c>
      <c r="J241" s="153" t="str">
        <f>IFERROR(IF(_xlfn.XLOOKUP($A241,Noltrop!$A$4:$A$17,Noltrop!I$4:I$17)=0,"",_xlfn.XLOOKUP($A241,Noltrop!$A$4:$A$17,Noltrop!I$4:I$17)),"")</f>
        <v/>
      </c>
      <c r="K241" s="153" t="str">
        <f>IFERROR(IF(_xlfn.XLOOKUP($A241,Noltrop!$A$4:$A$17,Noltrop!J$4:J$17)=0,"",_xlfn.XLOOKUP($A241,Noltrop!$A$4:$A$17,Noltrop!J$4:J$17)),"")</f>
        <v/>
      </c>
      <c r="L241" s="153" t="str">
        <f>IFERROR(IF(_xlfn.XLOOKUP($A241,Noltrop!$A$4:$A$17,Noltrop!K$4:K$17)=0,"",_xlfn.XLOOKUP($A241,Noltrop!$A$4:$A$17,Noltrop!K$4:K$17)),"")</f>
        <v/>
      </c>
      <c r="M241" s="153" t="str">
        <f>IFERROR(IF(_xlfn.XLOOKUP($A241,Noltrop!$A$4:$A$17,Noltrop!L$4:L$17)=0,"",_xlfn.XLOOKUP($A241,Noltrop!$A$4:$A$17,Noltrop!L$4:L$17)),"")</f>
        <v/>
      </c>
      <c r="N241" s="153" t="str">
        <f>IFERROR(IF(_xlfn.XLOOKUP($A241,Noltrop!$A$4:$A$17,Noltrop!M$4:M$17)=0,"",_xlfn.XLOOKUP($A241,Noltrop!$A$4:$A$17,Noltrop!M$4:M$17)),"")</f>
        <v/>
      </c>
      <c r="O241" s="154">
        <f>IFERROR(SUM(C241:N241),0)</f>
        <v>827</v>
      </c>
      <c r="P241" s="154">
        <f>IFERROR(IF($C$98="YTD",N(O241),N(INDEX(C241:N241,MATCH($C$98,$C$220:$N$220,0)))),0)</f>
        <v>222</v>
      </c>
      <c r="Q241">
        <f>IFERROR(N(P241)*100000+(301-ROW()),0)</f>
        <v>22200060</v>
      </c>
    </row>
    <row r="242" spans="1:17" hidden="1" outlineLevel="1">
      <c r="A242" s="152" t="s">
        <v>81</v>
      </c>
      <c r="B242" s="152" t="s">
        <v>27</v>
      </c>
      <c r="C242" s="153">
        <f>IFERROR(IF(_xlfn.XLOOKUP($A242,Grimmered!$A$4:$A$17,Grimmered!B$4:B$17)=0,"",_xlfn.XLOOKUP($A242,Grimmered!$A$4:$A$17,Grimmered!B$4:B$17)),"")</f>
        <v>183</v>
      </c>
      <c r="D242" s="153">
        <f>IFERROR(IF(_xlfn.XLOOKUP($A242,Grimmered!$A$4:$A$17,Grimmered!C$4:C$17)=0,"",_xlfn.XLOOKUP($A242,Grimmered!$A$4:$A$17,Grimmered!C$4:C$17)),"")</f>
        <v>170</v>
      </c>
      <c r="E242" s="153">
        <f>IFERROR(IF(_xlfn.XLOOKUP($A242,Grimmered!$A$4:$A$17,Grimmered!D$4:D$17)=0,"",_xlfn.XLOOKUP($A242,Grimmered!$A$4:$A$17,Grimmered!D$4:D$17)),"")</f>
        <v>254</v>
      </c>
      <c r="F242" s="153">
        <f>IFERROR(IF(_xlfn.XLOOKUP($A242,Grimmered!$A$4:$A$17,Grimmered!E$4:E$17)=0,"",_xlfn.XLOOKUP($A242,Grimmered!$A$4:$A$17,Grimmered!E$4:E$17)),"")</f>
        <v>166</v>
      </c>
      <c r="G242" s="153" t="str">
        <f>IFERROR(IF(_xlfn.XLOOKUP($A242,Grimmered!$A$4:$A$17,Grimmered!F$4:F$17)=0,"",_xlfn.XLOOKUP($A242,Grimmered!$A$4:$A$17,Grimmered!F$4:F$17)),"")</f>
        <v/>
      </c>
      <c r="H242" s="153" t="str">
        <f>IFERROR(IF(_xlfn.XLOOKUP($A242,Grimmered!$A$4:$A$17,Grimmered!G$4:G$17)=0,"",_xlfn.XLOOKUP($A242,Grimmered!$A$4:$A$17,Grimmered!G$4:G$17)),"")</f>
        <v/>
      </c>
      <c r="I242" s="153" t="str">
        <f>IFERROR(IF(_xlfn.XLOOKUP($A242,Grimmered!$A$4:$A$17,Grimmered!H$4:H$17)=0,"",_xlfn.XLOOKUP($A242,Grimmered!$A$4:$A$17,Grimmered!H$4:H$17)),"")</f>
        <v/>
      </c>
      <c r="J242" s="153" t="str">
        <f>IFERROR(IF(_xlfn.XLOOKUP($A242,Grimmered!$A$4:$A$17,Grimmered!I$4:I$17)=0,"",_xlfn.XLOOKUP($A242,Grimmered!$A$4:$A$17,Grimmered!I$4:I$17)),"")</f>
        <v/>
      </c>
      <c r="K242" s="153" t="str">
        <f>IFERROR(IF(_xlfn.XLOOKUP($A242,Grimmered!$A$4:$A$17,Grimmered!J$4:J$17)=0,"",_xlfn.XLOOKUP($A242,Grimmered!$A$4:$A$17,Grimmered!J$4:J$17)),"")</f>
        <v/>
      </c>
      <c r="L242" s="153" t="str">
        <f>IFERROR(IF(_xlfn.XLOOKUP($A242,Grimmered!$A$4:$A$17,Grimmered!K$4:K$17)=0,"",_xlfn.XLOOKUP($A242,Grimmered!$A$4:$A$17,Grimmered!K$4:K$17)),"")</f>
        <v/>
      </c>
      <c r="M242" s="153" t="str">
        <f>IFERROR(IF(_xlfn.XLOOKUP($A242,Grimmered!$A$4:$A$17,Grimmered!L$4:L$17)=0,"",_xlfn.XLOOKUP($A242,Grimmered!$A$4:$A$17,Grimmered!L$4:L$17)),"")</f>
        <v/>
      </c>
      <c r="N242" s="153" t="str">
        <f>IFERROR(IF(_xlfn.XLOOKUP($A242,Grimmered!$A$4:$A$17,Grimmered!M$4:M$17)=0,"",_xlfn.XLOOKUP($A242,Grimmered!$A$4:$A$17,Grimmered!M$4:M$17)),"")</f>
        <v/>
      </c>
      <c r="O242" s="154">
        <f>IFERROR(SUM(C242:N242),0)</f>
        <v>773</v>
      </c>
      <c r="P242" s="154">
        <f>IFERROR(IF($C$98="YTD",N(O242),N(INDEX(C242:N242,MATCH($C$98,$C$220:$N$220,0)))),0)</f>
        <v>254</v>
      </c>
      <c r="Q242">
        <f>IFERROR(N(P242)*100000+(301-ROW()),0)</f>
        <v>25400059</v>
      </c>
    </row>
    <row r="243" spans="1:17" hidden="1" outlineLevel="1">
      <c r="A243" s="152" t="s">
        <v>132</v>
      </c>
      <c r="B243" s="152" t="s">
        <v>97</v>
      </c>
      <c r="C243" s="153">
        <f>IFERROR(IF(_xlfn.XLOOKUP($A243,Åmål!$A$4:$A$17,Åmål!B$4:B$17)=0,"",_xlfn.XLOOKUP($A243,Åmål!$A$4:$A$17,Åmål!B$4:B$17)),"")</f>
        <v>158</v>
      </c>
      <c r="D243" s="153">
        <f>IFERROR(IF(_xlfn.XLOOKUP($A243,Åmål!$A$4:$A$17,Åmål!C$4:C$17)=0,"",_xlfn.XLOOKUP($A243,Åmål!$A$4:$A$17,Åmål!C$4:C$17)),"")</f>
        <v>227</v>
      </c>
      <c r="E243" s="153">
        <f>IFERROR(IF(_xlfn.XLOOKUP($A243,Åmål!$A$4:$A$17,Åmål!D$4:D$17)=0,"",_xlfn.XLOOKUP($A243,Åmål!$A$4:$A$17,Åmål!D$4:D$17)),"")</f>
        <v>219</v>
      </c>
      <c r="F243" s="153">
        <f>IFERROR(IF(_xlfn.XLOOKUP($A243,Åmål!$A$4:$A$17,Åmål!E$4:E$17)=0,"",_xlfn.XLOOKUP($A243,Åmål!$A$4:$A$17,Åmål!E$4:E$17)),"")</f>
        <v>232</v>
      </c>
      <c r="G243" s="153" t="str">
        <f>IFERROR(IF(_xlfn.XLOOKUP($A243,Åmål!$A$4:$A$17,Åmål!F$4:F$17)=0,"",_xlfn.XLOOKUP($A243,Åmål!$A$4:$A$17,Åmål!F$4:F$17)),"")</f>
        <v/>
      </c>
      <c r="H243" s="153" t="str">
        <f>IFERROR(IF(_xlfn.XLOOKUP($A243,Åmål!$A$4:$A$17,Åmål!G$4:G$17)=0,"",_xlfn.XLOOKUP($A243,Åmål!$A$4:$A$17,Åmål!G$4:G$17)),"")</f>
        <v/>
      </c>
      <c r="I243" s="153" t="str">
        <f>IFERROR(IF(_xlfn.XLOOKUP($A243,Åmål!$A$4:$A$17,Åmål!H$4:H$17)=0,"",_xlfn.XLOOKUP($A243,Åmål!$A$4:$A$17,Åmål!H$4:H$17)),"")</f>
        <v/>
      </c>
      <c r="J243" s="153" t="str">
        <f>IFERROR(IF(_xlfn.XLOOKUP($A243,Åmål!$A$4:$A$17,Åmål!I$4:I$17)=0,"",_xlfn.XLOOKUP($A243,Åmål!$A$4:$A$17,Åmål!I$4:I$17)),"")</f>
        <v/>
      </c>
      <c r="K243" s="153" t="str">
        <f>IFERROR(IF(_xlfn.XLOOKUP($A243,Åmål!$A$4:$A$17,Åmål!J$4:J$17)=0,"",_xlfn.XLOOKUP($A243,Åmål!$A$4:$A$17,Åmål!J$4:J$17)),"")</f>
        <v/>
      </c>
      <c r="L243" s="153" t="str">
        <f>IFERROR(IF(_xlfn.XLOOKUP($A243,Åmål!$A$4:$A$17,Åmål!K$4:K$17)=0,"",_xlfn.XLOOKUP($A243,Åmål!$A$4:$A$17,Åmål!K$4:K$17)),"")</f>
        <v/>
      </c>
      <c r="M243" s="153" t="str">
        <f>IFERROR(IF(_xlfn.XLOOKUP($A243,Åmål!$A$4:$A$17,Åmål!L$4:L$17)=0,"",_xlfn.XLOOKUP($A243,Åmål!$A$4:$A$17,Åmål!L$4:L$17)),"")</f>
        <v/>
      </c>
      <c r="N243" s="153" t="str">
        <f>IFERROR(IF(_xlfn.XLOOKUP($A243,Åmål!$A$4:$A$17,Åmål!M$4:M$17)=0,"",_xlfn.XLOOKUP($A243,Åmål!$A$4:$A$17,Åmål!M$4:M$17)),"")</f>
        <v/>
      </c>
      <c r="O243" s="154">
        <f>IFERROR(SUM(C243:N243),0)</f>
        <v>836</v>
      </c>
      <c r="P243" s="154">
        <f>IFERROR(IF($C$98="YTD",N(O243),N(INDEX(C243:N243,MATCH($C$98,$C$220:$N$220,0)))),0)</f>
        <v>219</v>
      </c>
      <c r="Q243">
        <f>IFERROR(N(P243)*100000+(301-ROW()),0)</f>
        <v>21900058</v>
      </c>
    </row>
    <row r="244" spans="1:17" hidden="1" outlineLevel="1">
      <c r="A244" s="152" t="s">
        <v>50</v>
      </c>
      <c r="B244" s="152" t="s">
        <v>28</v>
      </c>
      <c r="C244" s="153">
        <f>IFERROR(IF(_xlfn.XLOOKUP($A244,Majorna!$A$4:$A$17,Majorna!B$4:B$17)=0,"",_xlfn.XLOOKUP($A244,Majorna!$A$4:$A$17,Majorna!B$4:B$17)),"")</f>
        <v>186</v>
      </c>
      <c r="D244" s="153">
        <f>IFERROR(IF(_xlfn.XLOOKUP($A244,Majorna!$A$4:$A$17,Majorna!C$4:C$17)=0,"",_xlfn.XLOOKUP($A244,Majorna!$A$4:$A$17,Majorna!C$4:C$17)),"")</f>
        <v>206</v>
      </c>
      <c r="E244" s="153">
        <f>IFERROR(IF(_xlfn.XLOOKUP($A244,Majorna!$A$4:$A$17,Majorna!D$4:D$17)=0,"",_xlfn.XLOOKUP($A244,Majorna!$A$4:$A$17,Majorna!D$4:D$17)),"")</f>
        <v>165</v>
      </c>
      <c r="F244" s="153">
        <f>IFERROR(IF(_xlfn.XLOOKUP($A244,Majorna!$A$4:$A$17,Majorna!E$4:E$17)=0,"",_xlfn.XLOOKUP($A244,Majorna!$A$4:$A$17,Majorna!E$4:E$17)),"")</f>
        <v>168</v>
      </c>
      <c r="G244" s="153" t="str">
        <f>IFERROR(IF(_xlfn.XLOOKUP($A244,Majorna!$A$4:$A$17,Majorna!F$4:F$17)=0,"",_xlfn.XLOOKUP($A244,Majorna!$A$4:$A$17,Majorna!F$4:F$17)),"")</f>
        <v/>
      </c>
      <c r="H244" s="153" t="str">
        <f>IFERROR(IF(_xlfn.XLOOKUP($A244,Majorna!$A$4:$A$17,Majorna!G$4:G$17)=0,"",_xlfn.XLOOKUP($A244,Majorna!$A$4:$A$17,Majorna!G$4:G$17)),"")</f>
        <v/>
      </c>
      <c r="I244" s="153" t="str">
        <f>IFERROR(IF(_xlfn.XLOOKUP($A244,Majorna!$A$4:$A$17,Majorna!H$4:H$17)=0,"",_xlfn.XLOOKUP($A244,Majorna!$A$4:$A$17,Majorna!H$4:H$17)),"")</f>
        <v/>
      </c>
      <c r="J244" s="153" t="str">
        <f>IFERROR(IF(_xlfn.XLOOKUP($A244,Majorna!$A$4:$A$17,Majorna!I$4:I$17)=0,"",_xlfn.XLOOKUP($A244,Majorna!$A$4:$A$17,Majorna!I$4:I$17)),"")</f>
        <v/>
      </c>
      <c r="K244" s="153" t="str">
        <f>IFERROR(IF(_xlfn.XLOOKUP($A244,Majorna!$A$4:$A$17,Majorna!J$4:J$17)=0,"",_xlfn.XLOOKUP($A244,Majorna!$A$4:$A$17,Majorna!J$4:J$17)),"")</f>
        <v/>
      </c>
      <c r="L244" s="153" t="str">
        <f>IFERROR(IF(_xlfn.XLOOKUP($A244,Majorna!$A$4:$A$17,Majorna!K$4:K$17)=0,"",_xlfn.XLOOKUP($A244,Majorna!$A$4:$A$17,Majorna!K$4:K$17)),"")</f>
        <v/>
      </c>
      <c r="M244" s="153" t="str">
        <f>IFERROR(IF(_xlfn.XLOOKUP($A244,Majorna!$A$4:$A$17,Majorna!L$4:L$17)=0,"",_xlfn.XLOOKUP($A244,Majorna!$A$4:$A$17,Majorna!L$4:L$17)),"")</f>
        <v/>
      </c>
      <c r="N244" s="153" t="str">
        <f>IFERROR(IF(_xlfn.XLOOKUP($A244,Majorna!$A$4:$A$17,Majorna!M$4:M$17)=0,"",_xlfn.XLOOKUP($A244,Majorna!$A$4:$A$17,Majorna!M$4:M$17)),"")</f>
        <v/>
      </c>
      <c r="O244" s="154">
        <f>IFERROR(SUM(C244:N244),0)</f>
        <v>725</v>
      </c>
      <c r="P244" s="154">
        <f>IFERROR(IF($C$98="YTD",N(O244),N(INDEX(C244:N244,MATCH($C$98,$C$220:$N$220,0)))),0)</f>
        <v>165</v>
      </c>
      <c r="Q244">
        <f>IFERROR(N(P244)*100000+(301-ROW()),0)</f>
        <v>16500057</v>
      </c>
    </row>
    <row r="245" spans="1:17" hidden="1" outlineLevel="1">
      <c r="A245" s="152" t="s">
        <v>86</v>
      </c>
      <c r="B245" s="152" t="s">
        <v>31</v>
      </c>
      <c r="C245" s="153">
        <f>IFERROR(IF(_xlfn.XLOOKUP($A245,Olskroken!$A$4:$A$17,Olskroken!B$4:B$17)=0,"",_xlfn.XLOOKUP($A245,Olskroken!$A$4:$A$17,Olskroken!B$4:B$17)),"")</f>
        <v>184</v>
      </c>
      <c r="D245" s="153">
        <f>IFERROR(IF(_xlfn.XLOOKUP($A245,Olskroken!$A$4:$A$17,Olskroken!C$4:C$17)=0,"",_xlfn.XLOOKUP($A245,Olskroken!$A$4:$A$17,Olskroken!C$4:C$17)),"")</f>
        <v>119</v>
      </c>
      <c r="E245" s="153">
        <f>IFERROR(IF(_xlfn.XLOOKUP($A245,Olskroken!$A$4:$A$17,Olskroken!D$4:D$17)=0,"",_xlfn.XLOOKUP($A245,Olskroken!$A$4:$A$17,Olskroken!D$4:D$17)),"")</f>
        <v>253</v>
      </c>
      <c r="F245" s="153">
        <f>IFERROR(IF(_xlfn.XLOOKUP($A245,Olskroken!$A$4:$A$17,Olskroken!E$4:E$17)=0,"",_xlfn.XLOOKUP($A245,Olskroken!$A$4:$A$17,Olskroken!E$4:E$17)),"")</f>
        <v>218</v>
      </c>
      <c r="G245" s="153" t="str">
        <f>IFERROR(IF(_xlfn.XLOOKUP($A245,Olskroken!$A$4:$A$17,Olskroken!F$4:F$17)=0,"",_xlfn.XLOOKUP($A245,Olskroken!$A$4:$A$17,Olskroken!F$4:F$17)),"")</f>
        <v/>
      </c>
      <c r="H245" s="153" t="str">
        <f>IFERROR(IF(_xlfn.XLOOKUP($A245,Olskroken!$A$4:$A$17,Olskroken!G$4:G$17)=0,"",_xlfn.XLOOKUP($A245,Olskroken!$A$4:$A$17,Olskroken!G$4:G$17)),"")</f>
        <v/>
      </c>
      <c r="I245" s="153" t="str">
        <f>IFERROR(IF(_xlfn.XLOOKUP($A245,Olskroken!$A$4:$A$17,Olskroken!H$4:H$17)=0,"",_xlfn.XLOOKUP($A245,Olskroken!$A$4:$A$17,Olskroken!H$4:H$17)),"")</f>
        <v/>
      </c>
      <c r="J245" s="153" t="str">
        <f>IFERROR(IF(_xlfn.XLOOKUP($A245,Olskroken!$A$4:$A$17,Olskroken!I$4:I$17)=0,"",_xlfn.XLOOKUP($A245,Olskroken!$A$4:$A$17,Olskroken!I$4:I$17)),"")</f>
        <v/>
      </c>
      <c r="K245" s="153" t="str">
        <f>IFERROR(IF(_xlfn.XLOOKUP($A245,Olskroken!$A$4:$A$17,Olskroken!J$4:J$17)=0,"",_xlfn.XLOOKUP($A245,Olskroken!$A$4:$A$17,Olskroken!J$4:J$17)),"")</f>
        <v/>
      </c>
      <c r="L245" s="153" t="str">
        <f>IFERROR(IF(_xlfn.XLOOKUP($A245,Olskroken!$A$4:$A$17,Olskroken!K$4:K$17)=0,"",_xlfn.XLOOKUP($A245,Olskroken!$A$4:$A$17,Olskroken!K$4:K$17)),"")</f>
        <v/>
      </c>
      <c r="M245" s="153" t="str">
        <f>IFERROR(IF(_xlfn.XLOOKUP($A245,Olskroken!$A$4:$A$17,Olskroken!L$4:L$17)=0,"",_xlfn.XLOOKUP($A245,Olskroken!$A$4:$A$17,Olskroken!L$4:L$17)),"")</f>
        <v/>
      </c>
      <c r="N245" s="153" t="str">
        <f>IFERROR(IF(_xlfn.XLOOKUP($A245,Olskroken!$A$4:$A$17,Olskroken!M$4:M$17)=0,"",_xlfn.XLOOKUP($A245,Olskroken!$A$4:$A$17,Olskroken!M$4:M$17)),"")</f>
        <v/>
      </c>
      <c r="O245" s="154">
        <f>IFERROR(SUM(C245:N245),0)</f>
        <v>774</v>
      </c>
      <c r="P245" s="154">
        <f>IFERROR(IF($C$98="YTD",N(O245),N(INDEX(C245:N245,MATCH($C$98,$C$220:$N$220,0)))),0)</f>
        <v>253</v>
      </c>
      <c r="Q245">
        <f>IFERROR(N(P245)*100000+(301-ROW()),0)</f>
        <v>25300056</v>
      </c>
    </row>
    <row r="246" spans="1:17" hidden="1" outlineLevel="1">
      <c r="A246" s="152" t="s">
        <v>59</v>
      </c>
      <c r="B246" s="152" t="s">
        <v>30</v>
      </c>
      <c r="C246" s="153">
        <f>IFERROR(IF(_xlfn.XLOOKUP($A246,Åby!$A$4:$A$17,Åby!B$4:B$17)=0,"",_xlfn.XLOOKUP($A246,Åby!$A$4:$A$17,Åby!B$4:B$17)),"")</f>
        <v>204</v>
      </c>
      <c r="D246" s="153">
        <f>IFERROR(IF(_xlfn.XLOOKUP($A246,Åby!$A$4:$A$17,Åby!C$4:C$17)=0,"",_xlfn.XLOOKUP($A246,Åby!$A$4:$A$17,Åby!C$4:C$17)),"")</f>
        <v>207</v>
      </c>
      <c r="E246" s="153">
        <f>IFERROR(IF(_xlfn.XLOOKUP($A246,Åby!$A$4:$A$17,Åby!D$4:D$17)=0,"",_xlfn.XLOOKUP($A246,Åby!$A$4:$A$17,Åby!D$4:D$17)),"")</f>
        <v>178</v>
      </c>
      <c r="F246" s="153">
        <f>IFERROR(IF(_xlfn.XLOOKUP($A246,Åby!$A$4:$A$17,Åby!E$4:E$17)=0,"",_xlfn.XLOOKUP($A246,Åby!$A$4:$A$17,Åby!E$4:E$17)),"")</f>
        <v>219</v>
      </c>
      <c r="G246" s="153" t="str">
        <f>IFERROR(IF(_xlfn.XLOOKUP($A246,Åby!$A$4:$A$17,Åby!F$4:F$17)=0,"",_xlfn.XLOOKUP($A246,Åby!$A$4:$A$17,Åby!F$4:F$17)),"")</f>
        <v/>
      </c>
      <c r="H246" s="153" t="str">
        <f>IFERROR(IF(_xlfn.XLOOKUP($A246,Åby!$A$4:$A$17,Åby!G$4:G$17)=0,"",_xlfn.XLOOKUP($A246,Åby!$A$4:$A$17,Åby!G$4:G$17)),"")</f>
        <v/>
      </c>
      <c r="I246" s="153" t="str">
        <f>IFERROR(IF(_xlfn.XLOOKUP($A246,Åby!$A$4:$A$17,Åby!H$4:H$17)=0,"",_xlfn.XLOOKUP($A246,Åby!$A$4:$A$17,Åby!H$4:H$17)),"")</f>
        <v/>
      </c>
      <c r="J246" s="153" t="str">
        <f>IFERROR(IF(_xlfn.XLOOKUP($A246,Åby!$A$4:$A$17,Åby!I$4:I$17)=0,"",_xlfn.XLOOKUP($A246,Åby!$A$4:$A$17,Åby!I$4:I$17)),"")</f>
        <v/>
      </c>
      <c r="K246" s="153" t="str">
        <f>IFERROR(IF(_xlfn.XLOOKUP($A246,Åby!$A$4:$A$17,Åby!J$4:J$17)=0,"",_xlfn.XLOOKUP($A246,Åby!$A$4:$A$17,Åby!J$4:J$17)),"")</f>
        <v/>
      </c>
      <c r="L246" s="153" t="str">
        <f>IFERROR(IF(_xlfn.XLOOKUP($A246,Åby!$A$4:$A$17,Åby!K$4:K$17)=0,"",_xlfn.XLOOKUP($A246,Åby!$A$4:$A$17,Åby!K$4:K$17)),"")</f>
        <v/>
      </c>
      <c r="M246" s="153" t="str">
        <f>IFERROR(IF(_xlfn.XLOOKUP($A246,Åby!$A$4:$A$17,Åby!L$4:L$17)=0,"",_xlfn.XLOOKUP($A246,Åby!$A$4:$A$17,Åby!L$4:L$17)),"")</f>
        <v/>
      </c>
      <c r="N246" s="153" t="str">
        <f>IFERROR(IF(_xlfn.XLOOKUP($A246,Åby!$A$4:$A$17,Åby!M$4:M$17)=0,"",_xlfn.XLOOKUP($A246,Åby!$A$4:$A$17,Åby!M$4:M$17)),"")</f>
        <v/>
      </c>
      <c r="O246" s="154">
        <f>IFERROR(SUM(C246:N246),0)</f>
        <v>808</v>
      </c>
      <c r="P246" s="154">
        <f>IFERROR(IF($C$98="YTD",N(O246),N(INDEX(C246:N246,MATCH($C$98,$C$220:$N$220,0)))),0)</f>
        <v>178</v>
      </c>
      <c r="Q246">
        <f>IFERROR(N(P246)*100000+(301-ROW()),0)</f>
        <v>17800055</v>
      </c>
    </row>
    <row r="247" spans="1:17" hidden="1" outlineLevel="1">
      <c r="A247" s="152" t="s">
        <v>92</v>
      </c>
      <c r="B247" s="152" t="s">
        <v>32</v>
      </c>
      <c r="C247" s="153">
        <f>IFERROR(IF(_xlfn.XLOOKUP($A247,Avenyn!$A$4:$A$17,Avenyn!B$4:B$17)=0,"",_xlfn.XLOOKUP($A247,Avenyn!$A$4:$A$17,Avenyn!B$4:B$17)),"")</f>
        <v>153</v>
      </c>
      <c r="D247" s="153">
        <f>IFERROR(IF(_xlfn.XLOOKUP($A247,Avenyn!$A$4:$A$17,Avenyn!C$4:C$17)=0,"",_xlfn.XLOOKUP($A247,Avenyn!$A$4:$A$17,Avenyn!C$4:C$17)),"")</f>
        <v>207</v>
      </c>
      <c r="E247" s="153">
        <f>IFERROR(IF(_xlfn.XLOOKUP($A247,Avenyn!$A$4:$A$17,Avenyn!D$4:D$17)=0,"",_xlfn.XLOOKUP($A247,Avenyn!$A$4:$A$17,Avenyn!D$4:D$17)),"")</f>
        <v>197</v>
      </c>
      <c r="F247" s="153">
        <f>IFERROR(IF(_xlfn.XLOOKUP($A247,Avenyn!$A$4:$A$17,Avenyn!E$4:E$17)=0,"",_xlfn.XLOOKUP($A247,Avenyn!$A$4:$A$17,Avenyn!E$4:E$17)),"")</f>
        <v>149</v>
      </c>
      <c r="G247" s="153" t="str">
        <f>IFERROR(IF(_xlfn.XLOOKUP($A247,Avenyn!$A$4:$A$17,Avenyn!F$4:F$17)=0,"",_xlfn.XLOOKUP($A247,Avenyn!$A$4:$A$17,Avenyn!F$4:F$17)),"")</f>
        <v/>
      </c>
      <c r="H247" s="153" t="str">
        <f>IFERROR(IF(_xlfn.XLOOKUP($A247,Avenyn!$A$4:$A$17,Avenyn!G$4:G$17)=0,"",_xlfn.XLOOKUP($A247,Avenyn!$A$4:$A$17,Avenyn!G$4:G$17)),"")</f>
        <v/>
      </c>
      <c r="I247" s="153" t="str">
        <f>IFERROR(IF(_xlfn.XLOOKUP($A247,Avenyn!$A$4:$A$17,Avenyn!H$4:H$17)=0,"",_xlfn.XLOOKUP($A247,Avenyn!$A$4:$A$17,Avenyn!H$4:H$17)),"")</f>
        <v/>
      </c>
      <c r="J247" s="153" t="str">
        <f>IFERROR(IF(_xlfn.XLOOKUP($A247,Avenyn!$A$4:$A$17,Avenyn!I$4:I$17)=0,"",_xlfn.XLOOKUP($A247,Avenyn!$A$4:$A$17,Avenyn!I$4:I$17)),"")</f>
        <v/>
      </c>
      <c r="K247" s="153" t="str">
        <f>IFERROR(IF(_xlfn.XLOOKUP($A247,Avenyn!$A$4:$A$17,Avenyn!J$4:J$17)=0,"",_xlfn.XLOOKUP($A247,Avenyn!$A$4:$A$17,Avenyn!J$4:J$17)),"")</f>
        <v/>
      </c>
      <c r="L247" s="153" t="str">
        <f>IFERROR(IF(_xlfn.XLOOKUP($A247,Avenyn!$A$4:$A$17,Avenyn!K$4:K$17)=0,"",_xlfn.XLOOKUP($A247,Avenyn!$A$4:$A$17,Avenyn!K$4:K$17)),"")</f>
        <v/>
      </c>
      <c r="M247" s="153" t="str">
        <f>IFERROR(IF(_xlfn.XLOOKUP($A247,Avenyn!$A$4:$A$17,Avenyn!L$4:L$17)=0,"",_xlfn.XLOOKUP($A247,Avenyn!$A$4:$A$17,Avenyn!L$4:L$17)),"")</f>
        <v/>
      </c>
      <c r="N247" s="153" t="str">
        <f>IFERROR(IF(_xlfn.XLOOKUP($A247,Avenyn!$A$4:$A$17,Avenyn!M$4:M$17)=0,"",_xlfn.XLOOKUP($A247,Avenyn!$A$4:$A$17,Avenyn!M$4:M$17)),"")</f>
        <v/>
      </c>
      <c r="O247" s="154">
        <f>IFERROR(SUM(C247:N247),0)</f>
        <v>706</v>
      </c>
      <c r="P247" s="154">
        <f>IFERROR(IF($C$98="YTD",N(O247),N(INDEX(C247:N247,MATCH($C$98,$C$220:$N$220,0)))),0)</f>
        <v>197</v>
      </c>
      <c r="Q247">
        <f>IFERROR(N(P247)*100000+(301-ROW()),0)</f>
        <v>19700054</v>
      </c>
    </row>
    <row r="248" spans="1:17" hidden="1" outlineLevel="1">
      <c r="A248" s="152" t="s">
        <v>161</v>
      </c>
      <c r="B248" s="152" t="s">
        <v>142</v>
      </c>
      <c r="C248" s="153">
        <f>IFERROR(IF(_xlfn.XLOOKUP($A248,'Brålanda-Torpa'!$A$4:$A$17,'Brålanda-Torpa'!B$4:B$17)=0,"",_xlfn.XLOOKUP($A248,'Brålanda-Torpa'!$A$4:$A$17,'Brålanda-Torpa'!B$4:B$17)),"")</f>
        <v>146</v>
      </c>
      <c r="D248" s="153">
        <f>IFERROR(IF(_xlfn.XLOOKUP($A248,'Brålanda-Torpa'!$A$4:$A$17,'Brålanda-Torpa'!C$4:C$17)=0,"",_xlfn.XLOOKUP($A248,'Brålanda-Torpa'!$A$4:$A$17,'Brålanda-Torpa'!C$4:C$17)),"")</f>
        <v>177</v>
      </c>
      <c r="E248" s="153">
        <f>IFERROR(IF(_xlfn.XLOOKUP($A248,'Brålanda-Torpa'!$A$4:$A$17,'Brålanda-Torpa'!D$4:D$17)=0,"",_xlfn.XLOOKUP($A248,'Brålanda-Torpa'!$A$4:$A$17,'Brålanda-Torpa'!D$4:D$17)),"")</f>
        <v>213</v>
      </c>
      <c r="F248" s="153">
        <f>IFERROR(IF(_xlfn.XLOOKUP($A248,'Brålanda-Torpa'!$A$4:$A$17,'Brålanda-Torpa'!E$4:E$17)=0,"",_xlfn.XLOOKUP($A248,'Brålanda-Torpa'!$A$4:$A$17,'Brålanda-Torpa'!E$4:E$17)),"")</f>
        <v>207</v>
      </c>
      <c r="G248" s="153" t="str">
        <f>IFERROR(IF(_xlfn.XLOOKUP($A248,'Brålanda-Torpa'!$A$4:$A$17,'Brålanda-Torpa'!F$4:F$17)=0,"",_xlfn.XLOOKUP($A248,'Brålanda-Torpa'!$A$4:$A$17,'Brålanda-Torpa'!F$4:F$17)),"")</f>
        <v/>
      </c>
      <c r="H248" s="153" t="str">
        <f>IFERROR(IF(_xlfn.XLOOKUP($A248,'Brålanda-Torpa'!$A$4:$A$17,'Brålanda-Torpa'!G$4:G$17)=0,"",_xlfn.XLOOKUP($A248,'Brålanda-Torpa'!$A$4:$A$17,'Brålanda-Torpa'!G$4:G$17)),"")</f>
        <v/>
      </c>
      <c r="I248" s="153" t="str">
        <f>IFERROR(IF(_xlfn.XLOOKUP($A248,'Brålanda-Torpa'!$A$4:$A$17,'Brålanda-Torpa'!H$4:H$17)=0,"",_xlfn.XLOOKUP($A248,'Brålanda-Torpa'!$A$4:$A$17,'Brålanda-Torpa'!H$4:H$17)),"")</f>
        <v/>
      </c>
      <c r="J248" s="153" t="str">
        <f>IFERROR(IF(_xlfn.XLOOKUP($A248,'Brålanda-Torpa'!$A$4:$A$17,'Brålanda-Torpa'!I$4:I$17)=0,"",_xlfn.XLOOKUP($A248,'Brålanda-Torpa'!$A$4:$A$17,'Brålanda-Torpa'!I$4:I$17)),"")</f>
        <v/>
      </c>
      <c r="K248" s="153" t="str">
        <f>IFERROR(IF(_xlfn.XLOOKUP($A248,'Brålanda-Torpa'!$A$4:$A$17,'Brålanda-Torpa'!J$4:J$17)=0,"",_xlfn.XLOOKUP($A248,'Brålanda-Torpa'!$A$4:$A$17,'Brålanda-Torpa'!J$4:J$17)),"")</f>
        <v/>
      </c>
      <c r="L248" s="153" t="str">
        <f>IFERROR(IF(_xlfn.XLOOKUP($A248,'Brålanda-Torpa'!$A$4:$A$17,'Brålanda-Torpa'!K$4:K$17)=0,"",_xlfn.XLOOKUP($A248,'Brålanda-Torpa'!$A$4:$A$17,'Brålanda-Torpa'!K$4:K$17)),"")</f>
        <v/>
      </c>
      <c r="M248" s="153" t="str">
        <f>IFERROR(IF(_xlfn.XLOOKUP($A248,'Brålanda-Torpa'!$A$4:$A$17,'Brålanda-Torpa'!L$4:L$17)=0,"",_xlfn.XLOOKUP($A248,'Brålanda-Torpa'!$A$4:$A$17,'Brålanda-Torpa'!L$4:L$17)),"")</f>
        <v/>
      </c>
      <c r="N248" s="153" t="str">
        <f>IFERROR(IF(_xlfn.XLOOKUP($A248,'Brålanda-Torpa'!$A$4:$A$17,'Brålanda-Torpa'!M$4:M$17)=0,"",_xlfn.XLOOKUP($A248,'Brålanda-Torpa'!$A$4:$A$17,'Brålanda-Torpa'!M$4:M$17)),"")</f>
        <v/>
      </c>
      <c r="O248" s="154">
        <f>IFERROR(SUM(C248:N248),0)</f>
        <v>743</v>
      </c>
      <c r="P248" s="154">
        <f>IFERROR(IF($C$98="YTD",N(O248),N(INDEX(C248:N248,MATCH($C$98,$C$220:$N$220,0)))),0)</f>
        <v>213</v>
      </c>
      <c r="Q248">
        <f>IFERROR(N(P248)*100000+(301-ROW()),0)</f>
        <v>21300053</v>
      </c>
    </row>
    <row r="249" spans="1:17" hidden="1" outlineLevel="1">
      <c r="A249" s="152" t="s">
        <v>93</v>
      </c>
      <c r="B249" s="152" t="s">
        <v>32</v>
      </c>
      <c r="C249" s="153">
        <f>IFERROR(IF(_xlfn.XLOOKUP($A249,Avenyn!$A$4:$A$17,Avenyn!B$4:B$17)=0,"",_xlfn.XLOOKUP($A249,Avenyn!$A$4:$A$17,Avenyn!B$4:B$17)),"")</f>
        <v>199</v>
      </c>
      <c r="D249" s="153">
        <f>IFERROR(IF(_xlfn.XLOOKUP($A249,Avenyn!$A$4:$A$17,Avenyn!C$4:C$17)=0,"",_xlfn.XLOOKUP($A249,Avenyn!$A$4:$A$17,Avenyn!C$4:C$17)),"")</f>
        <v>136</v>
      </c>
      <c r="E249" s="153">
        <f>IFERROR(IF(_xlfn.XLOOKUP($A249,Avenyn!$A$4:$A$17,Avenyn!D$4:D$17)=0,"",_xlfn.XLOOKUP($A249,Avenyn!$A$4:$A$17,Avenyn!D$4:D$17)),"")</f>
        <v>220</v>
      </c>
      <c r="F249" s="153">
        <f>IFERROR(IF(_xlfn.XLOOKUP($A249,Avenyn!$A$4:$A$17,Avenyn!E$4:E$17)=0,"",_xlfn.XLOOKUP($A249,Avenyn!$A$4:$A$17,Avenyn!E$4:E$17)),"")</f>
        <v>145</v>
      </c>
      <c r="G249" s="153" t="str">
        <f>IFERROR(IF(_xlfn.XLOOKUP($A249,Avenyn!$A$4:$A$17,Avenyn!F$4:F$17)=0,"",_xlfn.XLOOKUP($A249,Avenyn!$A$4:$A$17,Avenyn!F$4:F$17)),"")</f>
        <v/>
      </c>
      <c r="H249" s="153" t="str">
        <f>IFERROR(IF(_xlfn.XLOOKUP($A249,Avenyn!$A$4:$A$17,Avenyn!G$4:G$17)=0,"",_xlfn.XLOOKUP($A249,Avenyn!$A$4:$A$17,Avenyn!G$4:G$17)),"")</f>
        <v/>
      </c>
      <c r="I249" s="153" t="str">
        <f>IFERROR(IF(_xlfn.XLOOKUP($A249,Avenyn!$A$4:$A$17,Avenyn!H$4:H$17)=0,"",_xlfn.XLOOKUP($A249,Avenyn!$A$4:$A$17,Avenyn!H$4:H$17)),"")</f>
        <v/>
      </c>
      <c r="J249" s="153" t="str">
        <f>IFERROR(IF(_xlfn.XLOOKUP($A249,Avenyn!$A$4:$A$17,Avenyn!I$4:I$17)=0,"",_xlfn.XLOOKUP($A249,Avenyn!$A$4:$A$17,Avenyn!I$4:I$17)),"")</f>
        <v/>
      </c>
      <c r="K249" s="153" t="str">
        <f>IFERROR(IF(_xlfn.XLOOKUP($A249,Avenyn!$A$4:$A$17,Avenyn!J$4:J$17)=0,"",_xlfn.XLOOKUP($A249,Avenyn!$A$4:$A$17,Avenyn!J$4:J$17)),"")</f>
        <v/>
      </c>
      <c r="L249" s="153" t="str">
        <f>IFERROR(IF(_xlfn.XLOOKUP($A249,Avenyn!$A$4:$A$17,Avenyn!K$4:K$17)=0,"",_xlfn.XLOOKUP($A249,Avenyn!$A$4:$A$17,Avenyn!K$4:K$17)),"")</f>
        <v/>
      </c>
      <c r="M249" s="153" t="str">
        <f>IFERROR(IF(_xlfn.XLOOKUP($A249,Avenyn!$A$4:$A$17,Avenyn!L$4:L$17)=0,"",_xlfn.XLOOKUP($A249,Avenyn!$A$4:$A$17,Avenyn!L$4:L$17)),"")</f>
        <v/>
      </c>
      <c r="N249" s="153" t="str">
        <f>IFERROR(IF(_xlfn.XLOOKUP($A249,Avenyn!$A$4:$A$17,Avenyn!M$4:M$17)=0,"",_xlfn.XLOOKUP($A249,Avenyn!$A$4:$A$17,Avenyn!M$4:M$17)),"")</f>
        <v/>
      </c>
      <c r="O249" s="154">
        <f>IFERROR(SUM(C249:N249),0)</f>
        <v>700</v>
      </c>
      <c r="P249" s="154">
        <f>IFERROR(IF($C$98="YTD",N(O249),N(INDEX(C249:N249,MATCH($C$98,$C$220:$N$220,0)))),0)</f>
        <v>220</v>
      </c>
      <c r="Q249">
        <f>IFERROR(N(P249)*100000+(301-ROW()),0)</f>
        <v>22000052</v>
      </c>
    </row>
    <row r="250" spans="1:17" hidden="1" outlineLevel="1">
      <c r="A250" s="152" t="s">
        <v>37</v>
      </c>
      <c r="B250" s="152" t="s">
        <v>29</v>
      </c>
      <c r="C250" s="153">
        <f>IFERROR(IF(_xlfn.XLOOKUP($A250,'Pedagogen Park'!$A$4:$A$17,'Pedagogen Park'!B$4:B$17)=0,"",_xlfn.XLOOKUP($A250,'Pedagogen Park'!$A$4:$A$17,'Pedagogen Park'!B$4:B$17)),"")</f>
        <v>99</v>
      </c>
      <c r="D250" s="153">
        <f>IFERROR(IF(_xlfn.XLOOKUP($A250,'Pedagogen Park'!$A$4:$A$17,'Pedagogen Park'!C$4:C$17)=0,"",_xlfn.XLOOKUP($A250,'Pedagogen Park'!$A$4:$A$17,'Pedagogen Park'!C$4:C$17)),"")</f>
        <v>167</v>
      </c>
      <c r="E250" s="153">
        <f>IFERROR(IF(_xlfn.XLOOKUP($A250,'Pedagogen Park'!$A$4:$A$17,'Pedagogen Park'!D$4:D$17)=0,"",_xlfn.XLOOKUP($A250,'Pedagogen Park'!$A$4:$A$17,'Pedagogen Park'!D$4:D$17)),"")</f>
        <v>255</v>
      </c>
      <c r="F250" s="153">
        <f>IFERROR(IF(_xlfn.XLOOKUP($A250,'Pedagogen Park'!$A$4:$A$17,'Pedagogen Park'!E$4:E$17)=0,"",_xlfn.XLOOKUP($A250,'Pedagogen Park'!$A$4:$A$17,'Pedagogen Park'!E$4:E$17)),"")</f>
        <v>143</v>
      </c>
      <c r="G250" s="153" t="str">
        <f>IFERROR(IF(_xlfn.XLOOKUP($A250,'Pedagogen Park'!$A$4:$A$17,'Pedagogen Park'!F$4:F$17)=0,"",_xlfn.XLOOKUP($A250,'Pedagogen Park'!$A$4:$A$17,'Pedagogen Park'!F$4:F$17)),"")</f>
        <v/>
      </c>
      <c r="H250" s="153" t="str">
        <f>IFERROR(IF(_xlfn.XLOOKUP($A250,'Pedagogen Park'!$A$4:$A$17,'Pedagogen Park'!G$4:G$17)=0,"",_xlfn.XLOOKUP($A250,'Pedagogen Park'!$A$4:$A$17,'Pedagogen Park'!G$4:G$17)),"")</f>
        <v/>
      </c>
      <c r="I250" s="153" t="str">
        <f>IFERROR(IF(_xlfn.XLOOKUP($A250,'Pedagogen Park'!$A$4:$A$17,'Pedagogen Park'!H$4:H$17)=0,"",_xlfn.XLOOKUP($A250,'Pedagogen Park'!$A$4:$A$17,'Pedagogen Park'!H$4:H$17)),"")</f>
        <v/>
      </c>
      <c r="J250" s="153" t="str">
        <f>IFERROR(IF(_xlfn.XLOOKUP($A250,'Pedagogen Park'!$A$4:$A$17,'Pedagogen Park'!I$4:I$17)=0,"",_xlfn.XLOOKUP($A250,'Pedagogen Park'!$A$4:$A$17,'Pedagogen Park'!I$4:I$17)),"")</f>
        <v/>
      </c>
      <c r="K250" s="153" t="str">
        <f>IFERROR(IF(_xlfn.XLOOKUP($A250,'Pedagogen Park'!$A$4:$A$17,'Pedagogen Park'!J$4:J$17)=0,"",_xlfn.XLOOKUP($A250,'Pedagogen Park'!$A$4:$A$17,'Pedagogen Park'!J$4:J$17)),"")</f>
        <v/>
      </c>
      <c r="L250" s="153" t="str">
        <f>IFERROR(IF(_xlfn.XLOOKUP($A250,'Pedagogen Park'!$A$4:$A$17,'Pedagogen Park'!K$4:K$17)=0,"",_xlfn.XLOOKUP($A250,'Pedagogen Park'!$A$4:$A$17,'Pedagogen Park'!K$4:K$17)),"")</f>
        <v/>
      </c>
      <c r="M250" s="153" t="str">
        <f>IFERROR(IF(_xlfn.XLOOKUP($A250,'Pedagogen Park'!$A$4:$A$17,'Pedagogen Park'!L$4:L$17)=0,"",_xlfn.XLOOKUP($A250,'Pedagogen Park'!$A$4:$A$17,'Pedagogen Park'!L$4:L$17)),"")</f>
        <v/>
      </c>
      <c r="N250" s="153" t="str">
        <f>IFERROR(IF(_xlfn.XLOOKUP($A250,'Pedagogen Park'!$A$4:$A$17,'Pedagogen Park'!M$4:M$17)=0,"",_xlfn.XLOOKUP($A250,'Pedagogen Park'!$A$4:$A$17,'Pedagogen Park'!M$4:M$17)),"")</f>
        <v/>
      </c>
      <c r="O250" s="154">
        <f>IFERROR(SUM(C250:N250),0)</f>
        <v>664</v>
      </c>
      <c r="P250" s="154">
        <f>IFERROR(IF($C$98="YTD",N(O250),N(INDEX(C250:N250,MATCH($C$98,$C$220:$N$220,0)))),0)</f>
        <v>255</v>
      </c>
      <c r="Q250">
        <f>IFERROR(N(P250)*100000+(301-ROW()),0)</f>
        <v>25500051</v>
      </c>
    </row>
    <row r="251" spans="1:17" hidden="1" outlineLevel="1">
      <c r="A251" s="152" t="s">
        <v>115</v>
      </c>
      <c r="B251" s="152" t="s">
        <v>181</v>
      </c>
      <c r="C251" s="153">
        <f>IFERROR(IF(_xlfn.XLOOKUP($A251,Noltrop!$A$4:$A$17,Noltrop!B$4:B$17)=0,"",_xlfn.XLOOKUP($A251,Noltrop!$A$4:$A$17,Noltrop!B$4:B$17)),"")</f>
        <v>163</v>
      </c>
      <c r="D251" s="153">
        <f>IFERROR(IF(_xlfn.XLOOKUP($A251,Noltrop!$A$4:$A$17,Noltrop!C$4:C$17)=0,"",_xlfn.XLOOKUP($A251,Noltrop!$A$4:$A$17,Noltrop!C$4:C$17)),"")</f>
        <v>82</v>
      </c>
      <c r="E251" s="153">
        <f>IFERROR(IF(_xlfn.XLOOKUP($A251,Noltrop!$A$4:$A$17,Noltrop!D$4:D$17)=0,"",_xlfn.XLOOKUP($A251,Noltrop!$A$4:$A$17,Noltrop!D$4:D$17)),"")</f>
        <v>224</v>
      </c>
      <c r="F251" s="153">
        <f>IFERROR(IF(_xlfn.XLOOKUP($A251,Noltrop!$A$4:$A$17,Noltrop!E$4:E$17)=0,"",_xlfn.XLOOKUP($A251,Noltrop!$A$4:$A$17,Noltrop!E$4:E$17)),"")</f>
        <v>194</v>
      </c>
      <c r="G251" s="153" t="str">
        <f>IFERROR(IF(_xlfn.XLOOKUP($A251,Noltrop!$A$4:$A$17,Noltrop!F$4:F$17)=0,"",_xlfn.XLOOKUP($A251,Noltrop!$A$4:$A$17,Noltrop!F$4:F$17)),"")</f>
        <v/>
      </c>
      <c r="H251" s="153" t="str">
        <f>IFERROR(IF(_xlfn.XLOOKUP($A251,Noltrop!$A$4:$A$17,Noltrop!G$4:G$17)=0,"",_xlfn.XLOOKUP($A251,Noltrop!$A$4:$A$17,Noltrop!G$4:G$17)),"")</f>
        <v/>
      </c>
      <c r="I251" s="153" t="str">
        <f>IFERROR(IF(_xlfn.XLOOKUP($A251,Noltrop!$A$4:$A$17,Noltrop!H$4:H$17)=0,"",_xlfn.XLOOKUP($A251,Noltrop!$A$4:$A$17,Noltrop!H$4:H$17)),"")</f>
        <v/>
      </c>
      <c r="J251" s="153" t="str">
        <f>IFERROR(IF(_xlfn.XLOOKUP($A251,Noltrop!$A$4:$A$17,Noltrop!I$4:I$17)=0,"",_xlfn.XLOOKUP($A251,Noltrop!$A$4:$A$17,Noltrop!I$4:I$17)),"")</f>
        <v/>
      </c>
      <c r="K251" s="153" t="str">
        <f>IFERROR(IF(_xlfn.XLOOKUP($A251,Noltrop!$A$4:$A$17,Noltrop!J$4:J$17)=0,"",_xlfn.XLOOKUP($A251,Noltrop!$A$4:$A$17,Noltrop!J$4:J$17)),"")</f>
        <v/>
      </c>
      <c r="L251" s="153" t="str">
        <f>IFERROR(IF(_xlfn.XLOOKUP($A251,Noltrop!$A$4:$A$17,Noltrop!K$4:K$17)=0,"",_xlfn.XLOOKUP($A251,Noltrop!$A$4:$A$17,Noltrop!K$4:K$17)),"")</f>
        <v/>
      </c>
      <c r="M251" s="153" t="str">
        <f>IFERROR(IF(_xlfn.XLOOKUP($A251,Noltrop!$A$4:$A$17,Noltrop!L$4:L$17)=0,"",_xlfn.XLOOKUP($A251,Noltrop!$A$4:$A$17,Noltrop!L$4:L$17)),"")</f>
        <v/>
      </c>
      <c r="N251" s="153" t="str">
        <f>IFERROR(IF(_xlfn.XLOOKUP($A251,Noltrop!$A$4:$A$17,Noltrop!M$4:M$17)=0,"",_xlfn.XLOOKUP($A251,Noltrop!$A$4:$A$17,Noltrop!M$4:M$17)),"")</f>
        <v/>
      </c>
      <c r="O251" s="154">
        <f>IFERROR(SUM(C251:N251),0)</f>
        <v>663</v>
      </c>
      <c r="P251" s="154">
        <f>IFERROR(IF($C$98="YTD",N(O251),N(INDEX(C251:N251,MATCH($C$98,$C$220:$N$220,0)))),0)</f>
        <v>224</v>
      </c>
      <c r="Q251">
        <f>IFERROR(N(P251)*100000+(301-ROW()),0)</f>
        <v>22400050</v>
      </c>
    </row>
    <row r="252" spans="1:17" hidden="1" outlineLevel="1">
      <c r="A252" s="152" t="s">
        <v>164</v>
      </c>
      <c r="B252" s="152" t="s">
        <v>95</v>
      </c>
      <c r="C252" s="153">
        <f>IFERROR(IF(_xlfn.XLOOKUP($A252,'Lilla Edet'!$A$4:$A$17,'Lilla Edet'!B$4:B$17)=0,"",_xlfn.XLOOKUP($A252,'Lilla Edet'!$A$4:$A$17,'Lilla Edet'!B$4:B$17)),"")</f>
        <v>227</v>
      </c>
      <c r="D252" s="153">
        <f>IFERROR(IF(_xlfn.XLOOKUP($A252,'Lilla Edet'!$A$4:$A$17,'Lilla Edet'!C$4:C$17)=0,"",_xlfn.XLOOKUP($A252,'Lilla Edet'!$A$4:$A$17,'Lilla Edet'!C$4:C$17)),"")</f>
        <v>197</v>
      </c>
      <c r="E252" s="153" t="str">
        <f>IFERROR(IF(_xlfn.XLOOKUP($A252,'Lilla Edet'!$A$4:$A$17,'Lilla Edet'!D$4:D$17)=0,"",_xlfn.XLOOKUP($A252,'Lilla Edet'!$A$4:$A$17,'Lilla Edet'!D$4:D$17)),"")</f>
        <v/>
      </c>
      <c r="F252" s="153" t="str">
        <f>IFERROR(IF(_xlfn.XLOOKUP($A252,'Lilla Edet'!$A$4:$A$17,'Lilla Edet'!E$4:E$17)=0,"",_xlfn.XLOOKUP($A252,'Lilla Edet'!$A$4:$A$17,'Lilla Edet'!E$4:E$17)),"")</f>
        <v/>
      </c>
      <c r="G252" s="153" t="str">
        <f>IFERROR(IF(_xlfn.XLOOKUP($A252,'Lilla Edet'!$A$4:$A$17,'Lilla Edet'!F$4:F$17)=0,"",_xlfn.XLOOKUP($A252,'Lilla Edet'!$A$4:$A$17,'Lilla Edet'!F$4:F$17)),"")</f>
        <v/>
      </c>
      <c r="H252" s="153" t="str">
        <f>IFERROR(IF(_xlfn.XLOOKUP($A252,'Lilla Edet'!$A$4:$A$17,'Lilla Edet'!G$4:G$17)=0,"",_xlfn.XLOOKUP($A252,'Lilla Edet'!$A$4:$A$17,'Lilla Edet'!G$4:G$17)),"")</f>
        <v/>
      </c>
      <c r="I252" s="153" t="str">
        <f>IFERROR(IF(_xlfn.XLOOKUP($A252,'Lilla Edet'!$A$4:$A$17,'Lilla Edet'!H$4:H$17)=0,"",_xlfn.XLOOKUP($A252,'Lilla Edet'!$A$4:$A$17,'Lilla Edet'!H$4:H$17)),"")</f>
        <v/>
      </c>
      <c r="J252" s="153" t="str">
        <f>IFERROR(IF(_xlfn.XLOOKUP($A252,'Lilla Edet'!$A$4:$A$17,'Lilla Edet'!I$4:I$17)=0,"",_xlfn.XLOOKUP($A252,'Lilla Edet'!$A$4:$A$17,'Lilla Edet'!I$4:I$17)),"")</f>
        <v/>
      </c>
      <c r="K252" s="153" t="str">
        <f>IFERROR(IF(_xlfn.XLOOKUP($A252,'Lilla Edet'!$A$4:$A$17,'Lilla Edet'!J$4:J$17)=0,"",_xlfn.XLOOKUP($A252,'Lilla Edet'!$A$4:$A$17,'Lilla Edet'!J$4:J$17)),"")</f>
        <v/>
      </c>
      <c r="L252" s="153" t="str">
        <f>IFERROR(IF(_xlfn.XLOOKUP($A252,'Lilla Edet'!$A$4:$A$17,'Lilla Edet'!K$4:K$17)=0,"",_xlfn.XLOOKUP($A252,'Lilla Edet'!$A$4:$A$17,'Lilla Edet'!K$4:K$17)),"")</f>
        <v/>
      </c>
      <c r="M252" s="153" t="str">
        <f>IFERROR(IF(_xlfn.XLOOKUP($A252,'Lilla Edet'!$A$4:$A$17,'Lilla Edet'!L$4:L$17)=0,"",_xlfn.XLOOKUP($A252,'Lilla Edet'!$A$4:$A$17,'Lilla Edet'!L$4:L$17)),"")</f>
        <v/>
      </c>
      <c r="N252" s="153" t="str">
        <f>IFERROR(IF(_xlfn.XLOOKUP($A252,'Lilla Edet'!$A$4:$A$17,'Lilla Edet'!M$4:M$17)=0,"",_xlfn.XLOOKUP($A252,'Lilla Edet'!$A$4:$A$17,'Lilla Edet'!M$4:M$17)),"")</f>
        <v/>
      </c>
      <c r="O252" s="154">
        <f>IFERROR(SUM(C252:N252),0)</f>
        <v>424</v>
      </c>
      <c r="P252" s="154">
        <f>IFERROR(IF($C$98="YTD",N(O252),N(INDEX(C252:N252,MATCH($C$98,$C$220:$N$220,0)))),0)</f>
        <v>0</v>
      </c>
      <c r="Q252">
        <f>IFERROR(N(P252)*100000+(301-ROW()),0)</f>
        <v>49</v>
      </c>
    </row>
    <row r="253" spans="1:17" hidden="1" outlineLevel="1">
      <c r="A253" s="152" t="s">
        <v>51</v>
      </c>
      <c r="B253" s="152" t="s">
        <v>28</v>
      </c>
      <c r="C253" s="153">
        <f>IFERROR(IF(_xlfn.XLOOKUP($A253,Majorna!$A$4:$A$17,Majorna!B$4:B$17)=0,"",_xlfn.XLOOKUP($A253,Majorna!$A$4:$A$17,Majorna!B$4:B$17)),"")</f>
        <v>151</v>
      </c>
      <c r="D253" s="153">
        <f>IFERROR(IF(_xlfn.XLOOKUP($A253,Majorna!$A$4:$A$17,Majorna!C$4:C$17)=0,"",_xlfn.XLOOKUP($A253,Majorna!$A$4:$A$17,Majorna!C$4:C$17)),"")</f>
        <v>163</v>
      </c>
      <c r="E253" s="153">
        <f>IFERROR(IF(_xlfn.XLOOKUP($A253,Majorna!$A$4:$A$17,Majorna!D$4:D$17)=0,"",_xlfn.XLOOKUP($A253,Majorna!$A$4:$A$17,Majorna!D$4:D$17)),"")</f>
        <v>216</v>
      </c>
      <c r="F253" s="153">
        <f>IFERROR(IF(_xlfn.XLOOKUP($A253,Majorna!$A$4:$A$17,Majorna!E$4:E$17)=0,"",_xlfn.XLOOKUP($A253,Majorna!$A$4:$A$17,Majorna!E$4:E$17)),"")</f>
        <v>169</v>
      </c>
      <c r="G253" s="153" t="str">
        <f>IFERROR(IF(_xlfn.XLOOKUP($A253,Majorna!$A$4:$A$17,Majorna!F$4:F$17)=0,"",_xlfn.XLOOKUP($A253,Majorna!$A$4:$A$17,Majorna!F$4:F$17)),"")</f>
        <v/>
      </c>
      <c r="H253" s="153" t="str">
        <f>IFERROR(IF(_xlfn.XLOOKUP($A253,Majorna!$A$4:$A$17,Majorna!G$4:G$17)=0,"",_xlfn.XLOOKUP($A253,Majorna!$A$4:$A$17,Majorna!G$4:G$17)),"")</f>
        <v/>
      </c>
      <c r="I253" s="153" t="str">
        <f>IFERROR(IF(_xlfn.XLOOKUP($A253,Majorna!$A$4:$A$17,Majorna!H$4:H$17)=0,"",_xlfn.XLOOKUP($A253,Majorna!$A$4:$A$17,Majorna!H$4:H$17)),"")</f>
        <v/>
      </c>
      <c r="J253" s="153" t="str">
        <f>IFERROR(IF(_xlfn.XLOOKUP($A253,Majorna!$A$4:$A$17,Majorna!I$4:I$17)=0,"",_xlfn.XLOOKUP($A253,Majorna!$A$4:$A$17,Majorna!I$4:I$17)),"")</f>
        <v/>
      </c>
      <c r="K253" s="153" t="str">
        <f>IFERROR(IF(_xlfn.XLOOKUP($A253,Majorna!$A$4:$A$17,Majorna!J$4:J$17)=0,"",_xlfn.XLOOKUP($A253,Majorna!$A$4:$A$17,Majorna!J$4:J$17)),"")</f>
        <v/>
      </c>
      <c r="L253" s="153" t="str">
        <f>IFERROR(IF(_xlfn.XLOOKUP($A253,Majorna!$A$4:$A$17,Majorna!K$4:K$17)=0,"",_xlfn.XLOOKUP($A253,Majorna!$A$4:$A$17,Majorna!K$4:K$17)),"")</f>
        <v/>
      </c>
      <c r="M253" s="153" t="str">
        <f>IFERROR(IF(_xlfn.XLOOKUP($A253,Majorna!$A$4:$A$17,Majorna!L$4:L$17)=0,"",_xlfn.XLOOKUP($A253,Majorna!$A$4:$A$17,Majorna!L$4:L$17)),"")</f>
        <v/>
      </c>
      <c r="N253" s="153" t="str">
        <f>IFERROR(IF(_xlfn.XLOOKUP($A253,Majorna!$A$4:$A$17,Majorna!M$4:M$17)=0,"",_xlfn.XLOOKUP($A253,Majorna!$A$4:$A$17,Majorna!M$4:M$17)),"")</f>
        <v/>
      </c>
      <c r="O253" s="154">
        <f>IFERROR(SUM(C253:N253),0)</f>
        <v>699</v>
      </c>
      <c r="P253" s="154">
        <f>IFERROR(IF($C$98="YTD",N(O253),N(INDEX(C253:N253,MATCH($C$98,$C$220:$N$220,0)))),0)</f>
        <v>216</v>
      </c>
      <c r="Q253">
        <f>IFERROR(N(P253)*100000+(301-ROW()),0)</f>
        <v>21600048</v>
      </c>
    </row>
    <row r="254" spans="1:17" hidden="1" outlineLevel="1">
      <c r="A254" s="152" t="s">
        <v>117</v>
      </c>
      <c r="B254" s="152" t="s">
        <v>181</v>
      </c>
      <c r="C254" s="153">
        <f>IFERROR(IF(_xlfn.XLOOKUP($A254,Noltrop!$A$4:$A$17,Noltrop!B$4:B$17)=0,"",_xlfn.XLOOKUP($A254,Noltrop!$A$4:$A$17,Noltrop!B$4:B$17)),"")</f>
        <v>50</v>
      </c>
      <c r="D254" s="153">
        <f>IFERROR(IF(_xlfn.XLOOKUP($A254,Noltrop!$A$4:$A$17,Noltrop!C$4:C$17)=0,"",_xlfn.XLOOKUP($A254,Noltrop!$A$4:$A$17,Noltrop!C$4:C$17)),"")</f>
        <v>129</v>
      </c>
      <c r="E254" s="153">
        <f>IFERROR(IF(_xlfn.XLOOKUP($A254,Noltrop!$A$4:$A$17,Noltrop!D$4:D$17)=0,"",_xlfn.XLOOKUP($A254,Noltrop!$A$4:$A$17,Noltrop!D$4:D$17)),"")</f>
        <v>235</v>
      </c>
      <c r="F254" s="153">
        <f>IFERROR(IF(_xlfn.XLOOKUP($A254,Noltrop!$A$4:$A$17,Noltrop!E$4:E$17)=0,"",_xlfn.XLOOKUP($A254,Noltrop!$A$4:$A$17,Noltrop!E$4:E$17)),"")</f>
        <v>183</v>
      </c>
      <c r="G254" s="153" t="str">
        <f>IFERROR(IF(_xlfn.XLOOKUP($A254,Noltrop!$A$4:$A$17,Noltrop!F$4:F$17)=0,"",_xlfn.XLOOKUP($A254,Noltrop!$A$4:$A$17,Noltrop!F$4:F$17)),"")</f>
        <v/>
      </c>
      <c r="H254" s="153" t="str">
        <f>IFERROR(IF(_xlfn.XLOOKUP($A254,Noltrop!$A$4:$A$17,Noltrop!G$4:G$17)=0,"",_xlfn.XLOOKUP($A254,Noltrop!$A$4:$A$17,Noltrop!G$4:G$17)),"")</f>
        <v/>
      </c>
      <c r="I254" s="153" t="str">
        <f>IFERROR(IF(_xlfn.XLOOKUP($A254,Noltrop!$A$4:$A$17,Noltrop!H$4:H$17)=0,"",_xlfn.XLOOKUP($A254,Noltrop!$A$4:$A$17,Noltrop!H$4:H$17)),"")</f>
        <v/>
      </c>
      <c r="J254" s="153" t="str">
        <f>IFERROR(IF(_xlfn.XLOOKUP($A254,Noltrop!$A$4:$A$17,Noltrop!I$4:I$17)=0,"",_xlfn.XLOOKUP($A254,Noltrop!$A$4:$A$17,Noltrop!I$4:I$17)),"")</f>
        <v/>
      </c>
      <c r="K254" s="153" t="str">
        <f>IFERROR(IF(_xlfn.XLOOKUP($A254,Noltrop!$A$4:$A$17,Noltrop!J$4:J$17)=0,"",_xlfn.XLOOKUP($A254,Noltrop!$A$4:$A$17,Noltrop!J$4:J$17)),"")</f>
        <v/>
      </c>
      <c r="L254" s="153" t="str">
        <f>IFERROR(IF(_xlfn.XLOOKUP($A254,Noltrop!$A$4:$A$17,Noltrop!K$4:K$17)=0,"",_xlfn.XLOOKUP($A254,Noltrop!$A$4:$A$17,Noltrop!K$4:K$17)),"")</f>
        <v/>
      </c>
      <c r="M254" s="153" t="str">
        <f>IFERROR(IF(_xlfn.XLOOKUP($A254,Noltrop!$A$4:$A$17,Noltrop!L$4:L$17)=0,"",_xlfn.XLOOKUP($A254,Noltrop!$A$4:$A$17,Noltrop!L$4:L$17)),"")</f>
        <v/>
      </c>
      <c r="N254" s="153" t="str">
        <f>IFERROR(IF(_xlfn.XLOOKUP($A254,Noltrop!$A$4:$A$17,Noltrop!M$4:M$17)=0,"",_xlfn.XLOOKUP($A254,Noltrop!$A$4:$A$17,Noltrop!M$4:M$17)),"")</f>
        <v/>
      </c>
      <c r="O254" s="154">
        <f>IFERROR(SUM(C254:N254),0)</f>
        <v>597</v>
      </c>
      <c r="P254" s="154">
        <f>IFERROR(IF($C$98="YTD",N(O254),N(INDEX(C254:N254,MATCH($C$98,$C$220:$N$220,0)))),0)</f>
        <v>235</v>
      </c>
      <c r="Q254">
        <f>IFERROR(N(P254)*100000+(301-ROW()),0)</f>
        <v>23500047</v>
      </c>
    </row>
    <row r="255" spans="1:17" hidden="1" outlineLevel="1">
      <c r="A255" s="152" t="s">
        <v>188</v>
      </c>
      <c r="B255" s="152" t="s">
        <v>141</v>
      </c>
      <c r="C255" s="153" t="str">
        <f>IFERROR(IF(_xlfn.XLOOKUP($A255,'Tanum och Fjällbacka'!$A$4:$A$17,'Tanum och Fjällbacka'!B$4:B$17)=0,"",_xlfn.XLOOKUP($A255,'Tanum och Fjällbacka'!$A$4:$A$17,'Tanum och Fjällbacka'!B$4:B$17)),"")</f>
        <v/>
      </c>
      <c r="D255" s="153" t="str">
        <f>IFERROR(IF(_xlfn.XLOOKUP($A255,'Tanum och Fjällbacka'!$A$4:$A$17,'Tanum och Fjällbacka'!C$4:C$17)=0,"",_xlfn.XLOOKUP($A255,'Tanum och Fjällbacka'!$A$4:$A$17,'Tanum och Fjällbacka'!C$4:C$17)),"")</f>
        <v/>
      </c>
      <c r="E255" s="153" t="str">
        <f>IFERROR(IF(_xlfn.XLOOKUP($A255,'Tanum och Fjällbacka'!$A$4:$A$17,'Tanum och Fjällbacka'!D$4:D$17)=0,"",_xlfn.XLOOKUP($A255,'Tanum och Fjällbacka'!$A$4:$A$17,'Tanum och Fjällbacka'!D$4:D$17)),"")</f>
        <v/>
      </c>
      <c r="F255" s="153" t="str">
        <f>IFERROR(IF(_xlfn.XLOOKUP($A255,'Tanum och Fjällbacka'!$A$4:$A$17,'Tanum och Fjällbacka'!E$4:E$17)=0,"",_xlfn.XLOOKUP($A255,'Tanum och Fjällbacka'!$A$4:$A$17,'Tanum och Fjällbacka'!E$4:E$17)),"")</f>
        <v/>
      </c>
      <c r="G255" s="153" t="str">
        <f>IFERROR(IF(_xlfn.XLOOKUP($A255,'Tanum och Fjällbacka'!$A$4:$A$17,'Tanum och Fjällbacka'!F$4:F$17)=0,"",_xlfn.XLOOKUP($A255,'Tanum och Fjällbacka'!$A$4:$A$17,'Tanum och Fjällbacka'!F$4:F$17)),"")</f>
        <v/>
      </c>
      <c r="H255" s="153" t="str">
        <f>IFERROR(IF(_xlfn.XLOOKUP($A255,'Tanum och Fjällbacka'!$A$4:$A$17,'Tanum och Fjällbacka'!G$4:G$17)=0,"",_xlfn.XLOOKUP($A255,'Tanum och Fjällbacka'!$A$4:$A$17,'Tanum och Fjällbacka'!G$4:G$17)),"")</f>
        <v/>
      </c>
      <c r="I255" s="153" t="str">
        <f>IFERROR(IF(_xlfn.XLOOKUP($A255,'Tanum och Fjällbacka'!$A$4:$A$17,'Tanum och Fjällbacka'!H$4:H$17)=0,"",_xlfn.XLOOKUP($A255,'Tanum och Fjällbacka'!$A$4:$A$17,'Tanum och Fjällbacka'!H$4:H$17)),"")</f>
        <v/>
      </c>
      <c r="J255" s="153" t="str">
        <f>IFERROR(IF(_xlfn.XLOOKUP($A255,'Tanum och Fjällbacka'!$A$4:$A$17,'Tanum och Fjällbacka'!I$4:I$17)=0,"",_xlfn.XLOOKUP($A255,'Tanum och Fjällbacka'!$A$4:$A$17,'Tanum och Fjällbacka'!I$4:I$17)),"")</f>
        <v/>
      </c>
      <c r="K255" s="153" t="str">
        <f>IFERROR(IF(_xlfn.XLOOKUP($A255,'Tanum och Fjällbacka'!$A$4:$A$17,'Tanum och Fjällbacka'!J$4:J$17)=0,"",_xlfn.XLOOKUP($A255,'Tanum och Fjällbacka'!$A$4:$A$17,'Tanum och Fjällbacka'!J$4:J$17)),"")</f>
        <v/>
      </c>
      <c r="L255" s="153" t="str">
        <f>IFERROR(IF(_xlfn.XLOOKUP($A255,'Tanum och Fjällbacka'!$A$4:$A$17,'Tanum och Fjällbacka'!K$4:K$17)=0,"",_xlfn.XLOOKUP($A255,'Tanum och Fjällbacka'!$A$4:$A$17,'Tanum och Fjällbacka'!K$4:K$17)),"")</f>
        <v/>
      </c>
      <c r="M255" s="153" t="str">
        <f>IFERROR(IF(_xlfn.XLOOKUP($A255,'Tanum och Fjällbacka'!$A$4:$A$17,'Tanum och Fjällbacka'!L$4:L$17)=0,"",_xlfn.XLOOKUP($A255,'Tanum och Fjällbacka'!$A$4:$A$17,'Tanum och Fjällbacka'!L$4:L$17)),"")</f>
        <v/>
      </c>
      <c r="N255" s="153" t="str">
        <f>IFERROR(IF(_xlfn.XLOOKUP($A255,'Tanum och Fjällbacka'!$A$4:$A$17,'Tanum och Fjällbacka'!M$4:M$17)=0,"",_xlfn.XLOOKUP($A255,'Tanum och Fjällbacka'!$A$4:$A$17,'Tanum och Fjällbacka'!M$4:M$17)),"")</f>
        <v/>
      </c>
      <c r="O255" s="154">
        <f>IFERROR(SUM(C255:N255),0)</f>
        <v>0</v>
      </c>
      <c r="P255" s="154">
        <f>IFERROR(IF($C$98="YTD",N(O255),N(INDEX(C255:N255,MATCH($C$98,$C$220:$N$220,0)))),0)</f>
        <v>0</v>
      </c>
      <c r="Q255">
        <f>IFERROR(N(P255)*100000+(301-ROW()),0)</f>
        <v>46</v>
      </c>
    </row>
    <row r="256" spans="1:17" hidden="1" outlineLevel="1">
      <c r="A256" s="152" t="s">
        <v>36</v>
      </c>
      <c r="B256" s="152" t="s">
        <v>29</v>
      </c>
      <c r="C256" s="153">
        <f>IFERROR(IF(_xlfn.XLOOKUP($A256,'Pedagogen Park'!$A$4:$A$17,'Pedagogen Park'!B$4:B$17)=0,"",_xlfn.XLOOKUP($A256,'Pedagogen Park'!$A$4:$A$17,'Pedagogen Park'!B$4:B$17)),"")</f>
        <v>111</v>
      </c>
      <c r="D256" s="153">
        <f>IFERROR(IF(_xlfn.XLOOKUP($A256,'Pedagogen Park'!$A$4:$A$17,'Pedagogen Park'!C$4:C$17)=0,"",_xlfn.XLOOKUP($A256,'Pedagogen Park'!$A$4:$A$17,'Pedagogen Park'!C$4:C$17)),"")</f>
        <v>54</v>
      </c>
      <c r="E256" s="153">
        <f>IFERROR(IF(_xlfn.XLOOKUP($A256,'Pedagogen Park'!$A$4:$A$17,'Pedagogen Park'!D$4:D$17)=0,"",_xlfn.XLOOKUP($A256,'Pedagogen Park'!$A$4:$A$17,'Pedagogen Park'!D$4:D$17)),"")</f>
        <v>202</v>
      </c>
      <c r="F256" s="153">
        <f>IFERROR(IF(_xlfn.XLOOKUP($A256,'Pedagogen Park'!$A$4:$A$17,'Pedagogen Park'!E$4:E$17)=0,"",_xlfn.XLOOKUP($A256,'Pedagogen Park'!$A$4:$A$17,'Pedagogen Park'!E$4:E$17)),"")</f>
        <v>142</v>
      </c>
      <c r="G256" s="153" t="str">
        <f>IFERROR(IF(_xlfn.XLOOKUP($A256,'Pedagogen Park'!$A$4:$A$17,'Pedagogen Park'!F$4:F$17)=0,"",_xlfn.XLOOKUP($A256,'Pedagogen Park'!$A$4:$A$17,'Pedagogen Park'!F$4:F$17)),"")</f>
        <v/>
      </c>
      <c r="H256" s="153" t="str">
        <f>IFERROR(IF(_xlfn.XLOOKUP($A256,'Pedagogen Park'!$A$4:$A$17,'Pedagogen Park'!G$4:G$17)=0,"",_xlfn.XLOOKUP($A256,'Pedagogen Park'!$A$4:$A$17,'Pedagogen Park'!G$4:G$17)),"")</f>
        <v/>
      </c>
      <c r="I256" s="153" t="str">
        <f>IFERROR(IF(_xlfn.XLOOKUP($A256,'Pedagogen Park'!$A$4:$A$17,'Pedagogen Park'!H$4:H$17)=0,"",_xlfn.XLOOKUP($A256,'Pedagogen Park'!$A$4:$A$17,'Pedagogen Park'!H$4:H$17)),"")</f>
        <v/>
      </c>
      <c r="J256" s="153" t="str">
        <f>IFERROR(IF(_xlfn.XLOOKUP($A256,'Pedagogen Park'!$A$4:$A$17,'Pedagogen Park'!I$4:I$17)=0,"",_xlfn.XLOOKUP($A256,'Pedagogen Park'!$A$4:$A$17,'Pedagogen Park'!I$4:I$17)),"")</f>
        <v/>
      </c>
      <c r="K256" s="153" t="str">
        <f>IFERROR(IF(_xlfn.XLOOKUP($A256,'Pedagogen Park'!$A$4:$A$17,'Pedagogen Park'!J$4:J$17)=0,"",_xlfn.XLOOKUP($A256,'Pedagogen Park'!$A$4:$A$17,'Pedagogen Park'!J$4:J$17)),"")</f>
        <v/>
      </c>
      <c r="L256" s="153" t="str">
        <f>IFERROR(IF(_xlfn.XLOOKUP($A256,'Pedagogen Park'!$A$4:$A$17,'Pedagogen Park'!K$4:K$17)=0,"",_xlfn.XLOOKUP($A256,'Pedagogen Park'!$A$4:$A$17,'Pedagogen Park'!K$4:K$17)),"")</f>
        <v/>
      </c>
      <c r="M256" s="153" t="str">
        <f>IFERROR(IF(_xlfn.XLOOKUP($A256,'Pedagogen Park'!$A$4:$A$17,'Pedagogen Park'!L$4:L$17)=0,"",_xlfn.XLOOKUP($A256,'Pedagogen Park'!$A$4:$A$17,'Pedagogen Park'!L$4:L$17)),"")</f>
        <v/>
      </c>
      <c r="N256" s="153" t="str">
        <f>IFERROR(IF(_xlfn.XLOOKUP($A256,'Pedagogen Park'!$A$4:$A$17,'Pedagogen Park'!M$4:M$17)=0,"",_xlfn.XLOOKUP($A256,'Pedagogen Park'!$A$4:$A$17,'Pedagogen Park'!M$4:M$17)),"")</f>
        <v/>
      </c>
      <c r="O256" s="154">
        <f>IFERROR(SUM(C256:N256),0)</f>
        <v>509</v>
      </c>
      <c r="P256" s="154">
        <f>IFERROR(IF($C$98="YTD",N(O256),N(INDEX(C256:N256,MATCH($C$98,$C$220:$N$220,0)))),0)</f>
        <v>202</v>
      </c>
      <c r="Q256">
        <f>IFERROR(N(P256)*100000+(301-ROW()),0)</f>
        <v>20200045</v>
      </c>
    </row>
    <row r="257" spans="1:17" hidden="1" outlineLevel="1">
      <c r="A257" s="152" t="s">
        <v>166</v>
      </c>
      <c r="B257" s="152" t="s">
        <v>95</v>
      </c>
      <c r="C257" s="153" t="str">
        <f>IFERROR(IF(_xlfn.XLOOKUP($A257,'Lilla Edet'!$A$4:$A$17,'Lilla Edet'!B$4:B$17)=0,"",_xlfn.XLOOKUP($A257,'Lilla Edet'!$A$4:$A$17,'Lilla Edet'!B$4:B$17)),"")</f>
        <v/>
      </c>
      <c r="D257" s="153" t="str">
        <f>IFERROR(IF(_xlfn.XLOOKUP($A257,'Lilla Edet'!$A$4:$A$17,'Lilla Edet'!C$4:C$17)=0,"",_xlfn.XLOOKUP($A257,'Lilla Edet'!$A$4:$A$17,'Lilla Edet'!C$4:C$17)),"")</f>
        <v/>
      </c>
      <c r="E257" s="153">
        <f>IFERROR(IF(_xlfn.XLOOKUP($A257,'Lilla Edet'!$A$4:$A$17,'Lilla Edet'!D$4:D$17)=0,"",_xlfn.XLOOKUP($A257,'Lilla Edet'!$A$4:$A$17,'Lilla Edet'!D$4:D$17)),"")</f>
        <v>212</v>
      </c>
      <c r="F257" s="153">
        <f>IFERROR(IF(_xlfn.XLOOKUP($A257,'Lilla Edet'!$A$4:$A$17,'Lilla Edet'!E$4:E$17)=0,"",_xlfn.XLOOKUP($A257,'Lilla Edet'!$A$4:$A$17,'Lilla Edet'!E$4:E$17)),"")</f>
        <v>199</v>
      </c>
      <c r="G257" s="153" t="str">
        <f>IFERROR(IF(_xlfn.XLOOKUP($A257,'Lilla Edet'!$A$4:$A$17,'Lilla Edet'!F$4:F$17)=0,"",_xlfn.XLOOKUP($A257,'Lilla Edet'!$A$4:$A$17,'Lilla Edet'!F$4:F$17)),"")</f>
        <v/>
      </c>
      <c r="H257" s="153" t="str">
        <f>IFERROR(IF(_xlfn.XLOOKUP($A257,'Lilla Edet'!$A$4:$A$17,'Lilla Edet'!G$4:G$17)=0,"",_xlfn.XLOOKUP($A257,'Lilla Edet'!$A$4:$A$17,'Lilla Edet'!G$4:G$17)),"")</f>
        <v/>
      </c>
      <c r="I257" s="153" t="str">
        <f>IFERROR(IF(_xlfn.XLOOKUP($A257,'Lilla Edet'!$A$4:$A$17,'Lilla Edet'!H$4:H$17)=0,"",_xlfn.XLOOKUP($A257,'Lilla Edet'!$A$4:$A$17,'Lilla Edet'!H$4:H$17)),"")</f>
        <v/>
      </c>
      <c r="J257" s="153" t="str">
        <f>IFERROR(IF(_xlfn.XLOOKUP($A257,'Lilla Edet'!$A$4:$A$17,'Lilla Edet'!I$4:I$17)=0,"",_xlfn.XLOOKUP($A257,'Lilla Edet'!$A$4:$A$17,'Lilla Edet'!I$4:I$17)),"")</f>
        <v/>
      </c>
      <c r="K257" s="153" t="str">
        <f>IFERROR(IF(_xlfn.XLOOKUP($A257,'Lilla Edet'!$A$4:$A$17,'Lilla Edet'!J$4:J$17)=0,"",_xlfn.XLOOKUP($A257,'Lilla Edet'!$A$4:$A$17,'Lilla Edet'!J$4:J$17)),"")</f>
        <v/>
      </c>
      <c r="L257" s="153" t="str">
        <f>IFERROR(IF(_xlfn.XLOOKUP($A257,'Lilla Edet'!$A$4:$A$17,'Lilla Edet'!K$4:K$17)=0,"",_xlfn.XLOOKUP($A257,'Lilla Edet'!$A$4:$A$17,'Lilla Edet'!K$4:K$17)),"")</f>
        <v/>
      </c>
      <c r="M257" s="153" t="str">
        <f>IFERROR(IF(_xlfn.XLOOKUP($A257,'Lilla Edet'!$A$4:$A$17,'Lilla Edet'!L$4:L$17)=0,"",_xlfn.XLOOKUP($A257,'Lilla Edet'!$A$4:$A$17,'Lilla Edet'!L$4:L$17)),"")</f>
        <v/>
      </c>
      <c r="N257" s="153" t="str">
        <f>IFERROR(IF(_xlfn.XLOOKUP($A257,'Lilla Edet'!$A$4:$A$17,'Lilla Edet'!M$4:M$17)=0,"",_xlfn.XLOOKUP($A257,'Lilla Edet'!$A$4:$A$17,'Lilla Edet'!M$4:M$17)),"")</f>
        <v/>
      </c>
      <c r="O257" s="154">
        <f>IFERROR(SUM(C257:N257),0)</f>
        <v>411</v>
      </c>
      <c r="P257" s="154">
        <f>IFERROR(IF($C$98="YTD",N(O257),N(INDEX(C257:N257,MATCH($C$98,$C$220:$N$220,0)))),0)</f>
        <v>212</v>
      </c>
      <c r="Q257">
        <f>IFERROR(N(P257)*100000+(301-ROW()),0)</f>
        <v>21200044</v>
      </c>
    </row>
    <row r="258" spans="1:17" hidden="1" outlineLevel="1">
      <c r="A258" s="152" t="s">
        <v>35</v>
      </c>
      <c r="B258" s="152" t="s">
        <v>29</v>
      </c>
      <c r="C258" s="153">
        <f>IFERROR(IF(_xlfn.XLOOKUP($A258,'Pedagogen Park'!$A$4:$A$17,'Pedagogen Park'!B$4:B$17)=0,"",_xlfn.XLOOKUP($A258,'Pedagogen Park'!$A$4:$A$17,'Pedagogen Park'!B$4:B$17)),"")</f>
        <v>167</v>
      </c>
      <c r="D258" s="153">
        <f>IFERROR(IF(_xlfn.XLOOKUP($A258,'Pedagogen Park'!$A$4:$A$17,'Pedagogen Park'!C$4:C$17)=0,"",_xlfn.XLOOKUP($A258,'Pedagogen Park'!$A$4:$A$17,'Pedagogen Park'!C$4:C$17)),"")</f>
        <v>171</v>
      </c>
      <c r="E258" s="153">
        <f>IFERROR(IF(_xlfn.XLOOKUP($A258,'Pedagogen Park'!$A$4:$A$17,'Pedagogen Park'!D$4:D$17)=0,"",_xlfn.XLOOKUP($A258,'Pedagogen Park'!$A$4:$A$17,'Pedagogen Park'!D$4:D$17)),"")</f>
        <v>187</v>
      </c>
      <c r="F258" s="153">
        <f>IFERROR(IF(_xlfn.XLOOKUP($A258,'Pedagogen Park'!$A$4:$A$17,'Pedagogen Park'!E$4:E$17)=0,"",_xlfn.XLOOKUP($A258,'Pedagogen Park'!$A$4:$A$17,'Pedagogen Park'!E$4:E$17)),"")</f>
        <v>209</v>
      </c>
      <c r="G258" s="153" t="str">
        <f>IFERROR(IF(_xlfn.XLOOKUP($A258,'Pedagogen Park'!$A$4:$A$17,'Pedagogen Park'!F$4:F$17)=0,"",_xlfn.XLOOKUP($A258,'Pedagogen Park'!$A$4:$A$17,'Pedagogen Park'!F$4:F$17)),"")</f>
        <v/>
      </c>
      <c r="H258" s="153" t="str">
        <f>IFERROR(IF(_xlfn.XLOOKUP($A258,'Pedagogen Park'!$A$4:$A$17,'Pedagogen Park'!G$4:G$17)=0,"",_xlfn.XLOOKUP($A258,'Pedagogen Park'!$A$4:$A$17,'Pedagogen Park'!G$4:G$17)),"")</f>
        <v/>
      </c>
      <c r="I258" s="153" t="str">
        <f>IFERROR(IF(_xlfn.XLOOKUP($A258,'Pedagogen Park'!$A$4:$A$17,'Pedagogen Park'!H$4:H$17)=0,"",_xlfn.XLOOKUP($A258,'Pedagogen Park'!$A$4:$A$17,'Pedagogen Park'!H$4:H$17)),"")</f>
        <v/>
      </c>
      <c r="J258" s="153" t="str">
        <f>IFERROR(IF(_xlfn.XLOOKUP($A258,'Pedagogen Park'!$A$4:$A$17,'Pedagogen Park'!I$4:I$17)=0,"",_xlfn.XLOOKUP($A258,'Pedagogen Park'!$A$4:$A$17,'Pedagogen Park'!I$4:I$17)),"")</f>
        <v/>
      </c>
      <c r="K258" s="153" t="str">
        <f>IFERROR(IF(_xlfn.XLOOKUP($A258,'Pedagogen Park'!$A$4:$A$17,'Pedagogen Park'!J$4:J$17)=0,"",_xlfn.XLOOKUP($A258,'Pedagogen Park'!$A$4:$A$17,'Pedagogen Park'!J$4:J$17)),"")</f>
        <v/>
      </c>
      <c r="L258" s="153" t="str">
        <f>IFERROR(IF(_xlfn.XLOOKUP($A258,'Pedagogen Park'!$A$4:$A$17,'Pedagogen Park'!K$4:K$17)=0,"",_xlfn.XLOOKUP($A258,'Pedagogen Park'!$A$4:$A$17,'Pedagogen Park'!K$4:K$17)),"")</f>
        <v/>
      </c>
      <c r="M258" s="153" t="str">
        <f>IFERROR(IF(_xlfn.XLOOKUP($A258,'Pedagogen Park'!$A$4:$A$17,'Pedagogen Park'!L$4:L$17)=0,"",_xlfn.XLOOKUP($A258,'Pedagogen Park'!$A$4:$A$17,'Pedagogen Park'!L$4:L$17)),"")</f>
        <v/>
      </c>
      <c r="N258" s="153" t="str">
        <f>IFERROR(IF(_xlfn.XLOOKUP($A258,'Pedagogen Park'!$A$4:$A$17,'Pedagogen Park'!M$4:M$17)=0,"",_xlfn.XLOOKUP($A258,'Pedagogen Park'!$A$4:$A$17,'Pedagogen Park'!M$4:M$17)),"")</f>
        <v/>
      </c>
      <c r="O258" s="154">
        <f>IFERROR(SUM(C258:N258),0)</f>
        <v>734</v>
      </c>
      <c r="P258" s="154">
        <f>IFERROR(IF($C$98="YTD",N(O258),N(INDEX(C258:N258,MATCH($C$98,$C$220:$N$220,0)))),0)</f>
        <v>187</v>
      </c>
      <c r="Q258">
        <f>IFERROR(N(P258)*100000+(301-ROW()),0)</f>
        <v>18700043</v>
      </c>
    </row>
    <row r="259" spans="1:17" hidden="1" outlineLevel="1">
      <c r="A259" s="152" t="s">
        <v>43</v>
      </c>
      <c r="B259" s="152" t="s">
        <v>180</v>
      </c>
      <c r="C259" s="153">
        <f>IFERROR(IF(_xlfn.XLOOKUP($A259,'Frölunda Torg'!$A$4:$A$17,'Frölunda Torg'!B$4:B$17)=0,"",_xlfn.XLOOKUP($A259,'Frölunda Torg'!$A$4:$A$17,'Frölunda Torg'!B$4:B$17)),"")</f>
        <v>139</v>
      </c>
      <c r="D259" s="153">
        <f>IFERROR(IF(_xlfn.XLOOKUP($A259,'Frölunda Torg'!$A$4:$A$17,'Frölunda Torg'!C$4:C$17)=0,"",_xlfn.XLOOKUP($A259,'Frölunda Torg'!$A$4:$A$17,'Frölunda Torg'!C$4:C$17)),"")</f>
        <v>190</v>
      </c>
      <c r="E259" s="153">
        <f>IFERROR(IF(_xlfn.XLOOKUP($A259,'Frölunda Torg'!$A$4:$A$17,'Frölunda Torg'!D$4:D$17)=0,"",_xlfn.XLOOKUP($A259,'Frölunda Torg'!$A$4:$A$17,'Frölunda Torg'!D$4:D$17)),"")</f>
        <v>194</v>
      </c>
      <c r="F259" s="153">
        <f>IFERROR(IF(_xlfn.XLOOKUP($A259,'Frölunda Torg'!$A$4:$A$17,'Frölunda Torg'!E$4:E$17)=0,"",_xlfn.XLOOKUP($A259,'Frölunda Torg'!$A$4:$A$17,'Frölunda Torg'!E$4:E$17)),"")</f>
        <v>164</v>
      </c>
      <c r="G259" s="153" t="str">
        <f>IFERROR(IF(_xlfn.XLOOKUP($A259,'Frölunda Torg'!$A$4:$A$17,'Frölunda Torg'!F$4:F$17)=0,"",_xlfn.XLOOKUP($A259,'Frölunda Torg'!$A$4:$A$17,'Frölunda Torg'!F$4:F$17)),"")</f>
        <v/>
      </c>
      <c r="H259" s="153" t="str">
        <f>IFERROR(IF(_xlfn.XLOOKUP($A259,'Frölunda Torg'!$A$4:$A$17,'Frölunda Torg'!G$4:G$17)=0,"",_xlfn.XLOOKUP($A259,'Frölunda Torg'!$A$4:$A$17,'Frölunda Torg'!G$4:G$17)),"")</f>
        <v/>
      </c>
      <c r="I259" s="153" t="str">
        <f>IFERROR(IF(_xlfn.XLOOKUP($A259,'Frölunda Torg'!$A$4:$A$17,'Frölunda Torg'!H$4:H$17)=0,"",_xlfn.XLOOKUP($A259,'Frölunda Torg'!$A$4:$A$17,'Frölunda Torg'!H$4:H$17)),"")</f>
        <v/>
      </c>
      <c r="J259" s="153" t="str">
        <f>IFERROR(IF(_xlfn.XLOOKUP($A259,'Frölunda Torg'!$A$4:$A$17,'Frölunda Torg'!I$4:I$17)=0,"",_xlfn.XLOOKUP($A259,'Frölunda Torg'!$A$4:$A$17,'Frölunda Torg'!I$4:I$17)),"")</f>
        <v/>
      </c>
      <c r="K259" s="153" t="str">
        <f>IFERROR(IF(_xlfn.XLOOKUP($A259,'Frölunda Torg'!$A$4:$A$17,'Frölunda Torg'!J$4:J$17)=0,"",_xlfn.XLOOKUP($A259,'Frölunda Torg'!$A$4:$A$17,'Frölunda Torg'!J$4:J$17)),"")</f>
        <v/>
      </c>
      <c r="L259" s="153" t="str">
        <f>IFERROR(IF(_xlfn.XLOOKUP($A259,'Frölunda Torg'!$A$4:$A$17,'Frölunda Torg'!K$4:K$17)=0,"",_xlfn.XLOOKUP($A259,'Frölunda Torg'!$A$4:$A$17,'Frölunda Torg'!K$4:K$17)),"")</f>
        <v/>
      </c>
      <c r="M259" s="153" t="str">
        <f>IFERROR(IF(_xlfn.XLOOKUP($A259,'Frölunda Torg'!$A$4:$A$17,'Frölunda Torg'!L$4:L$17)=0,"",_xlfn.XLOOKUP($A259,'Frölunda Torg'!$A$4:$A$17,'Frölunda Torg'!L$4:L$17)),"")</f>
        <v/>
      </c>
      <c r="N259" s="153" t="str">
        <f>IFERROR(IF(_xlfn.XLOOKUP($A259,'Frölunda Torg'!$A$4:$A$17,'Frölunda Torg'!M$4:M$17)=0,"",_xlfn.XLOOKUP($A259,'Frölunda Torg'!$A$4:$A$17,'Frölunda Torg'!M$4:M$17)),"")</f>
        <v/>
      </c>
      <c r="O259" s="154">
        <f>IFERROR(SUM(C259:N259),0)</f>
        <v>687</v>
      </c>
      <c r="P259" s="154">
        <f>IFERROR(IF($C$98="YTD",N(O259),N(INDEX(C259:N259,MATCH($C$98,$C$220:$N$220,0)))),0)</f>
        <v>194</v>
      </c>
      <c r="Q259">
        <f>IFERROR(N(P259)*100000+(301-ROW()),0)</f>
        <v>19400042</v>
      </c>
    </row>
    <row r="260" spans="1:17" hidden="1" outlineLevel="1">
      <c r="A260" s="152" t="s">
        <v>40</v>
      </c>
      <c r="B260" s="152" t="s">
        <v>180</v>
      </c>
      <c r="C260" s="153">
        <f>IFERROR(IF(_xlfn.XLOOKUP($A260,'Frölunda Torg'!$A$4:$A$17,'Frölunda Torg'!B$4:B$17)=0,"",_xlfn.XLOOKUP($A260,'Frölunda Torg'!$A$4:$A$17,'Frölunda Torg'!B$4:B$17)),"")</f>
        <v>178</v>
      </c>
      <c r="D260" s="153">
        <f>IFERROR(IF(_xlfn.XLOOKUP($A260,'Frölunda Torg'!$A$4:$A$17,'Frölunda Torg'!C$4:C$17)=0,"",_xlfn.XLOOKUP($A260,'Frölunda Torg'!$A$4:$A$17,'Frölunda Torg'!C$4:C$17)),"")</f>
        <v>156</v>
      </c>
      <c r="E260" s="153">
        <f>IFERROR(IF(_xlfn.XLOOKUP($A260,'Frölunda Torg'!$A$4:$A$17,'Frölunda Torg'!D$4:D$17)=0,"",_xlfn.XLOOKUP($A260,'Frölunda Torg'!$A$4:$A$17,'Frölunda Torg'!D$4:D$17)),"")</f>
        <v>188</v>
      </c>
      <c r="F260" s="153">
        <f>IFERROR(IF(_xlfn.XLOOKUP($A260,'Frölunda Torg'!$A$4:$A$17,'Frölunda Torg'!E$4:E$17)=0,"",_xlfn.XLOOKUP($A260,'Frölunda Torg'!$A$4:$A$17,'Frölunda Torg'!E$4:E$17)),"")</f>
        <v>181</v>
      </c>
      <c r="G260" s="153" t="str">
        <f>IFERROR(IF(_xlfn.XLOOKUP($A260,'Frölunda Torg'!$A$4:$A$17,'Frölunda Torg'!F$4:F$17)=0,"",_xlfn.XLOOKUP($A260,'Frölunda Torg'!$A$4:$A$17,'Frölunda Torg'!F$4:F$17)),"")</f>
        <v/>
      </c>
      <c r="H260" s="153" t="str">
        <f>IFERROR(IF(_xlfn.XLOOKUP($A260,'Frölunda Torg'!$A$4:$A$17,'Frölunda Torg'!G$4:G$17)=0,"",_xlfn.XLOOKUP($A260,'Frölunda Torg'!$A$4:$A$17,'Frölunda Torg'!G$4:G$17)),"")</f>
        <v/>
      </c>
      <c r="I260" s="153" t="str">
        <f>IFERROR(IF(_xlfn.XLOOKUP($A260,'Frölunda Torg'!$A$4:$A$17,'Frölunda Torg'!H$4:H$17)=0,"",_xlfn.XLOOKUP($A260,'Frölunda Torg'!$A$4:$A$17,'Frölunda Torg'!H$4:H$17)),"")</f>
        <v/>
      </c>
      <c r="J260" s="153" t="str">
        <f>IFERROR(IF(_xlfn.XLOOKUP($A260,'Frölunda Torg'!$A$4:$A$17,'Frölunda Torg'!I$4:I$17)=0,"",_xlfn.XLOOKUP($A260,'Frölunda Torg'!$A$4:$A$17,'Frölunda Torg'!I$4:I$17)),"")</f>
        <v/>
      </c>
      <c r="K260" s="153" t="str">
        <f>IFERROR(IF(_xlfn.XLOOKUP($A260,'Frölunda Torg'!$A$4:$A$17,'Frölunda Torg'!J$4:J$17)=0,"",_xlfn.XLOOKUP($A260,'Frölunda Torg'!$A$4:$A$17,'Frölunda Torg'!J$4:J$17)),"")</f>
        <v/>
      </c>
      <c r="L260" s="153" t="str">
        <f>IFERROR(IF(_xlfn.XLOOKUP($A260,'Frölunda Torg'!$A$4:$A$17,'Frölunda Torg'!K$4:K$17)=0,"",_xlfn.XLOOKUP($A260,'Frölunda Torg'!$A$4:$A$17,'Frölunda Torg'!K$4:K$17)),"")</f>
        <v/>
      </c>
      <c r="M260" s="153" t="str">
        <f>IFERROR(IF(_xlfn.XLOOKUP($A260,'Frölunda Torg'!$A$4:$A$17,'Frölunda Torg'!L$4:L$17)=0,"",_xlfn.XLOOKUP($A260,'Frölunda Torg'!$A$4:$A$17,'Frölunda Torg'!L$4:L$17)),"")</f>
        <v/>
      </c>
      <c r="N260" s="153" t="str">
        <f>IFERROR(IF(_xlfn.XLOOKUP($A260,'Frölunda Torg'!$A$4:$A$17,'Frölunda Torg'!M$4:M$17)=0,"",_xlfn.XLOOKUP($A260,'Frölunda Torg'!$A$4:$A$17,'Frölunda Torg'!M$4:M$17)),"")</f>
        <v/>
      </c>
      <c r="O260" s="154">
        <f>IFERROR(SUM(C260:N260),0)</f>
        <v>703</v>
      </c>
      <c r="P260" s="154">
        <f>IFERROR(IF($C$98="YTD",N(O260),N(INDEX(C260:N260,MATCH($C$98,$C$220:$N$220,0)))),0)</f>
        <v>188</v>
      </c>
      <c r="Q260">
        <f>IFERROR(N(P260)*100000+(301-ROW()),0)</f>
        <v>18800041</v>
      </c>
    </row>
    <row r="261" spans="1:17" hidden="1" outlineLevel="1">
      <c r="A261" s="152" t="s">
        <v>108</v>
      </c>
      <c r="B261" s="152" t="s">
        <v>181</v>
      </c>
      <c r="C261" s="153">
        <f>IFERROR(IF(_xlfn.XLOOKUP($A261,Noltrop!$A$4:$A$17,Noltrop!B$4:B$17)=0,"",_xlfn.XLOOKUP($A261,Noltrop!$A$4:$A$17,Noltrop!B$4:B$17)),"")</f>
        <v>178</v>
      </c>
      <c r="D261" s="153">
        <f>IFERROR(IF(_xlfn.XLOOKUP($A261,Noltrop!$A$4:$A$17,Noltrop!C$4:C$17)=0,"",_xlfn.XLOOKUP($A261,Noltrop!$A$4:$A$17,Noltrop!C$4:C$17)),"")</f>
        <v>158</v>
      </c>
      <c r="E261" s="153">
        <f>IFERROR(IF(_xlfn.XLOOKUP($A261,Noltrop!$A$4:$A$17,Noltrop!D$4:D$17)=0,"",_xlfn.XLOOKUP($A261,Noltrop!$A$4:$A$17,Noltrop!D$4:D$17)),"")</f>
        <v>181</v>
      </c>
      <c r="F261" s="153">
        <f>IFERROR(IF(_xlfn.XLOOKUP($A261,Noltrop!$A$4:$A$17,Noltrop!E$4:E$17)=0,"",_xlfn.XLOOKUP($A261,Noltrop!$A$4:$A$17,Noltrop!E$4:E$17)),"")</f>
        <v>192</v>
      </c>
      <c r="G261" s="153" t="str">
        <f>IFERROR(IF(_xlfn.XLOOKUP($A261,Noltrop!$A$4:$A$17,Noltrop!F$4:F$17)=0,"",_xlfn.XLOOKUP($A261,Noltrop!$A$4:$A$17,Noltrop!F$4:F$17)),"")</f>
        <v/>
      </c>
      <c r="H261" s="153" t="str">
        <f>IFERROR(IF(_xlfn.XLOOKUP($A261,Noltrop!$A$4:$A$17,Noltrop!G$4:G$17)=0,"",_xlfn.XLOOKUP($A261,Noltrop!$A$4:$A$17,Noltrop!G$4:G$17)),"")</f>
        <v/>
      </c>
      <c r="I261" s="153" t="str">
        <f>IFERROR(IF(_xlfn.XLOOKUP($A261,Noltrop!$A$4:$A$17,Noltrop!H$4:H$17)=0,"",_xlfn.XLOOKUP($A261,Noltrop!$A$4:$A$17,Noltrop!H$4:H$17)),"")</f>
        <v/>
      </c>
      <c r="J261" s="153" t="str">
        <f>IFERROR(IF(_xlfn.XLOOKUP($A261,Noltrop!$A$4:$A$17,Noltrop!I$4:I$17)=0,"",_xlfn.XLOOKUP($A261,Noltrop!$A$4:$A$17,Noltrop!I$4:I$17)),"")</f>
        <v/>
      </c>
      <c r="K261" s="153" t="str">
        <f>IFERROR(IF(_xlfn.XLOOKUP($A261,Noltrop!$A$4:$A$17,Noltrop!J$4:J$17)=0,"",_xlfn.XLOOKUP($A261,Noltrop!$A$4:$A$17,Noltrop!J$4:J$17)),"")</f>
        <v/>
      </c>
      <c r="L261" s="153" t="str">
        <f>IFERROR(IF(_xlfn.XLOOKUP($A261,Noltrop!$A$4:$A$17,Noltrop!K$4:K$17)=0,"",_xlfn.XLOOKUP($A261,Noltrop!$A$4:$A$17,Noltrop!K$4:K$17)),"")</f>
        <v/>
      </c>
      <c r="M261" s="153" t="str">
        <f>IFERROR(IF(_xlfn.XLOOKUP($A261,Noltrop!$A$4:$A$17,Noltrop!L$4:L$17)=0,"",_xlfn.XLOOKUP($A261,Noltrop!$A$4:$A$17,Noltrop!L$4:L$17)),"")</f>
        <v/>
      </c>
      <c r="N261" s="153" t="str">
        <f>IFERROR(IF(_xlfn.XLOOKUP($A261,Noltrop!$A$4:$A$17,Noltrop!M$4:M$17)=0,"",_xlfn.XLOOKUP($A261,Noltrop!$A$4:$A$17,Noltrop!M$4:M$17)),"")</f>
        <v/>
      </c>
      <c r="O261" s="154">
        <f>IFERROR(SUM(C261:N261),0)</f>
        <v>709</v>
      </c>
      <c r="P261" s="154">
        <f>IFERROR(IF($C$98="YTD",N(O261),N(INDEX(C261:N261,MATCH($C$98,$C$220:$N$220,0)))),0)</f>
        <v>181</v>
      </c>
      <c r="Q261">
        <f>IFERROR(N(P261)*100000+(301-ROW()),0)</f>
        <v>18100040</v>
      </c>
    </row>
    <row r="262" spans="1:17" hidden="1" outlineLevel="1">
      <c r="A262" s="152" t="s">
        <v>109</v>
      </c>
      <c r="B262" s="152" t="s">
        <v>181</v>
      </c>
      <c r="C262" s="153">
        <f>IFERROR(IF(_xlfn.XLOOKUP($A262,Noltrop!$A$4:$A$17,Noltrop!B$4:B$17)=0,"",_xlfn.XLOOKUP($A262,Noltrop!$A$4:$A$17,Noltrop!B$4:B$17)),"")</f>
        <v>197</v>
      </c>
      <c r="D262" s="153">
        <f>IFERROR(IF(_xlfn.XLOOKUP($A262,Noltrop!$A$4:$A$17,Noltrop!C$4:C$17)=0,"",_xlfn.XLOOKUP($A262,Noltrop!$A$4:$A$17,Noltrop!C$4:C$17)),"")</f>
        <v>147</v>
      </c>
      <c r="E262" s="153">
        <f>IFERROR(IF(_xlfn.XLOOKUP($A262,Noltrop!$A$4:$A$17,Noltrop!D$4:D$17)=0,"",_xlfn.XLOOKUP($A262,Noltrop!$A$4:$A$17,Noltrop!D$4:D$17)),"")</f>
        <v>200</v>
      </c>
      <c r="F262" s="153">
        <f>IFERROR(IF(_xlfn.XLOOKUP($A262,Noltrop!$A$4:$A$17,Noltrop!E$4:E$17)=0,"",_xlfn.XLOOKUP($A262,Noltrop!$A$4:$A$17,Noltrop!E$4:E$17)),"")</f>
        <v>219</v>
      </c>
      <c r="G262" s="153" t="str">
        <f>IFERROR(IF(_xlfn.XLOOKUP($A262,Noltrop!$A$4:$A$17,Noltrop!F$4:F$17)=0,"",_xlfn.XLOOKUP($A262,Noltrop!$A$4:$A$17,Noltrop!F$4:F$17)),"")</f>
        <v/>
      </c>
      <c r="H262" s="153" t="str">
        <f>IFERROR(IF(_xlfn.XLOOKUP($A262,Noltrop!$A$4:$A$17,Noltrop!G$4:G$17)=0,"",_xlfn.XLOOKUP($A262,Noltrop!$A$4:$A$17,Noltrop!G$4:G$17)),"")</f>
        <v/>
      </c>
      <c r="I262" s="153" t="str">
        <f>IFERROR(IF(_xlfn.XLOOKUP($A262,Noltrop!$A$4:$A$17,Noltrop!H$4:H$17)=0,"",_xlfn.XLOOKUP($A262,Noltrop!$A$4:$A$17,Noltrop!H$4:H$17)),"")</f>
        <v/>
      </c>
      <c r="J262" s="153" t="str">
        <f>IFERROR(IF(_xlfn.XLOOKUP($A262,Noltrop!$A$4:$A$17,Noltrop!I$4:I$17)=0,"",_xlfn.XLOOKUP($A262,Noltrop!$A$4:$A$17,Noltrop!I$4:I$17)),"")</f>
        <v/>
      </c>
      <c r="K262" s="153" t="str">
        <f>IFERROR(IF(_xlfn.XLOOKUP($A262,Noltrop!$A$4:$A$17,Noltrop!J$4:J$17)=0,"",_xlfn.XLOOKUP($A262,Noltrop!$A$4:$A$17,Noltrop!J$4:J$17)),"")</f>
        <v/>
      </c>
      <c r="L262" s="153" t="str">
        <f>IFERROR(IF(_xlfn.XLOOKUP($A262,Noltrop!$A$4:$A$17,Noltrop!K$4:K$17)=0,"",_xlfn.XLOOKUP($A262,Noltrop!$A$4:$A$17,Noltrop!K$4:K$17)),"")</f>
        <v/>
      </c>
      <c r="M262" s="153" t="str">
        <f>IFERROR(IF(_xlfn.XLOOKUP($A262,Noltrop!$A$4:$A$17,Noltrop!L$4:L$17)=0,"",_xlfn.XLOOKUP($A262,Noltrop!$A$4:$A$17,Noltrop!L$4:L$17)),"")</f>
        <v/>
      </c>
      <c r="N262" s="153" t="str">
        <f>IFERROR(IF(_xlfn.XLOOKUP($A262,Noltrop!$A$4:$A$17,Noltrop!M$4:M$17)=0,"",_xlfn.XLOOKUP($A262,Noltrop!$A$4:$A$17,Noltrop!M$4:M$17)),"")</f>
        <v/>
      </c>
      <c r="O262" s="154">
        <f>IFERROR(SUM(C262:N262),0)</f>
        <v>763</v>
      </c>
      <c r="P262" s="154">
        <f>IFERROR(IF($C$98="YTD",N(O262),N(INDEX(C262:N262,MATCH($C$98,$C$220:$N$220,0)))),0)</f>
        <v>200</v>
      </c>
      <c r="Q262">
        <f>IFERROR(N(P262)*100000+(301-ROW()),0)</f>
        <v>20000039</v>
      </c>
    </row>
    <row r="263" spans="1:17" hidden="1" outlineLevel="1">
      <c r="A263" s="152" t="s">
        <v>120</v>
      </c>
      <c r="B263" s="152" t="s">
        <v>181</v>
      </c>
      <c r="C263" s="153">
        <f>IFERROR(IF(_xlfn.XLOOKUP($A263,Noltrop!$A$4:$A$17,Noltrop!B$4:B$17)=0,"",_xlfn.XLOOKUP($A263,Noltrop!$A$4:$A$17,Noltrop!B$4:B$17)),"")</f>
        <v>138</v>
      </c>
      <c r="D263" s="153">
        <f>IFERROR(IF(_xlfn.XLOOKUP($A263,Noltrop!$A$4:$A$17,Noltrop!C$4:C$17)=0,"",_xlfn.XLOOKUP($A263,Noltrop!$A$4:$A$17,Noltrop!C$4:C$17)),"")</f>
        <v>191</v>
      </c>
      <c r="E263" s="153">
        <f>IFERROR(IF(_xlfn.XLOOKUP($A263,Noltrop!$A$4:$A$17,Noltrop!D$4:D$17)=0,"",_xlfn.XLOOKUP($A263,Noltrop!$A$4:$A$17,Noltrop!D$4:D$17)),"")</f>
        <v>181</v>
      </c>
      <c r="F263" s="153">
        <f>IFERROR(IF(_xlfn.XLOOKUP($A263,Noltrop!$A$4:$A$17,Noltrop!E$4:E$17)=0,"",_xlfn.XLOOKUP($A263,Noltrop!$A$4:$A$17,Noltrop!E$4:E$17)),"")</f>
        <v>162</v>
      </c>
      <c r="G263" s="153" t="str">
        <f>IFERROR(IF(_xlfn.XLOOKUP($A263,Noltrop!$A$4:$A$17,Noltrop!F$4:F$17)=0,"",_xlfn.XLOOKUP($A263,Noltrop!$A$4:$A$17,Noltrop!F$4:F$17)),"")</f>
        <v/>
      </c>
      <c r="H263" s="153" t="str">
        <f>IFERROR(IF(_xlfn.XLOOKUP($A263,Noltrop!$A$4:$A$17,Noltrop!G$4:G$17)=0,"",_xlfn.XLOOKUP($A263,Noltrop!$A$4:$A$17,Noltrop!G$4:G$17)),"")</f>
        <v/>
      </c>
      <c r="I263" s="153" t="str">
        <f>IFERROR(IF(_xlfn.XLOOKUP($A263,Noltrop!$A$4:$A$17,Noltrop!H$4:H$17)=0,"",_xlfn.XLOOKUP($A263,Noltrop!$A$4:$A$17,Noltrop!H$4:H$17)),"")</f>
        <v/>
      </c>
      <c r="J263" s="153" t="str">
        <f>IFERROR(IF(_xlfn.XLOOKUP($A263,Noltrop!$A$4:$A$17,Noltrop!I$4:I$17)=0,"",_xlfn.XLOOKUP($A263,Noltrop!$A$4:$A$17,Noltrop!I$4:I$17)),"")</f>
        <v/>
      </c>
      <c r="K263" s="153" t="str">
        <f>IFERROR(IF(_xlfn.XLOOKUP($A263,Noltrop!$A$4:$A$17,Noltrop!J$4:J$17)=0,"",_xlfn.XLOOKUP($A263,Noltrop!$A$4:$A$17,Noltrop!J$4:J$17)),"")</f>
        <v/>
      </c>
      <c r="L263" s="153" t="str">
        <f>IFERROR(IF(_xlfn.XLOOKUP($A263,Noltrop!$A$4:$A$17,Noltrop!K$4:K$17)=0,"",_xlfn.XLOOKUP($A263,Noltrop!$A$4:$A$17,Noltrop!K$4:K$17)),"")</f>
        <v/>
      </c>
      <c r="M263" s="153" t="str">
        <f>IFERROR(IF(_xlfn.XLOOKUP($A263,Noltrop!$A$4:$A$17,Noltrop!L$4:L$17)=0,"",_xlfn.XLOOKUP($A263,Noltrop!$A$4:$A$17,Noltrop!L$4:L$17)),"")</f>
        <v/>
      </c>
      <c r="N263" s="153" t="str">
        <f>IFERROR(IF(_xlfn.XLOOKUP($A263,Noltrop!$A$4:$A$17,Noltrop!M$4:M$17)=0,"",_xlfn.XLOOKUP($A263,Noltrop!$A$4:$A$17,Noltrop!M$4:M$17)),"")</f>
        <v/>
      </c>
      <c r="O263" s="154">
        <f>IFERROR(SUM(C263:N263),0)</f>
        <v>672</v>
      </c>
      <c r="P263" s="154">
        <f>IFERROR(IF($C$98="YTD",N(O263),N(INDEX(C263:N263,MATCH($C$98,$C$220:$N$220,0)))),0)</f>
        <v>181</v>
      </c>
      <c r="Q263">
        <f>IFERROR(N(P263)*100000+(301-ROW()),0)</f>
        <v>18100038</v>
      </c>
    </row>
    <row r="264" spans="1:17" hidden="1" outlineLevel="1">
      <c r="A264" s="152" t="s">
        <v>49</v>
      </c>
      <c r="B264" s="152" t="s">
        <v>28</v>
      </c>
      <c r="C264" s="153">
        <f>IFERROR(IF(_xlfn.XLOOKUP($A264,Majorna!$A$4:$A$17,Majorna!B$4:B$17)=0,"",_xlfn.XLOOKUP($A264,Majorna!$A$4:$A$17,Majorna!B$4:B$17)),"")</f>
        <v>170</v>
      </c>
      <c r="D264" s="153">
        <f>IFERROR(IF(_xlfn.XLOOKUP($A264,Majorna!$A$4:$A$17,Majorna!C$4:C$17)=0,"",_xlfn.XLOOKUP($A264,Majorna!$A$4:$A$17,Majorna!C$4:C$17)),"")</f>
        <v>144</v>
      </c>
      <c r="E264" s="153">
        <f>IFERROR(IF(_xlfn.XLOOKUP($A264,Majorna!$A$4:$A$17,Majorna!D$4:D$17)=0,"",_xlfn.XLOOKUP($A264,Majorna!$A$4:$A$17,Majorna!D$4:D$17)),"")</f>
        <v>186</v>
      </c>
      <c r="F264" s="153">
        <f>IFERROR(IF(_xlfn.XLOOKUP($A264,Majorna!$A$4:$A$17,Majorna!E$4:E$17)=0,"",_xlfn.XLOOKUP($A264,Majorna!$A$4:$A$17,Majorna!E$4:E$17)),"")</f>
        <v>67</v>
      </c>
      <c r="G264" s="153" t="str">
        <f>IFERROR(IF(_xlfn.XLOOKUP($A264,Majorna!$A$4:$A$17,Majorna!F$4:F$17)=0,"",_xlfn.XLOOKUP($A264,Majorna!$A$4:$A$17,Majorna!F$4:F$17)),"")</f>
        <v/>
      </c>
      <c r="H264" s="153" t="str">
        <f>IFERROR(IF(_xlfn.XLOOKUP($A264,Majorna!$A$4:$A$17,Majorna!G$4:G$17)=0,"",_xlfn.XLOOKUP($A264,Majorna!$A$4:$A$17,Majorna!G$4:G$17)),"")</f>
        <v/>
      </c>
      <c r="I264" s="153" t="str">
        <f>IFERROR(IF(_xlfn.XLOOKUP($A264,Majorna!$A$4:$A$17,Majorna!H$4:H$17)=0,"",_xlfn.XLOOKUP($A264,Majorna!$A$4:$A$17,Majorna!H$4:H$17)),"")</f>
        <v/>
      </c>
      <c r="J264" s="153" t="str">
        <f>IFERROR(IF(_xlfn.XLOOKUP($A264,Majorna!$A$4:$A$17,Majorna!I$4:I$17)=0,"",_xlfn.XLOOKUP($A264,Majorna!$A$4:$A$17,Majorna!I$4:I$17)),"")</f>
        <v/>
      </c>
      <c r="K264" s="153" t="str">
        <f>IFERROR(IF(_xlfn.XLOOKUP($A264,Majorna!$A$4:$A$17,Majorna!J$4:J$17)=0,"",_xlfn.XLOOKUP($A264,Majorna!$A$4:$A$17,Majorna!J$4:J$17)),"")</f>
        <v/>
      </c>
      <c r="L264" s="153" t="str">
        <f>IFERROR(IF(_xlfn.XLOOKUP($A264,Majorna!$A$4:$A$17,Majorna!K$4:K$17)=0,"",_xlfn.XLOOKUP($A264,Majorna!$A$4:$A$17,Majorna!K$4:K$17)),"")</f>
        <v/>
      </c>
      <c r="M264" s="153" t="str">
        <f>IFERROR(IF(_xlfn.XLOOKUP($A264,Majorna!$A$4:$A$17,Majorna!L$4:L$17)=0,"",_xlfn.XLOOKUP($A264,Majorna!$A$4:$A$17,Majorna!L$4:L$17)),"")</f>
        <v/>
      </c>
      <c r="N264" s="153" t="str">
        <f>IFERROR(IF(_xlfn.XLOOKUP($A264,Majorna!$A$4:$A$17,Majorna!M$4:M$17)=0,"",_xlfn.XLOOKUP($A264,Majorna!$A$4:$A$17,Majorna!M$4:M$17)),"")</f>
        <v/>
      </c>
      <c r="O264" s="154">
        <f>IFERROR(SUM(C264:N264),0)</f>
        <v>567</v>
      </c>
      <c r="P264" s="154">
        <f>IFERROR(IF($C$98="YTD",N(O264),N(INDEX(C264:N264,MATCH($C$98,$C$220:$N$220,0)))),0)</f>
        <v>186</v>
      </c>
      <c r="Q264">
        <f>IFERROR(N(P264)*100000+(301-ROW()),0)</f>
        <v>18600037</v>
      </c>
    </row>
    <row r="265" spans="1:17" hidden="1" outlineLevel="1">
      <c r="A265" s="152" t="s">
        <v>55</v>
      </c>
      <c r="B265" s="152" t="s">
        <v>30</v>
      </c>
      <c r="C265" s="153">
        <f>IFERROR(IF(_xlfn.XLOOKUP($A265,Åby!$A$4:$A$17,Åby!B$4:B$17)=0,"",_xlfn.XLOOKUP($A265,Åby!$A$4:$A$17,Åby!B$4:B$17)),"")</f>
        <v>176</v>
      </c>
      <c r="D265" s="153">
        <f>IFERROR(IF(_xlfn.XLOOKUP($A265,Åby!$A$4:$A$17,Åby!C$4:C$17)=0,"",_xlfn.XLOOKUP($A265,Åby!$A$4:$A$17,Åby!C$4:C$17)),"")</f>
        <v>133</v>
      </c>
      <c r="E265" s="153">
        <f>IFERROR(IF(_xlfn.XLOOKUP($A265,Åby!$A$4:$A$17,Åby!D$4:D$17)=0,"",_xlfn.XLOOKUP($A265,Åby!$A$4:$A$17,Åby!D$4:D$17)),"")</f>
        <v>180</v>
      </c>
      <c r="F265" s="153">
        <f>IFERROR(IF(_xlfn.XLOOKUP($A265,Åby!$A$4:$A$17,Åby!E$4:E$17)=0,"",_xlfn.XLOOKUP($A265,Åby!$A$4:$A$17,Åby!E$4:E$17)),"")</f>
        <v>208</v>
      </c>
      <c r="G265" s="153" t="str">
        <f>IFERROR(IF(_xlfn.XLOOKUP($A265,Åby!$A$4:$A$17,Åby!F$4:F$17)=0,"",_xlfn.XLOOKUP($A265,Åby!$A$4:$A$17,Åby!F$4:F$17)),"")</f>
        <v/>
      </c>
      <c r="H265" s="153" t="str">
        <f>IFERROR(IF(_xlfn.XLOOKUP($A265,Åby!$A$4:$A$17,Åby!G$4:G$17)=0,"",_xlfn.XLOOKUP($A265,Åby!$A$4:$A$17,Åby!G$4:G$17)),"")</f>
        <v/>
      </c>
      <c r="I265" s="153" t="str">
        <f>IFERROR(IF(_xlfn.XLOOKUP($A265,Åby!$A$4:$A$17,Åby!H$4:H$17)=0,"",_xlfn.XLOOKUP($A265,Åby!$A$4:$A$17,Åby!H$4:H$17)),"")</f>
        <v/>
      </c>
      <c r="J265" s="153" t="str">
        <f>IFERROR(IF(_xlfn.XLOOKUP($A265,Åby!$A$4:$A$17,Åby!I$4:I$17)=0,"",_xlfn.XLOOKUP($A265,Åby!$A$4:$A$17,Åby!I$4:I$17)),"")</f>
        <v/>
      </c>
      <c r="K265" s="153" t="str">
        <f>IFERROR(IF(_xlfn.XLOOKUP($A265,Åby!$A$4:$A$17,Åby!J$4:J$17)=0,"",_xlfn.XLOOKUP($A265,Åby!$A$4:$A$17,Åby!J$4:J$17)),"")</f>
        <v/>
      </c>
      <c r="L265" s="153" t="str">
        <f>IFERROR(IF(_xlfn.XLOOKUP($A265,Åby!$A$4:$A$17,Åby!K$4:K$17)=0,"",_xlfn.XLOOKUP($A265,Åby!$A$4:$A$17,Åby!K$4:K$17)),"")</f>
        <v/>
      </c>
      <c r="M265" s="153" t="str">
        <f>IFERROR(IF(_xlfn.XLOOKUP($A265,Åby!$A$4:$A$17,Åby!L$4:L$17)=0,"",_xlfn.XLOOKUP($A265,Åby!$A$4:$A$17,Åby!L$4:L$17)),"")</f>
        <v/>
      </c>
      <c r="N265" s="153" t="str">
        <f>IFERROR(IF(_xlfn.XLOOKUP($A265,Åby!$A$4:$A$17,Åby!M$4:M$17)=0,"",_xlfn.XLOOKUP($A265,Åby!$A$4:$A$17,Åby!M$4:M$17)),"")</f>
        <v/>
      </c>
      <c r="O265" s="154">
        <f>IFERROR(SUM(C265:N265),0)</f>
        <v>697</v>
      </c>
      <c r="P265" s="154">
        <f>IFERROR(IF($C$98="YTD",N(O265),N(INDEX(C265:N265,MATCH($C$98,$C$220:$N$220,0)))),0)</f>
        <v>180</v>
      </c>
      <c r="Q265">
        <f>IFERROR(N(P265)*100000+(301-ROW()),0)</f>
        <v>18000036</v>
      </c>
    </row>
    <row r="266" spans="1:17" hidden="1" outlineLevel="1">
      <c r="A266" s="152" t="s">
        <v>41</v>
      </c>
      <c r="B266" s="152" t="s">
        <v>180</v>
      </c>
      <c r="C266" s="153">
        <f>IFERROR(IF(_xlfn.XLOOKUP($A266,'Frölunda Torg'!$A$4:$A$17,'Frölunda Torg'!B$4:B$17)=0,"",_xlfn.XLOOKUP($A266,'Frölunda Torg'!$A$4:$A$17,'Frölunda Torg'!B$4:B$17)),"")</f>
        <v>112</v>
      </c>
      <c r="D266" s="153">
        <f>IFERROR(IF(_xlfn.XLOOKUP($A266,'Frölunda Torg'!$A$4:$A$17,'Frölunda Torg'!C$4:C$17)=0,"",_xlfn.XLOOKUP($A266,'Frölunda Torg'!$A$4:$A$17,'Frölunda Torg'!C$4:C$17)),"")</f>
        <v>179</v>
      </c>
      <c r="E266" s="153">
        <f>IFERROR(IF(_xlfn.XLOOKUP($A266,'Frölunda Torg'!$A$4:$A$17,'Frölunda Torg'!D$4:D$17)=0,"",_xlfn.XLOOKUP($A266,'Frölunda Torg'!$A$4:$A$17,'Frölunda Torg'!D$4:D$17)),"")</f>
        <v>184</v>
      </c>
      <c r="F266" s="153">
        <f>IFERROR(IF(_xlfn.XLOOKUP($A266,'Frölunda Torg'!$A$4:$A$17,'Frölunda Torg'!E$4:E$17)=0,"",_xlfn.XLOOKUP($A266,'Frölunda Torg'!$A$4:$A$17,'Frölunda Torg'!E$4:E$17)),"")</f>
        <v>141</v>
      </c>
      <c r="G266" s="153" t="str">
        <f>IFERROR(IF(_xlfn.XLOOKUP($A266,'Frölunda Torg'!$A$4:$A$17,'Frölunda Torg'!F$4:F$17)=0,"",_xlfn.XLOOKUP($A266,'Frölunda Torg'!$A$4:$A$17,'Frölunda Torg'!F$4:F$17)),"")</f>
        <v/>
      </c>
      <c r="H266" s="153" t="str">
        <f>IFERROR(IF(_xlfn.XLOOKUP($A266,'Frölunda Torg'!$A$4:$A$17,'Frölunda Torg'!G$4:G$17)=0,"",_xlfn.XLOOKUP($A266,'Frölunda Torg'!$A$4:$A$17,'Frölunda Torg'!G$4:G$17)),"")</f>
        <v/>
      </c>
      <c r="I266" s="153" t="str">
        <f>IFERROR(IF(_xlfn.XLOOKUP($A266,'Frölunda Torg'!$A$4:$A$17,'Frölunda Torg'!H$4:H$17)=0,"",_xlfn.XLOOKUP($A266,'Frölunda Torg'!$A$4:$A$17,'Frölunda Torg'!H$4:H$17)),"")</f>
        <v/>
      </c>
      <c r="J266" s="153" t="str">
        <f>IFERROR(IF(_xlfn.XLOOKUP($A266,'Frölunda Torg'!$A$4:$A$17,'Frölunda Torg'!I$4:I$17)=0,"",_xlfn.XLOOKUP($A266,'Frölunda Torg'!$A$4:$A$17,'Frölunda Torg'!I$4:I$17)),"")</f>
        <v/>
      </c>
      <c r="K266" s="153" t="str">
        <f>IFERROR(IF(_xlfn.XLOOKUP($A266,'Frölunda Torg'!$A$4:$A$17,'Frölunda Torg'!J$4:J$17)=0,"",_xlfn.XLOOKUP($A266,'Frölunda Torg'!$A$4:$A$17,'Frölunda Torg'!J$4:J$17)),"")</f>
        <v/>
      </c>
      <c r="L266" s="153" t="str">
        <f>IFERROR(IF(_xlfn.XLOOKUP($A266,'Frölunda Torg'!$A$4:$A$17,'Frölunda Torg'!K$4:K$17)=0,"",_xlfn.XLOOKUP($A266,'Frölunda Torg'!$A$4:$A$17,'Frölunda Torg'!K$4:K$17)),"")</f>
        <v/>
      </c>
      <c r="M266" s="153" t="str">
        <f>IFERROR(IF(_xlfn.XLOOKUP($A266,'Frölunda Torg'!$A$4:$A$17,'Frölunda Torg'!L$4:L$17)=0,"",_xlfn.XLOOKUP($A266,'Frölunda Torg'!$A$4:$A$17,'Frölunda Torg'!L$4:L$17)),"")</f>
        <v/>
      </c>
      <c r="N266" s="153" t="str">
        <f>IFERROR(IF(_xlfn.XLOOKUP($A266,'Frölunda Torg'!$A$4:$A$17,'Frölunda Torg'!M$4:M$17)=0,"",_xlfn.XLOOKUP($A266,'Frölunda Torg'!$A$4:$A$17,'Frölunda Torg'!M$4:M$17)),"")</f>
        <v/>
      </c>
      <c r="O266" s="154">
        <f>IFERROR(SUM(C266:N266),0)</f>
        <v>616</v>
      </c>
      <c r="P266" s="154">
        <f>IFERROR(IF($C$98="YTD",N(O266),N(INDEX(C266:N266,MATCH($C$98,$C$220:$N$220,0)))),0)</f>
        <v>184</v>
      </c>
      <c r="Q266">
        <f>IFERROR(N(P266)*100000+(301-ROW()),0)</f>
        <v>18400035</v>
      </c>
    </row>
    <row r="267" spans="1:17" hidden="1" outlineLevel="1">
      <c r="A267" s="152" t="s">
        <v>80</v>
      </c>
      <c r="B267" s="152" t="s">
        <v>31</v>
      </c>
      <c r="C267" s="153">
        <f>IFERROR(IF(_xlfn.XLOOKUP($A267,Olskroken!$A$4:$A$17,Olskroken!B$4:B$17)=0,"",_xlfn.XLOOKUP($A267,Olskroken!$A$4:$A$17,Olskroken!B$4:B$17)),"")</f>
        <v>167</v>
      </c>
      <c r="D267" s="153">
        <f>IFERROR(IF(_xlfn.XLOOKUP($A267,Olskroken!$A$4:$A$17,Olskroken!C$4:C$17)=0,"",_xlfn.XLOOKUP($A267,Olskroken!$A$4:$A$17,Olskroken!C$4:C$17)),"")</f>
        <v>148</v>
      </c>
      <c r="E267" s="153">
        <f>IFERROR(IF(_xlfn.XLOOKUP($A267,Olskroken!$A$4:$A$17,Olskroken!D$4:D$17)=0,"",_xlfn.XLOOKUP($A267,Olskroken!$A$4:$A$17,Olskroken!D$4:D$17)),"")</f>
        <v>129</v>
      </c>
      <c r="F267" s="153">
        <f>IFERROR(IF(_xlfn.XLOOKUP($A267,Olskroken!$A$4:$A$17,Olskroken!E$4:E$17)=0,"",_xlfn.XLOOKUP($A267,Olskroken!$A$4:$A$17,Olskroken!E$4:E$17)),"")</f>
        <v>203</v>
      </c>
      <c r="G267" s="153" t="str">
        <f>IFERROR(IF(_xlfn.XLOOKUP($A267,Olskroken!$A$4:$A$17,Olskroken!F$4:F$17)=0,"",_xlfn.XLOOKUP($A267,Olskroken!$A$4:$A$17,Olskroken!F$4:F$17)),"")</f>
        <v/>
      </c>
      <c r="H267" s="153" t="str">
        <f>IFERROR(IF(_xlfn.XLOOKUP($A267,Olskroken!$A$4:$A$17,Olskroken!G$4:G$17)=0,"",_xlfn.XLOOKUP($A267,Olskroken!$A$4:$A$17,Olskroken!G$4:G$17)),"")</f>
        <v/>
      </c>
      <c r="I267" s="153" t="str">
        <f>IFERROR(IF(_xlfn.XLOOKUP($A267,Olskroken!$A$4:$A$17,Olskroken!H$4:H$17)=0,"",_xlfn.XLOOKUP($A267,Olskroken!$A$4:$A$17,Olskroken!H$4:H$17)),"")</f>
        <v/>
      </c>
      <c r="J267" s="153" t="str">
        <f>IFERROR(IF(_xlfn.XLOOKUP($A267,Olskroken!$A$4:$A$17,Olskroken!I$4:I$17)=0,"",_xlfn.XLOOKUP($A267,Olskroken!$A$4:$A$17,Olskroken!I$4:I$17)),"")</f>
        <v/>
      </c>
      <c r="K267" s="153" t="str">
        <f>IFERROR(IF(_xlfn.XLOOKUP($A267,Olskroken!$A$4:$A$17,Olskroken!J$4:J$17)=0,"",_xlfn.XLOOKUP($A267,Olskroken!$A$4:$A$17,Olskroken!J$4:J$17)),"")</f>
        <v/>
      </c>
      <c r="L267" s="153" t="str">
        <f>IFERROR(IF(_xlfn.XLOOKUP($A267,Olskroken!$A$4:$A$17,Olskroken!K$4:K$17)=0,"",_xlfn.XLOOKUP($A267,Olskroken!$A$4:$A$17,Olskroken!K$4:K$17)),"")</f>
        <v/>
      </c>
      <c r="M267" s="153" t="str">
        <f>IFERROR(IF(_xlfn.XLOOKUP($A267,Olskroken!$A$4:$A$17,Olskroken!L$4:L$17)=0,"",_xlfn.XLOOKUP($A267,Olskroken!$A$4:$A$17,Olskroken!L$4:L$17)),"")</f>
        <v/>
      </c>
      <c r="N267" s="153" t="str">
        <f>IFERROR(IF(_xlfn.XLOOKUP($A267,Olskroken!$A$4:$A$17,Olskroken!M$4:M$17)=0,"",_xlfn.XLOOKUP($A267,Olskroken!$A$4:$A$17,Olskroken!M$4:M$17)),"")</f>
        <v/>
      </c>
      <c r="O267" s="154">
        <f>IFERROR(SUM(C267:N267),0)</f>
        <v>647</v>
      </c>
      <c r="P267" s="154">
        <f>IFERROR(IF($C$98="YTD",N(O267),N(INDEX(C267:N267,MATCH($C$98,$C$220:$N$220,0)))),0)</f>
        <v>129</v>
      </c>
      <c r="Q267">
        <f>IFERROR(N(P267)*100000+(301-ROW()),0)</f>
        <v>12900034</v>
      </c>
    </row>
    <row r="268" spans="1:17" hidden="1" outlineLevel="1">
      <c r="A268" s="152" t="s">
        <v>90</v>
      </c>
      <c r="B268" s="152" t="s">
        <v>32</v>
      </c>
      <c r="C268" s="153">
        <f>IFERROR(IF(_xlfn.XLOOKUP($A268,Avenyn!$A$4:$A$17,Avenyn!B$4:B$17)=0,"",_xlfn.XLOOKUP($A268,Avenyn!$A$4:$A$17,Avenyn!B$4:B$17)),"")</f>
        <v>121</v>
      </c>
      <c r="D268" s="153">
        <f>IFERROR(IF(_xlfn.XLOOKUP($A268,Avenyn!$A$4:$A$17,Avenyn!C$4:C$17)=0,"",_xlfn.XLOOKUP($A268,Avenyn!$A$4:$A$17,Avenyn!C$4:C$17)),"")</f>
        <v>148</v>
      </c>
      <c r="E268" s="153">
        <f>IFERROR(IF(_xlfn.XLOOKUP($A268,Avenyn!$A$4:$A$17,Avenyn!D$4:D$17)=0,"",_xlfn.XLOOKUP($A268,Avenyn!$A$4:$A$17,Avenyn!D$4:D$17)),"")</f>
        <v>174</v>
      </c>
      <c r="F268" s="153">
        <f>IFERROR(IF(_xlfn.XLOOKUP($A268,Avenyn!$A$4:$A$17,Avenyn!E$4:E$17)=0,"",_xlfn.XLOOKUP($A268,Avenyn!$A$4:$A$17,Avenyn!E$4:E$17)),"")</f>
        <v>186</v>
      </c>
      <c r="G268" s="153" t="str">
        <f>IFERROR(IF(_xlfn.XLOOKUP($A268,Avenyn!$A$4:$A$17,Avenyn!F$4:F$17)=0,"",_xlfn.XLOOKUP($A268,Avenyn!$A$4:$A$17,Avenyn!F$4:F$17)),"")</f>
        <v/>
      </c>
      <c r="H268" s="153" t="str">
        <f>IFERROR(IF(_xlfn.XLOOKUP($A268,Avenyn!$A$4:$A$17,Avenyn!G$4:G$17)=0,"",_xlfn.XLOOKUP($A268,Avenyn!$A$4:$A$17,Avenyn!G$4:G$17)),"")</f>
        <v/>
      </c>
      <c r="I268" s="153" t="str">
        <f>IFERROR(IF(_xlfn.XLOOKUP($A268,Avenyn!$A$4:$A$17,Avenyn!H$4:H$17)=0,"",_xlfn.XLOOKUP($A268,Avenyn!$A$4:$A$17,Avenyn!H$4:H$17)),"")</f>
        <v/>
      </c>
      <c r="J268" s="153" t="str">
        <f>IFERROR(IF(_xlfn.XLOOKUP($A268,Avenyn!$A$4:$A$17,Avenyn!I$4:I$17)=0,"",_xlfn.XLOOKUP($A268,Avenyn!$A$4:$A$17,Avenyn!I$4:I$17)),"")</f>
        <v/>
      </c>
      <c r="K268" s="153" t="str">
        <f>IFERROR(IF(_xlfn.XLOOKUP($A268,Avenyn!$A$4:$A$17,Avenyn!J$4:J$17)=0,"",_xlfn.XLOOKUP($A268,Avenyn!$A$4:$A$17,Avenyn!J$4:J$17)),"")</f>
        <v/>
      </c>
      <c r="L268" s="153" t="str">
        <f>IFERROR(IF(_xlfn.XLOOKUP($A268,Avenyn!$A$4:$A$17,Avenyn!K$4:K$17)=0,"",_xlfn.XLOOKUP($A268,Avenyn!$A$4:$A$17,Avenyn!K$4:K$17)),"")</f>
        <v/>
      </c>
      <c r="M268" s="153" t="str">
        <f>IFERROR(IF(_xlfn.XLOOKUP($A268,Avenyn!$A$4:$A$17,Avenyn!L$4:L$17)=0,"",_xlfn.XLOOKUP($A268,Avenyn!$A$4:$A$17,Avenyn!L$4:L$17)),"")</f>
        <v/>
      </c>
      <c r="N268" s="153" t="str">
        <f>IFERROR(IF(_xlfn.XLOOKUP($A268,Avenyn!$A$4:$A$17,Avenyn!M$4:M$17)=0,"",_xlfn.XLOOKUP($A268,Avenyn!$A$4:$A$17,Avenyn!M$4:M$17)),"")</f>
        <v/>
      </c>
      <c r="O268" s="154">
        <f>IFERROR(SUM(C268:N268),0)</f>
        <v>629</v>
      </c>
      <c r="P268" s="154">
        <f>IFERROR(IF($C$98="YTD",N(O268),N(INDEX(C268:N268,MATCH($C$98,$C$220:$N$220,0)))),0)</f>
        <v>174</v>
      </c>
      <c r="Q268">
        <f>IFERROR(N(P268)*100000+(301-ROW()),0)</f>
        <v>17400033</v>
      </c>
    </row>
    <row r="269" spans="1:17" hidden="1" outlineLevel="1">
      <c r="A269" s="152" t="s">
        <v>85</v>
      </c>
      <c r="B269" s="152" t="s">
        <v>27</v>
      </c>
      <c r="C269" s="153">
        <f>IFERROR(IF(_xlfn.XLOOKUP($A269,Grimmered!$A$4:$A$17,Grimmered!B$4:B$17)=0,"",_xlfn.XLOOKUP($A269,Grimmered!$A$4:$A$17,Grimmered!B$4:B$17)),"")</f>
        <v>83</v>
      </c>
      <c r="D269" s="153">
        <f>IFERROR(IF(_xlfn.XLOOKUP($A269,Grimmered!$A$4:$A$17,Grimmered!C$4:C$17)=0,"",_xlfn.XLOOKUP($A269,Grimmered!$A$4:$A$17,Grimmered!C$4:C$17)),"")</f>
        <v>157</v>
      </c>
      <c r="E269" s="153">
        <f>IFERROR(IF(_xlfn.XLOOKUP($A269,Grimmered!$A$4:$A$17,Grimmered!D$4:D$17)=0,"",_xlfn.XLOOKUP($A269,Grimmered!$A$4:$A$17,Grimmered!D$4:D$17)),"")</f>
        <v>164</v>
      </c>
      <c r="F269" s="153">
        <f>IFERROR(IF(_xlfn.XLOOKUP($A269,Grimmered!$A$4:$A$17,Grimmered!E$4:E$17)=0,"",_xlfn.XLOOKUP($A269,Grimmered!$A$4:$A$17,Grimmered!E$4:E$17)),"")</f>
        <v>159</v>
      </c>
      <c r="G269" s="153" t="str">
        <f>IFERROR(IF(_xlfn.XLOOKUP($A269,Grimmered!$A$4:$A$17,Grimmered!F$4:F$17)=0,"",_xlfn.XLOOKUP($A269,Grimmered!$A$4:$A$17,Grimmered!F$4:F$17)),"")</f>
        <v/>
      </c>
      <c r="H269" s="153" t="str">
        <f>IFERROR(IF(_xlfn.XLOOKUP($A269,Grimmered!$A$4:$A$17,Grimmered!G$4:G$17)=0,"",_xlfn.XLOOKUP($A269,Grimmered!$A$4:$A$17,Grimmered!G$4:G$17)),"")</f>
        <v/>
      </c>
      <c r="I269" s="153" t="str">
        <f>IFERROR(IF(_xlfn.XLOOKUP($A269,Grimmered!$A$4:$A$17,Grimmered!H$4:H$17)=0,"",_xlfn.XLOOKUP($A269,Grimmered!$A$4:$A$17,Grimmered!H$4:H$17)),"")</f>
        <v/>
      </c>
      <c r="J269" s="153" t="str">
        <f>IFERROR(IF(_xlfn.XLOOKUP($A269,Grimmered!$A$4:$A$17,Grimmered!I$4:I$17)=0,"",_xlfn.XLOOKUP($A269,Grimmered!$A$4:$A$17,Grimmered!I$4:I$17)),"")</f>
        <v/>
      </c>
      <c r="K269" s="153" t="str">
        <f>IFERROR(IF(_xlfn.XLOOKUP($A269,Grimmered!$A$4:$A$17,Grimmered!J$4:J$17)=0,"",_xlfn.XLOOKUP($A269,Grimmered!$A$4:$A$17,Grimmered!J$4:J$17)),"")</f>
        <v/>
      </c>
      <c r="L269" s="153" t="str">
        <f>IFERROR(IF(_xlfn.XLOOKUP($A269,Grimmered!$A$4:$A$17,Grimmered!K$4:K$17)=0,"",_xlfn.XLOOKUP($A269,Grimmered!$A$4:$A$17,Grimmered!K$4:K$17)),"")</f>
        <v/>
      </c>
      <c r="M269" s="153" t="str">
        <f>IFERROR(IF(_xlfn.XLOOKUP($A269,Grimmered!$A$4:$A$17,Grimmered!L$4:L$17)=0,"",_xlfn.XLOOKUP($A269,Grimmered!$A$4:$A$17,Grimmered!L$4:L$17)),"")</f>
        <v/>
      </c>
      <c r="N269" s="153" t="str">
        <f>IFERROR(IF(_xlfn.XLOOKUP($A269,Grimmered!$A$4:$A$17,Grimmered!M$4:M$17)=0,"",_xlfn.XLOOKUP($A269,Grimmered!$A$4:$A$17,Grimmered!M$4:M$17)),"")</f>
        <v/>
      </c>
      <c r="O269" s="154">
        <f>IFERROR(SUM(C269:N269),0)</f>
        <v>563</v>
      </c>
      <c r="P269" s="154">
        <f>IFERROR(IF($C$98="YTD",N(O269),N(INDEX(C269:N269,MATCH($C$98,$C$220:$N$220,0)))),0)</f>
        <v>164</v>
      </c>
      <c r="Q269">
        <f>IFERROR(N(P269)*100000+(301-ROW()),0)</f>
        <v>16400032</v>
      </c>
    </row>
    <row r="270" spans="1:17" hidden="1" outlineLevel="1">
      <c r="A270" s="152" t="s">
        <v>42</v>
      </c>
      <c r="B270" s="152" t="s">
        <v>180</v>
      </c>
      <c r="C270" s="153">
        <f>IFERROR(IF(_xlfn.XLOOKUP($A270,'Frölunda Torg'!$A$4:$A$17,'Frölunda Torg'!B$4:B$17)=0,"",_xlfn.XLOOKUP($A270,'Frölunda Torg'!$A$4:$A$17,'Frölunda Torg'!B$4:B$17)),"")</f>
        <v>91</v>
      </c>
      <c r="D270" s="153">
        <f>IFERROR(IF(_xlfn.XLOOKUP($A270,'Frölunda Torg'!$A$4:$A$17,'Frölunda Torg'!C$4:C$17)=0,"",_xlfn.XLOOKUP($A270,'Frölunda Torg'!$A$4:$A$17,'Frölunda Torg'!C$4:C$17)),"")</f>
        <v>164</v>
      </c>
      <c r="E270" s="153">
        <f>IFERROR(IF(_xlfn.XLOOKUP($A270,'Frölunda Torg'!$A$4:$A$17,'Frölunda Torg'!D$4:D$17)=0,"",_xlfn.XLOOKUP($A270,'Frölunda Torg'!$A$4:$A$17,'Frölunda Torg'!D$4:D$17)),"")</f>
        <v>145</v>
      </c>
      <c r="F270" s="153">
        <f>IFERROR(IF(_xlfn.XLOOKUP($A270,'Frölunda Torg'!$A$4:$A$17,'Frölunda Torg'!E$4:E$17)=0,"",_xlfn.XLOOKUP($A270,'Frölunda Torg'!$A$4:$A$17,'Frölunda Torg'!E$4:E$17)),"")</f>
        <v>154</v>
      </c>
      <c r="G270" s="153" t="str">
        <f>IFERROR(IF(_xlfn.XLOOKUP($A270,'Frölunda Torg'!$A$4:$A$17,'Frölunda Torg'!F$4:F$17)=0,"",_xlfn.XLOOKUP($A270,'Frölunda Torg'!$A$4:$A$17,'Frölunda Torg'!F$4:F$17)),"")</f>
        <v/>
      </c>
      <c r="H270" s="153" t="str">
        <f>IFERROR(IF(_xlfn.XLOOKUP($A270,'Frölunda Torg'!$A$4:$A$17,'Frölunda Torg'!G$4:G$17)=0,"",_xlfn.XLOOKUP($A270,'Frölunda Torg'!$A$4:$A$17,'Frölunda Torg'!G$4:G$17)),"")</f>
        <v/>
      </c>
      <c r="I270" s="153" t="str">
        <f>IFERROR(IF(_xlfn.XLOOKUP($A270,'Frölunda Torg'!$A$4:$A$17,'Frölunda Torg'!H$4:H$17)=0,"",_xlfn.XLOOKUP($A270,'Frölunda Torg'!$A$4:$A$17,'Frölunda Torg'!H$4:H$17)),"")</f>
        <v/>
      </c>
      <c r="J270" s="153" t="str">
        <f>IFERROR(IF(_xlfn.XLOOKUP($A270,'Frölunda Torg'!$A$4:$A$17,'Frölunda Torg'!I$4:I$17)=0,"",_xlfn.XLOOKUP($A270,'Frölunda Torg'!$A$4:$A$17,'Frölunda Torg'!I$4:I$17)),"")</f>
        <v/>
      </c>
      <c r="K270" s="153" t="str">
        <f>IFERROR(IF(_xlfn.XLOOKUP($A270,'Frölunda Torg'!$A$4:$A$17,'Frölunda Torg'!J$4:J$17)=0,"",_xlfn.XLOOKUP($A270,'Frölunda Torg'!$A$4:$A$17,'Frölunda Torg'!J$4:J$17)),"")</f>
        <v/>
      </c>
      <c r="L270" s="153" t="str">
        <f>IFERROR(IF(_xlfn.XLOOKUP($A270,'Frölunda Torg'!$A$4:$A$17,'Frölunda Torg'!K$4:K$17)=0,"",_xlfn.XLOOKUP($A270,'Frölunda Torg'!$A$4:$A$17,'Frölunda Torg'!K$4:K$17)),"")</f>
        <v/>
      </c>
      <c r="M270" s="153" t="str">
        <f>IFERROR(IF(_xlfn.XLOOKUP($A270,'Frölunda Torg'!$A$4:$A$17,'Frölunda Torg'!L$4:L$17)=0,"",_xlfn.XLOOKUP($A270,'Frölunda Torg'!$A$4:$A$17,'Frölunda Torg'!L$4:L$17)),"")</f>
        <v/>
      </c>
      <c r="N270" s="153" t="str">
        <f>IFERROR(IF(_xlfn.XLOOKUP($A270,'Frölunda Torg'!$A$4:$A$17,'Frölunda Torg'!M$4:M$17)=0,"",_xlfn.XLOOKUP($A270,'Frölunda Torg'!$A$4:$A$17,'Frölunda Torg'!M$4:M$17)),"")</f>
        <v/>
      </c>
      <c r="O270" s="154">
        <f>IFERROR(SUM(C270:N270),0)</f>
        <v>554</v>
      </c>
      <c r="P270" s="154">
        <f>IFERROR(IF($C$98="YTD",N(O270),N(INDEX(C270:N270,MATCH($C$98,$C$220:$N$220,0)))),0)</f>
        <v>145</v>
      </c>
      <c r="Q270">
        <f>IFERROR(N(P270)*100000+(301-ROW()),0)</f>
        <v>14500031</v>
      </c>
    </row>
    <row r="271" spans="1:17" hidden="1" outlineLevel="1">
      <c r="A271" s="152" t="s">
        <v>118</v>
      </c>
      <c r="B271" s="152" t="s">
        <v>181</v>
      </c>
      <c r="C271" s="153">
        <f>IFERROR(IF(_xlfn.XLOOKUP($A271,Noltrop!$A$4:$A$17,Noltrop!B$4:B$17)=0,"",_xlfn.XLOOKUP($A271,Noltrop!$A$4:$A$17,Noltrop!B$4:B$17)),"")</f>
        <v>91</v>
      </c>
      <c r="D271" s="153">
        <f>IFERROR(IF(_xlfn.XLOOKUP($A271,Noltrop!$A$4:$A$17,Noltrop!C$4:C$17)=0,"",_xlfn.XLOOKUP($A271,Noltrop!$A$4:$A$17,Noltrop!C$4:C$17)),"")</f>
        <v>116</v>
      </c>
      <c r="E271" s="153">
        <f>IFERROR(IF(_xlfn.XLOOKUP($A271,Noltrop!$A$4:$A$17,Noltrop!D$4:D$17)=0,"",_xlfn.XLOOKUP($A271,Noltrop!$A$4:$A$17,Noltrop!D$4:D$17)),"")</f>
        <v>186</v>
      </c>
      <c r="F271" s="153">
        <f>IFERROR(IF(_xlfn.XLOOKUP($A271,Noltrop!$A$4:$A$17,Noltrop!E$4:E$17)=0,"",_xlfn.XLOOKUP($A271,Noltrop!$A$4:$A$17,Noltrop!E$4:E$17)),"")</f>
        <v>118</v>
      </c>
      <c r="G271" s="153" t="str">
        <f>IFERROR(IF(_xlfn.XLOOKUP($A271,Noltrop!$A$4:$A$17,Noltrop!F$4:F$17)=0,"",_xlfn.XLOOKUP($A271,Noltrop!$A$4:$A$17,Noltrop!F$4:F$17)),"")</f>
        <v/>
      </c>
      <c r="H271" s="153" t="str">
        <f>IFERROR(IF(_xlfn.XLOOKUP($A271,Noltrop!$A$4:$A$17,Noltrop!G$4:G$17)=0,"",_xlfn.XLOOKUP($A271,Noltrop!$A$4:$A$17,Noltrop!G$4:G$17)),"")</f>
        <v/>
      </c>
      <c r="I271" s="153" t="str">
        <f>IFERROR(IF(_xlfn.XLOOKUP($A271,Noltrop!$A$4:$A$17,Noltrop!H$4:H$17)=0,"",_xlfn.XLOOKUP($A271,Noltrop!$A$4:$A$17,Noltrop!H$4:H$17)),"")</f>
        <v/>
      </c>
      <c r="J271" s="153" t="str">
        <f>IFERROR(IF(_xlfn.XLOOKUP($A271,Noltrop!$A$4:$A$17,Noltrop!I$4:I$17)=0,"",_xlfn.XLOOKUP($A271,Noltrop!$A$4:$A$17,Noltrop!I$4:I$17)),"")</f>
        <v/>
      </c>
      <c r="K271" s="153" t="str">
        <f>IFERROR(IF(_xlfn.XLOOKUP($A271,Noltrop!$A$4:$A$17,Noltrop!J$4:J$17)=0,"",_xlfn.XLOOKUP($A271,Noltrop!$A$4:$A$17,Noltrop!J$4:J$17)),"")</f>
        <v/>
      </c>
      <c r="L271" s="153" t="str">
        <f>IFERROR(IF(_xlfn.XLOOKUP($A271,Noltrop!$A$4:$A$17,Noltrop!K$4:K$17)=0,"",_xlfn.XLOOKUP($A271,Noltrop!$A$4:$A$17,Noltrop!K$4:K$17)),"")</f>
        <v/>
      </c>
      <c r="M271" s="153" t="str">
        <f>IFERROR(IF(_xlfn.XLOOKUP($A271,Noltrop!$A$4:$A$17,Noltrop!L$4:L$17)=0,"",_xlfn.XLOOKUP($A271,Noltrop!$A$4:$A$17,Noltrop!L$4:L$17)),"")</f>
        <v/>
      </c>
      <c r="N271" s="153" t="str">
        <f>IFERROR(IF(_xlfn.XLOOKUP($A271,Noltrop!$A$4:$A$17,Noltrop!M$4:M$17)=0,"",_xlfn.XLOOKUP($A271,Noltrop!$A$4:$A$17,Noltrop!M$4:M$17)),"")</f>
        <v/>
      </c>
      <c r="O271" s="154">
        <f>IFERROR(SUM(C271:N271),0)</f>
        <v>511</v>
      </c>
      <c r="P271" s="154">
        <f>IFERROR(IF($C$98="YTD",N(O271),N(INDEX(C271:N271,MATCH($C$98,$C$220:$N$220,0)))),0)</f>
        <v>186</v>
      </c>
      <c r="Q271">
        <f>IFERROR(N(P271)*100000+(301-ROW()),0)</f>
        <v>18600030</v>
      </c>
    </row>
    <row r="272" spans="1:17" hidden="1" outlineLevel="1">
      <c r="A272" s="152" t="s">
        <v>82</v>
      </c>
      <c r="B272" s="152" t="s">
        <v>27</v>
      </c>
      <c r="C272" s="153">
        <f>IFERROR(IF(_xlfn.XLOOKUP($A272,Grimmered!$A$4:$A$17,Grimmered!B$4:B$17)=0,"",_xlfn.XLOOKUP($A272,Grimmered!$A$4:$A$17,Grimmered!B$4:B$17)),"")</f>
        <v>114</v>
      </c>
      <c r="D272" s="153">
        <f>IFERROR(IF(_xlfn.XLOOKUP($A272,Grimmered!$A$4:$A$17,Grimmered!C$4:C$17)=0,"",_xlfn.XLOOKUP($A272,Grimmered!$A$4:$A$17,Grimmered!C$4:C$17)),"")</f>
        <v>97</v>
      </c>
      <c r="E272" s="153">
        <f>IFERROR(IF(_xlfn.XLOOKUP($A272,Grimmered!$A$4:$A$17,Grimmered!D$4:D$17)=0,"",_xlfn.XLOOKUP($A272,Grimmered!$A$4:$A$17,Grimmered!D$4:D$17)),"")</f>
        <v>179</v>
      </c>
      <c r="F272" s="153">
        <f>IFERROR(IF(_xlfn.XLOOKUP($A272,Grimmered!$A$4:$A$17,Grimmered!E$4:E$17)=0,"",_xlfn.XLOOKUP($A272,Grimmered!$A$4:$A$17,Grimmered!E$4:E$17)),"")</f>
        <v>170</v>
      </c>
      <c r="G272" s="153" t="str">
        <f>IFERROR(IF(_xlfn.XLOOKUP($A272,Grimmered!$A$4:$A$17,Grimmered!F$4:F$17)=0,"",_xlfn.XLOOKUP($A272,Grimmered!$A$4:$A$17,Grimmered!F$4:F$17)),"")</f>
        <v/>
      </c>
      <c r="H272" s="153" t="str">
        <f>IFERROR(IF(_xlfn.XLOOKUP($A272,Grimmered!$A$4:$A$17,Grimmered!G$4:G$17)=0,"",_xlfn.XLOOKUP($A272,Grimmered!$A$4:$A$17,Grimmered!G$4:G$17)),"")</f>
        <v/>
      </c>
      <c r="I272" s="153" t="str">
        <f>IFERROR(IF(_xlfn.XLOOKUP($A272,Grimmered!$A$4:$A$17,Grimmered!H$4:H$17)=0,"",_xlfn.XLOOKUP($A272,Grimmered!$A$4:$A$17,Grimmered!H$4:H$17)),"")</f>
        <v/>
      </c>
      <c r="J272" s="153" t="str">
        <f>IFERROR(IF(_xlfn.XLOOKUP($A272,Grimmered!$A$4:$A$17,Grimmered!I$4:I$17)=0,"",_xlfn.XLOOKUP($A272,Grimmered!$A$4:$A$17,Grimmered!I$4:I$17)),"")</f>
        <v/>
      </c>
      <c r="K272" s="153" t="str">
        <f>IFERROR(IF(_xlfn.XLOOKUP($A272,Grimmered!$A$4:$A$17,Grimmered!J$4:J$17)=0,"",_xlfn.XLOOKUP($A272,Grimmered!$A$4:$A$17,Grimmered!J$4:J$17)),"")</f>
        <v/>
      </c>
      <c r="L272" s="153" t="str">
        <f>IFERROR(IF(_xlfn.XLOOKUP($A272,Grimmered!$A$4:$A$17,Grimmered!K$4:K$17)=0,"",_xlfn.XLOOKUP($A272,Grimmered!$A$4:$A$17,Grimmered!K$4:K$17)),"")</f>
        <v/>
      </c>
      <c r="M272" s="153" t="str">
        <f>IFERROR(IF(_xlfn.XLOOKUP($A272,Grimmered!$A$4:$A$17,Grimmered!L$4:L$17)=0,"",_xlfn.XLOOKUP($A272,Grimmered!$A$4:$A$17,Grimmered!L$4:L$17)),"")</f>
        <v/>
      </c>
      <c r="N272" s="153" t="str">
        <f>IFERROR(IF(_xlfn.XLOOKUP($A272,Grimmered!$A$4:$A$17,Grimmered!M$4:M$17)=0,"",_xlfn.XLOOKUP($A272,Grimmered!$A$4:$A$17,Grimmered!M$4:M$17)),"")</f>
        <v/>
      </c>
      <c r="O272" s="154">
        <f>IFERROR(SUM(C272:N272),0)</f>
        <v>560</v>
      </c>
      <c r="P272" s="154">
        <f>IFERROR(IF($C$98="YTD",N(O272),N(INDEX(C272:N272,MATCH($C$98,$C$220:$N$220,0)))),0)</f>
        <v>179</v>
      </c>
      <c r="Q272">
        <f>IFERROR(N(P272)*100000+(301-ROW()),0)</f>
        <v>17900029</v>
      </c>
    </row>
    <row r="273" spans="1:17" hidden="1" outlineLevel="1">
      <c r="A273" s="152" t="s">
        <v>149</v>
      </c>
      <c r="B273" s="152" t="s">
        <v>33</v>
      </c>
      <c r="C273" s="153">
        <f>IFERROR(IF(_xlfn.XLOOKUP($A273,Karlastaden!$A$4:$A$17,Karlastaden!B$4:B$17)=0,"",_xlfn.XLOOKUP($A273,Karlastaden!$A$4:$A$17,Karlastaden!B$4:B$17)),"")</f>
        <v>109</v>
      </c>
      <c r="D273" s="153">
        <f>IFERROR(IF(_xlfn.XLOOKUP($A273,Karlastaden!$A$4:$A$17,Karlastaden!C$4:C$17)=0,"",_xlfn.XLOOKUP($A273,Karlastaden!$A$4:$A$17,Karlastaden!C$4:C$17)),"")</f>
        <v>127</v>
      </c>
      <c r="E273" s="153">
        <f>IFERROR(IF(_xlfn.XLOOKUP($A273,Karlastaden!$A$4:$A$17,Karlastaden!D$4:D$17)=0,"",_xlfn.XLOOKUP($A273,Karlastaden!$A$4:$A$17,Karlastaden!D$4:D$17)),"")</f>
        <v>154</v>
      </c>
      <c r="F273" s="153">
        <f>IFERROR(IF(_xlfn.XLOOKUP($A273,Karlastaden!$A$4:$A$17,Karlastaden!E$4:E$17)=0,"",_xlfn.XLOOKUP($A273,Karlastaden!$A$4:$A$17,Karlastaden!E$4:E$17)),"")</f>
        <v>175</v>
      </c>
      <c r="G273" s="153" t="str">
        <f>IFERROR(IF(_xlfn.XLOOKUP($A273,Karlastaden!$A$4:$A$17,Karlastaden!F$4:F$17)=0,"",_xlfn.XLOOKUP($A273,Karlastaden!$A$4:$A$17,Karlastaden!F$4:F$17)),"")</f>
        <v/>
      </c>
      <c r="H273" s="153" t="str">
        <f>IFERROR(IF(_xlfn.XLOOKUP($A273,Karlastaden!$A$4:$A$17,Karlastaden!G$4:G$17)=0,"",_xlfn.XLOOKUP($A273,Karlastaden!$A$4:$A$17,Karlastaden!G$4:G$17)),"")</f>
        <v/>
      </c>
      <c r="I273" s="153" t="str">
        <f>IFERROR(IF(_xlfn.XLOOKUP($A273,Karlastaden!$A$4:$A$17,Karlastaden!H$4:H$17)=0,"",_xlfn.XLOOKUP($A273,Karlastaden!$A$4:$A$17,Karlastaden!H$4:H$17)),"")</f>
        <v/>
      </c>
      <c r="J273" s="153" t="str">
        <f>IFERROR(IF(_xlfn.XLOOKUP($A273,Karlastaden!$A$4:$A$17,Karlastaden!I$4:I$17)=0,"",_xlfn.XLOOKUP($A273,Karlastaden!$A$4:$A$17,Karlastaden!I$4:I$17)),"")</f>
        <v/>
      </c>
      <c r="K273" s="153" t="str">
        <f>IFERROR(IF(_xlfn.XLOOKUP($A273,Karlastaden!$A$4:$A$17,Karlastaden!J$4:J$17)=0,"",_xlfn.XLOOKUP($A273,Karlastaden!$A$4:$A$17,Karlastaden!J$4:J$17)),"")</f>
        <v/>
      </c>
      <c r="L273" s="153" t="str">
        <f>IFERROR(IF(_xlfn.XLOOKUP($A273,Karlastaden!$A$4:$A$17,Karlastaden!K$4:K$17)=0,"",_xlfn.XLOOKUP($A273,Karlastaden!$A$4:$A$17,Karlastaden!K$4:K$17)),"")</f>
        <v/>
      </c>
      <c r="M273" s="153" t="str">
        <f>IFERROR(IF(_xlfn.XLOOKUP($A273,Karlastaden!$A$4:$A$17,Karlastaden!L$4:L$17)=0,"",_xlfn.XLOOKUP($A273,Karlastaden!$A$4:$A$17,Karlastaden!L$4:L$17)),"")</f>
        <v/>
      </c>
      <c r="N273" s="153" t="str">
        <f>IFERROR(IF(_xlfn.XLOOKUP($A273,Karlastaden!$A$4:$A$17,Karlastaden!M$4:M$17)=0,"",_xlfn.XLOOKUP($A273,Karlastaden!$A$4:$A$17,Karlastaden!M$4:M$17)),"")</f>
        <v/>
      </c>
      <c r="O273" s="154">
        <f>IFERROR(SUM(C273:N273),0)</f>
        <v>565</v>
      </c>
      <c r="P273" s="154">
        <f>IFERROR(IF($C$98="YTD",N(O273),N(INDEX(C273:N273,MATCH($C$98,$C$220:$N$220,0)))),0)</f>
        <v>154</v>
      </c>
      <c r="Q273">
        <f>IFERROR(N(P273)*100000+(301-ROW()),0)</f>
        <v>15400028</v>
      </c>
    </row>
    <row r="274" spans="1:17" hidden="1" outlineLevel="1">
      <c r="A274" s="152" t="s">
        <v>34</v>
      </c>
      <c r="B274" s="152" t="s">
        <v>29</v>
      </c>
      <c r="C274" s="153">
        <f>IFERROR(IF(_xlfn.XLOOKUP($A274,'Pedagogen Park'!$A$4:$A$17,'Pedagogen Park'!B$4:B$17)=0,"",_xlfn.XLOOKUP($A274,'Pedagogen Park'!$A$4:$A$17,'Pedagogen Park'!B$4:B$17)),"")</f>
        <v>101</v>
      </c>
      <c r="D274" s="153">
        <f>IFERROR(IF(_xlfn.XLOOKUP($A274,'Pedagogen Park'!$A$4:$A$17,'Pedagogen Park'!C$4:C$17)=0,"",_xlfn.XLOOKUP($A274,'Pedagogen Park'!$A$4:$A$17,'Pedagogen Park'!C$4:C$17)),"")</f>
        <v>140</v>
      </c>
      <c r="E274" s="153">
        <f>IFERROR(IF(_xlfn.XLOOKUP($A274,'Pedagogen Park'!$A$4:$A$17,'Pedagogen Park'!D$4:D$17)=0,"",_xlfn.XLOOKUP($A274,'Pedagogen Park'!$A$4:$A$17,'Pedagogen Park'!D$4:D$17)),"")</f>
        <v>145</v>
      </c>
      <c r="F274" s="153">
        <f>IFERROR(IF(_xlfn.XLOOKUP($A274,'Pedagogen Park'!$A$4:$A$17,'Pedagogen Park'!E$4:E$17)=0,"",_xlfn.XLOOKUP($A274,'Pedagogen Park'!$A$4:$A$17,'Pedagogen Park'!E$4:E$17)),"")</f>
        <v>186</v>
      </c>
      <c r="G274" s="153" t="str">
        <f>IFERROR(IF(_xlfn.XLOOKUP($A274,'Pedagogen Park'!$A$4:$A$17,'Pedagogen Park'!F$4:F$17)=0,"",_xlfn.XLOOKUP($A274,'Pedagogen Park'!$A$4:$A$17,'Pedagogen Park'!F$4:F$17)),"")</f>
        <v/>
      </c>
      <c r="H274" s="153" t="str">
        <f>IFERROR(IF(_xlfn.XLOOKUP($A274,'Pedagogen Park'!$A$4:$A$17,'Pedagogen Park'!G$4:G$17)=0,"",_xlfn.XLOOKUP($A274,'Pedagogen Park'!$A$4:$A$17,'Pedagogen Park'!G$4:G$17)),"")</f>
        <v/>
      </c>
      <c r="I274" s="153" t="str">
        <f>IFERROR(IF(_xlfn.XLOOKUP($A274,'Pedagogen Park'!$A$4:$A$17,'Pedagogen Park'!H$4:H$17)=0,"",_xlfn.XLOOKUP($A274,'Pedagogen Park'!$A$4:$A$17,'Pedagogen Park'!H$4:H$17)),"")</f>
        <v/>
      </c>
      <c r="J274" s="153" t="str">
        <f>IFERROR(IF(_xlfn.XLOOKUP($A274,'Pedagogen Park'!$A$4:$A$17,'Pedagogen Park'!I$4:I$17)=0,"",_xlfn.XLOOKUP($A274,'Pedagogen Park'!$A$4:$A$17,'Pedagogen Park'!I$4:I$17)),"")</f>
        <v/>
      </c>
      <c r="K274" s="153" t="str">
        <f>IFERROR(IF(_xlfn.XLOOKUP($A274,'Pedagogen Park'!$A$4:$A$17,'Pedagogen Park'!J$4:J$17)=0,"",_xlfn.XLOOKUP($A274,'Pedagogen Park'!$A$4:$A$17,'Pedagogen Park'!J$4:J$17)),"")</f>
        <v/>
      </c>
      <c r="L274" s="153" t="str">
        <f>IFERROR(IF(_xlfn.XLOOKUP($A274,'Pedagogen Park'!$A$4:$A$17,'Pedagogen Park'!K$4:K$17)=0,"",_xlfn.XLOOKUP($A274,'Pedagogen Park'!$A$4:$A$17,'Pedagogen Park'!K$4:K$17)),"")</f>
        <v/>
      </c>
      <c r="M274" s="153" t="str">
        <f>IFERROR(IF(_xlfn.XLOOKUP($A274,'Pedagogen Park'!$A$4:$A$17,'Pedagogen Park'!L$4:L$17)=0,"",_xlfn.XLOOKUP($A274,'Pedagogen Park'!$A$4:$A$17,'Pedagogen Park'!L$4:L$17)),"")</f>
        <v/>
      </c>
      <c r="N274" s="153" t="str">
        <f>IFERROR(IF(_xlfn.XLOOKUP($A274,'Pedagogen Park'!$A$4:$A$17,'Pedagogen Park'!M$4:M$17)=0,"",_xlfn.XLOOKUP($A274,'Pedagogen Park'!$A$4:$A$17,'Pedagogen Park'!M$4:M$17)),"")</f>
        <v/>
      </c>
      <c r="O274" s="154">
        <f>IFERROR(SUM(C274:N274),0)</f>
        <v>572</v>
      </c>
      <c r="P274" s="154">
        <f>IFERROR(IF($C$98="YTD",N(O274),N(INDEX(C274:N274,MATCH($C$98,$C$220:$N$220,0)))),0)</f>
        <v>145</v>
      </c>
      <c r="Q274">
        <f>IFERROR(N(P274)*100000+(301-ROW()),0)</f>
        <v>14500027</v>
      </c>
    </row>
    <row r="275" spans="1:17" hidden="1" outlineLevel="1">
      <c r="A275" s="152" t="s">
        <v>170</v>
      </c>
      <c r="B275" s="152" t="s">
        <v>96</v>
      </c>
      <c r="C275" s="153">
        <f>IFERROR(IF(_xlfn.XLOOKUP($A275,Stavre!$A$4:$A$17,Stavre!B$4:B$17)=0,"",_xlfn.XLOOKUP($A275,Stavre!$A$4:$A$17,Stavre!B$4:B$17)),"")</f>
        <v>170</v>
      </c>
      <c r="D275" s="153">
        <f>IFERROR(IF(_xlfn.XLOOKUP($A275,Stavre!$A$4:$A$17,Stavre!C$4:C$17)=0,"",_xlfn.XLOOKUP($A275,Stavre!$A$4:$A$17,Stavre!C$4:C$17)),"")</f>
        <v>112</v>
      </c>
      <c r="E275" s="153">
        <f>IFERROR(IF(_xlfn.XLOOKUP($A275,Stavre!$A$4:$A$17,Stavre!D$4:D$17)=0,"",_xlfn.XLOOKUP($A275,Stavre!$A$4:$A$17,Stavre!D$4:D$17)),"")</f>
        <v>99</v>
      </c>
      <c r="F275" s="153">
        <f>IFERROR(IF(_xlfn.XLOOKUP($A275,Stavre!$A$4:$A$17,Stavre!E$4:E$17)=0,"",_xlfn.XLOOKUP($A275,Stavre!$A$4:$A$17,Stavre!E$4:E$17)),"")</f>
        <v>187</v>
      </c>
      <c r="G275" s="153" t="str">
        <f>IFERROR(IF(_xlfn.XLOOKUP($A275,Stavre!$A$4:$A$17,Stavre!F$4:F$17)=0,"",_xlfn.XLOOKUP($A275,Stavre!$A$4:$A$17,Stavre!F$4:F$17)),"")</f>
        <v/>
      </c>
      <c r="H275" s="153" t="str">
        <f>IFERROR(IF(_xlfn.XLOOKUP($A275,Stavre!$A$4:$A$17,Stavre!G$4:G$17)=0,"",_xlfn.XLOOKUP($A275,Stavre!$A$4:$A$17,Stavre!G$4:G$17)),"")</f>
        <v/>
      </c>
      <c r="I275" s="153" t="str">
        <f>IFERROR(IF(_xlfn.XLOOKUP($A275,Stavre!$A$4:$A$17,Stavre!H$4:H$17)=0,"",_xlfn.XLOOKUP($A275,Stavre!$A$4:$A$17,Stavre!H$4:H$17)),"")</f>
        <v/>
      </c>
      <c r="J275" s="153" t="str">
        <f>IFERROR(IF(_xlfn.XLOOKUP($A275,Stavre!$A$4:$A$17,Stavre!I$4:I$17)=0,"",_xlfn.XLOOKUP($A275,Stavre!$A$4:$A$17,Stavre!I$4:I$17)),"")</f>
        <v/>
      </c>
      <c r="K275" s="153" t="str">
        <f>IFERROR(IF(_xlfn.XLOOKUP($A275,Stavre!$A$4:$A$17,Stavre!J$4:J$17)=0,"",_xlfn.XLOOKUP($A275,Stavre!$A$4:$A$17,Stavre!J$4:J$17)),"")</f>
        <v/>
      </c>
      <c r="L275" s="153" t="str">
        <f>IFERROR(IF(_xlfn.XLOOKUP($A275,Stavre!$A$4:$A$17,Stavre!K$4:K$17)=0,"",_xlfn.XLOOKUP($A275,Stavre!$A$4:$A$17,Stavre!K$4:K$17)),"")</f>
        <v/>
      </c>
      <c r="M275" s="153" t="str">
        <f>IFERROR(IF(_xlfn.XLOOKUP($A275,Stavre!$A$4:$A$17,Stavre!L$4:L$17)=0,"",_xlfn.XLOOKUP($A275,Stavre!$A$4:$A$17,Stavre!L$4:L$17)),"")</f>
        <v/>
      </c>
      <c r="N275" s="153" t="str">
        <f>IFERROR(IF(_xlfn.XLOOKUP($A275,Stavre!$A$4:$A$17,Stavre!M$4:M$17)=0,"",_xlfn.XLOOKUP($A275,Stavre!$A$4:$A$17,Stavre!M$4:M$17)),"")</f>
        <v/>
      </c>
      <c r="O275" s="154">
        <f>IFERROR(SUM(C275:N275),0)</f>
        <v>568</v>
      </c>
      <c r="P275" s="154">
        <f>IFERROR(IF($C$98="YTD",N(O275),N(INDEX(C275:N275,MATCH($C$98,$C$220:$N$220,0)))),0)</f>
        <v>99</v>
      </c>
      <c r="Q275">
        <f>IFERROR(N(P275)*100000+(301-ROW()),0)</f>
        <v>9900026</v>
      </c>
    </row>
    <row r="276" spans="1:17" hidden="1" outlineLevel="1">
      <c r="A276" s="152" t="s">
        <v>138</v>
      </c>
      <c r="B276" s="152" t="s">
        <v>97</v>
      </c>
      <c r="C276" s="153">
        <f>IFERROR(IF(_xlfn.XLOOKUP($A276,Åmål!$A$4:$A$17,Åmål!B$4:B$17)=0,"",_xlfn.XLOOKUP($A276,Åmål!$A$4:$A$17,Åmål!B$4:B$17)),"")</f>
        <v>102</v>
      </c>
      <c r="D276" s="153">
        <f>IFERROR(IF(_xlfn.XLOOKUP($A276,Åmål!$A$4:$A$17,Åmål!C$4:C$17)=0,"",_xlfn.XLOOKUP($A276,Åmål!$A$4:$A$17,Åmål!C$4:C$17)),"")</f>
        <v>107</v>
      </c>
      <c r="E276" s="153">
        <f>IFERROR(IF(_xlfn.XLOOKUP($A276,Åmål!$A$4:$A$17,Åmål!D$4:D$17)=0,"",_xlfn.XLOOKUP($A276,Åmål!$A$4:$A$17,Åmål!D$4:D$17)),"")</f>
        <v>156</v>
      </c>
      <c r="F276" s="153">
        <f>IFERROR(IF(_xlfn.XLOOKUP($A276,Åmål!$A$4:$A$17,Åmål!E$4:E$17)=0,"",_xlfn.XLOOKUP($A276,Åmål!$A$4:$A$17,Åmål!E$4:E$17)),"")</f>
        <v>165</v>
      </c>
      <c r="G276" s="153" t="str">
        <f>IFERROR(IF(_xlfn.XLOOKUP($A276,Åmål!$A$4:$A$17,Åmål!F$4:F$17)=0,"",_xlfn.XLOOKUP($A276,Åmål!$A$4:$A$17,Åmål!F$4:F$17)),"")</f>
        <v/>
      </c>
      <c r="H276" s="153" t="str">
        <f>IFERROR(IF(_xlfn.XLOOKUP($A276,Åmål!$A$4:$A$17,Åmål!G$4:G$17)=0,"",_xlfn.XLOOKUP($A276,Åmål!$A$4:$A$17,Åmål!G$4:G$17)),"")</f>
        <v/>
      </c>
      <c r="I276" s="153" t="str">
        <f>IFERROR(IF(_xlfn.XLOOKUP($A276,Åmål!$A$4:$A$17,Åmål!H$4:H$17)=0,"",_xlfn.XLOOKUP($A276,Åmål!$A$4:$A$17,Åmål!H$4:H$17)),"")</f>
        <v/>
      </c>
      <c r="J276" s="153" t="str">
        <f>IFERROR(IF(_xlfn.XLOOKUP($A276,Åmål!$A$4:$A$17,Åmål!I$4:I$17)=0,"",_xlfn.XLOOKUP($A276,Åmål!$A$4:$A$17,Åmål!I$4:I$17)),"")</f>
        <v/>
      </c>
      <c r="K276" s="153" t="str">
        <f>IFERROR(IF(_xlfn.XLOOKUP($A276,Åmål!$A$4:$A$17,Åmål!J$4:J$17)=0,"",_xlfn.XLOOKUP($A276,Åmål!$A$4:$A$17,Åmål!J$4:J$17)),"")</f>
        <v/>
      </c>
      <c r="L276" s="153" t="str">
        <f>IFERROR(IF(_xlfn.XLOOKUP($A276,Åmål!$A$4:$A$17,Åmål!K$4:K$17)=0,"",_xlfn.XLOOKUP($A276,Åmål!$A$4:$A$17,Åmål!K$4:K$17)),"")</f>
        <v/>
      </c>
      <c r="M276" s="153" t="str">
        <f>IFERROR(IF(_xlfn.XLOOKUP($A276,Åmål!$A$4:$A$17,Åmål!L$4:L$17)=0,"",_xlfn.XLOOKUP($A276,Åmål!$A$4:$A$17,Åmål!L$4:L$17)),"")</f>
        <v/>
      </c>
      <c r="N276" s="153" t="str">
        <f>IFERROR(IF(_xlfn.XLOOKUP($A276,Åmål!$A$4:$A$17,Åmål!M$4:M$17)=0,"",_xlfn.XLOOKUP($A276,Åmål!$A$4:$A$17,Åmål!M$4:M$17)),"")</f>
        <v/>
      </c>
      <c r="O276" s="154">
        <f>IFERROR(SUM(C276:N276),0)</f>
        <v>530</v>
      </c>
      <c r="P276" s="154">
        <f>IFERROR(IF($C$98="YTD",N(O276),N(INDEX(C276:N276,MATCH($C$98,$C$220:$N$220,0)))),0)</f>
        <v>156</v>
      </c>
      <c r="Q276">
        <f>IFERROR(N(P276)*100000+(301-ROW()),0)</f>
        <v>15600025</v>
      </c>
    </row>
    <row r="277" spans="1:17" hidden="1" outlineLevel="1">
      <c r="A277" s="152" t="s">
        <v>134</v>
      </c>
      <c r="B277" s="152" t="s">
        <v>97</v>
      </c>
      <c r="C277" s="153">
        <f>IFERROR(IF(_xlfn.XLOOKUP($A277,Åmål!$A$4:$A$17,Åmål!B$4:B$17)=0,"",_xlfn.XLOOKUP($A277,Åmål!$A$4:$A$17,Åmål!B$4:B$17)),"")</f>
        <v>88</v>
      </c>
      <c r="D277" s="153">
        <f>IFERROR(IF(_xlfn.XLOOKUP($A277,Åmål!$A$4:$A$17,Åmål!C$4:C$17)=0,"",_xlfn.XLOOKUP($A277,Åmål!$A$4:$A$17,Åmål!C$4:C$17)),"")</f>
        <v>100</v>
      </c>
      <c r="E277" s="153">
        <f>IFERROR(IF(_xlfn.XLOOKUP($A277,Åmål!$A$4:$A$17,Åmål!D$4:D$17)=0,"",_xlfn.XLOOKUP($A277,Åmål!$A$4:$A$17,Åmål!D$4:D$17)),"")</f>
        <v>171</v>
      </c>
      <c r="F277" s="153">
        <f>IFERROR(IF(_xlfn.XLOOKUP($A277,Åmål!$A$4:$A$17,Åmål!E$4:E$17)=0,"",_xlfn.XLOOKUP($A277,Åmål!$A$4:$A$17,Åmål!E$4:E$17)),"")</f>
        <v>173</v>
      </c>
      <c r="G277" s="153" t="str">
        <f>IFERROR(IF(_xlfn.XLOOKUP($A277,Åmål!$A$4:$A$17,Åmål!F$4:F$17)=0,"",_xlfn.XLOOKUP($A277,Åmål!$A$4:$A$17,Åmål!F$4:F$17)),"")</f>
        <v/>
      </c>
      <c r="H277" s="153" t="str">
        <f>IFERROR(IF(_xlfn.XLOOKUP($A277,Åmål!$A$4:$A$17,Åmål!G$4:G$17)=0,"",_xlfn.XLOOKUP($A277,Åmål!$A$4:$A$17,Åmål!G$4:G$17)),"")</f>
        <v/>
      </c>
      <c r="I277" s="153" t="str">
        <f>IFERROR(IF(_xlfn.XLOOKUP($A277,Åmål!$A$4:$A$17,Åmål!H$4:H$17)=0,"",_xlfn.XLOOKUP($A277,Åmål!$A$4:$A$17,Åmål!H$4:H$17)),"")</f>
        <v/>
      </c>
      <c r="J277" s="153" t="str">
        <f>IFERROR(IF(_xlfn.XLOOKUP($A277,Åmål!$A$4:$A$17,Åmål!I$4:I$17)=0,"",_xlfn.XLOOKUP($A277,Åmål!$A$4:$A$17,Åmål!I$4:I$17)),"")</f>
        <v/>
      </c>
      <c r="K277" s="153" t="str">
        <f>IFERROR(IF(_xlfn.XLOOKUP($A277,Åmål!$A$4:$A$17,Åmål!J$4:J$17)=0,"",_xlfn.XLOOKUP($A277,Åmål!$A$4:$A$17,Åmål!J$4:J$17)),"")</f>
        <v/>
      </c>
      <c r="L277" s="153" t="str">
        <f>IFERROR(IF(_xlfn.XLOOKUP($A277,Åmål!$A$4:$A$17,Åmål!K$4:K$17)=0,"",_xlfn.XLOOKUP($A277,Åmål!$A$4:$A$17,Åmål!K$4:K$17)),"")</f>
        <v/>
      </c>
      <c r="M277" s="153" t="str">
        <f>IFERROR(IF(_xlfn.XLOOKUP($A277,Åmål!$A$4:$A$17,Åmål!L$4:L$17)=0,"",_xlfn.XLOOKUP($A277,Åmål!$A$4:$A$17,Åmål!L$4:L$17)),"")</f>
        <v/>
      </c>
      <c r="N277" s="153" t="str">
        <f>IFERROR(IF(_xlfn.XLOOKUP($A277,Åmål!$A$4:$A$17,Åmål!M$4:M$17)=0,"",_xlfn.XLOOKUP($A277,Åmål!$A$4:$A$17,Åmål!M$4:M$17)),"")</f>
        <v/>
      </c>
      <c r="O277" s="154">
        <f>IFERROR(SUM(C277:N277),0)</f>
        <v>532</v>
      </c>
      <c r="P277" s="154">
        <f>IFERROR(IF($C$98="YTD",N(O277),N(INDEX(C277:N277,MATCH($C$98,$C$220:$N$220,0)))),0)</f>
        <v>171</v>
      </c>
      <c r="Q277">
        <f>IFERROR(N(P277)*100000+(301-ROW()),0)</f>
        <v>17100024</v>
      </c>
    </row>
    <row r="278" spans="1:17" hidden="1" outlineLevel="1">
      <c r="A278" s="152" t="s">
        <v>122</v>
      </c>
      <c r="B278" s="152" t="s">
        <v>95</v>
      </c>
      <c r="C278" s="153">
        <f>IFERROR(IF(_xlfn.XLOOKUP($A278,'Lilla Edet'!$A$4:$A$17,'Lilla Edet'!B$4:B$17)=0,"",_xlfn.XLOOKUP($A278,'Lilla Edet'!$A$4:$A$17,'Lilla Edet'!B$4:B$17)),"")</f>
        <v>131</v>
      </c>
      <c r="D278" s="153">
        <f>IFERROR(IF(_xlfn.XLOOKUP($A278,'Lilla Edet'!$A$4:$A$17,'Lilla Edet'!C$4:C$17)=0,"",_xlfn.XLOOKUP($A278,'Lilla Edet'!$A$4:$A$17,'Lilla Edet'!C$4:C$17)),"")</f>
        <v>111</v>
      </c>
      <c r="E278" s="153">
        <f>IFERROR(IF(_xlfn.XLOOKUP($A278,'Lilla Edet'!$A$4:$A$17,'Lilla Edet'!D$4:D$17)=0,"",_xlfn.XLOOKUP($A278,'Lilla Edet'!$A$4:$A$17,'Lilla Edet'!D$4:D$17)),"")</f>
        <v>115</v>
      </c>
      <c r="F278" s="153">
        <f>IFERROR(IF(_xlfn.XLOOKUP($A278,'Lilla Edet'!$A$4:$A$17,'Lilla Edet'!E$4:E$17)=0,"",_xlfn.XLOOKUP($A278,'Lilla Edet'!$A$4:$A$17,'Lilla Edet'!E$4:E$17)),"")</f>
        <v>159</v>
      </c>
      <c r="G278" s="153" t="str">
        <f>IFERROR(IF(_xlfn.XLOOKUP($A278,'Lilla Edet'!$A$4:$A$17,'Lilla Edet'!F$4:F$17)=0,"",_xlfn.XLOOKUP($A278,'Lilla Edet'!$A$4:$A$17,'Lilla Edet'!F$4:F$17)),"")</f>
        <v/>
      </c>
      <c r="H278" s="153" t="str">
        <f>IFERROR(IF(_xlfn.XLOOKUP($A278,'Lilla Edet'!$A$4:$A$17,'Lilla Edet'!G$4:G$17)=0,"",_xlfn.XLOOKUP($A278,'Lilla Edet'!$A$4:$A$17,'Lilla Edet'!G$4:G$17)),"")</f>
        <v/>
      </c>
      <c r="I278" s="153" t="str">
        <f>IFERROR(IF(_xlfn.XLOOKUP($A278,'Lilla Edet'!$A$4:$A$17,'Lilla Edet'!H$4:H$17)=0,"",_xlfn.XLOOKUP($A278,'Lilla Edet'!$A$4:$A$17,'Lilla Edet'!H$4:H$17)),"")</f>
        <v/>
      </c>
      <c r="J278" s="153" t="str">
        <f>IFERROR(IF(_xlfn.XLOOKUP($A278,'Lilla Edet'!$A$4:$A$17,'Lilla Edet'!I$4:I$17)=0,"",_xlfn.XLOOKUP($A278,'Lilla Edet'!$A$4:$A$17,'Lilla Edet'!I$4:I$17)),"")</f>
        <v/>
      </c>
      <c r="K278" s="153" t="str">
        <f>IFERROR(IF(_xlfn.XLOOKUP($A278,'Lilla Edet'!$A$4:$A$17,'Lilla Edet'!J$4:J$17)=0,"",_xlfn.XLOOKUP($A278,'Lilla Edet'!$A$4:$A$17,'Lilla Edet'!J$4:J$17)),"")</f>
        <v/>
      </c>
      <c r="L278" s="153" t="str">
        <f>IFERROR(IF(_xlfn.XLOOKUP($A278,'Lilla Edet'!$A$4:$A$17,'Lilla Edet'!K$4:K$17)=0,"",_xlfn.XLOOKUP($A278,'Lilla Edet'!$A$4:$A$17,'Lilla Edet'!K$4:K$17)),"")</f>
        <v/>
      </c>
      <c r="M278" s="153" t="str">
        <f>IFERROR(IF(_xlfn.XLOOKUP($A278,'Lilla Edet'!$A$4:$A$17,'Lilla Edet'!L$4:L$17)=0,"",_xlfn.XLOOKUP($A278,'Lilla Edet'!$A$4:$A$17,'Lilla Edet'!L$4:L$17)),"")</f>
        <v/>
      </c>
      <c r="N278" s="153" t="str">
        <f>IFERROR(IF(_xlfn.XLOOKUP($A278,'Lilla Edet'!$A$4:$A$17,'Lilla Edet'!M$4:M$17)=0,"",_xlfn.XLOOKUP($A278,'Lilla Edet'!$A$4:$A$17,'Lilla Edet'!M$4:M$17)),"")</f>
        <v/>
      </c>
      <c r="O278" s="154">
        <f>IFERROR(SUM(C278:N278),0)</f>
        <v>516</v>
      </c>
      <c r="P278" s="154">
        <f>IFERROR(IF($C$98="YTD",N(O278),N(INDEX(C278:N278,MATCH($C$98,$C$220:$N$220,0)))),0)</f>
        <v>115</v>
      </c>
      <c r="Q278">
        <f>IFERROR(N(P278)*100000+(301-ROW()),0)</f>
        <v>11500023</v>
      </c>
    </row>
    <row r="279" spans="1:17" hidden="1" outlineLevel="1">
      <c r="A279" s="152" t="s">
        <v>54</v>
      </c>
      <c r="B279" s="152" t="s">
        <v>28</v>
      </c>
      <c r="C279" s="153">
        <f>IFERROR(IF(_xlfn.XLOOKUP($A279,Majorna!$A$4:$A$17,Majorna!B$4:B$17)=0,"",_xlfn.XLOOKUP($A279,Majorna!$A$4:$A$17,Majorna!B$4:B$17)),"")</f>
        <v>88</v>
      </c>
      <c r="D279" s="153">
        <f>IFERROR(IF(_xlfn.XLOOKUP($A279,Majorna!$A$4:$A$17,Majorna!C$4:C$17)=0,"",_xlfn.XLOOKUP($A279,Majorna!$A$4:$A$17,Majorna!C$4:C$17)),"")</f>
        <v>114</v>
      </c>
      <c r="E279" s="153">
        <f>IFERROR(IF(_xlfn.XLOOKUP($A279,Majorna!$A$4:$A$17,Majorna!D$4:D$17)=0,"",_xlfn.XLOOKUP($A279,Majorna!$A$4:$A$17,Majorna!D$4:D$17)),"")</f>
        <v>124</v>
      </c>
      <c r="F279" s="153">
        <f>IFERROR(IF(_xlfn.XLOOKUP($A279,Majorna!$A$4:$A$17,Majorna!E$4:E$17)=0,"",_xlfn.XLOOKUP($A279,Majorna!$A$4:$A$17,Majorna!E$4:E$17)),"")</f>
        <v>34</v>
      </c>
      <c r="G279" s="153" t="str">
        <f>IFERROR(IF(_xlfn.XLOOKUP($A279,Majorna!$A$4:$A$17,Majorna!F$4:F$17)=0,"",_xlfn.XLOOKUP($A279,Majorna!$A$4:$A$17,Majorna!F$4:F$17)),"")</f>
        <v/>
      </c>
      <c r="H279" s="153" t="str">
        <f>IFERROR(IF(_xlfn.XLOOKUP($A279,Majorna!$A$4:$A$17,Majorna!G$4:G$17)=0,"",_xlfn.XLOOKUP($A279,Majorna!$A$4:$A$17,Majorna!G$4:G$17)),"")</f>
        <v/>
      </c>
      <c r="I279" s="153" t="str">
        <f>IFERROR(IF(_xlfn.XLOOKUP($A279,Majorna!$A$4:$A$17,Majorna!H$4:H$17)=0,"",_xlfn.XLOOKUP($A279,Majorna!$A$4:$A$17,Majorna!H$4:H$17)),"")</f>
        <v/>
      </c>
      <c r="J279" s="153" t="str">
        <f>IFERROR(IF(_xlfn.XLOOKUP($A279,Majorna!$A$4:$A$17,Majorna!I$4:I$17)=0,"",_xlfn.XLOOKUP($A279,Majorna!$A$4:$A$17,Majorna!I$4:I$17)),"")</f>
        <v/>
      </c>
      <c r="K279" s="153" t="str">
        <f>IFERROR(IF(_xlfn.XLOOKUP($A279,Majorna!$A$4:$A$17,Majorna!J$4:J$17)=0,"",_xlfn.XLOOKUP($A279,Majorna!$A$4:$A$17,Majorna!J$4:J$17)),"")</f>
        <v/>
      </c>
      <c r="L279" s="153" t="str">
        <f>IFERROR(IF(_xlfn.XLOOKUP($A279,Majorna!$A$4:$A$17,Majorna!K$4:K$17)=0,"",_xlfn.XLOOKUP($A279,Majorna!$A$4:$A$17,Majorna!K$4:K$17)),"")</f>
        <v/>
      </c>
      <c r="M279" s="153" t="str">
        <f>IFERROR(IF(_xlfn.XLOOKUP($A279,Majorna!$A$4:$A$17,Majorna!L$4:L$17)=0,"",_xlfn.XLOOKUP($A279,Majorna!$A$4:$A$17,Majorna!L$4:L$17)),"")</f>
        <v/>
      </c>
      <c r="N279" s="153" t="str">
        <f>IFERROR(IF(_xlfn.XLOOKUP($A279,Majorna!$A$4:$A$17,Majorna!M$4:M$17)=0,"",_xlfn.XLOOKUP($A279,Majorna!$A$4:$A$17,Majorna!M$4:M$17)),"")</f>
        <v/>
      </c>
      <c r="O279" s="154">
        <f>IFERROR(SUM(C279:N279),0)</f>
        <v>360</v>
      </c>
      <c r="P279" s="154">
        <f>IFERROR(IF($C$98="YTD",N(O279),N(INDEX(C279:N279,MATCH($C$98,$C$220:$N$220,0)))),0)</f>
        <v>124</v>
      </c>
      <c r="Q279">
        <f>IFERROR(N(P279)*100000+(301-ROW()),0)</f>
        <v>12400022</v>
      </c>
    </row>
    <row r="280" spans="1:17" hidden="1" outlineLevel="1">
      <c r="A280" s="152" t="s">
        <v>124</v>
      </c>
      <c r="B280" s="152" t="s">
        <v>141</v>
      </c>
      <c r="C280" s="153">
        <f>IFERROR(IF(_xlfn.XLOOKUP($A280,'Tanum och Fjällbacka'!$A$4:$A$17,'Tanum och Fjällbacka'!B$4:B$17)=0,"",_xlfn.XLOOKUP($A280,'Tanum och Fjällbacka'!$A$4:$A$17,'Tanum och Fjällbacka'!B$4:B$17)),"")</f>
        <v>102</v>
      </c>
      <c r="D280" s="153">
        <f>IFERROR(IF(_xlfn.XLOOKUP($A280,'Tanum och Fjällbacka'!$A$4:$A$17,'Tanum och Fjällbacka'!C$4:C$17)=0,"",_xlfn.XLOOKUP($A280,'Tanum och Fjällbacka'!$A$4:$A$17,'Tanum och Fjällbacka'!C$4:C$17)),"")</f>
        <v>100</v>
      </c>
      <c r="E280" s="153">
        <f>IFERROR(IF(_xlfn.XLOOKUP($A280,'Tanum och Fjällbacka'!$A$4:$A$17,'Tanum och Fjällbacka'!D$4:D$17)=0,"",_xlfn.XLOOKUP($A280,'Tanum och Fjällbacka'!$A$4:$A$17,'Tanum och Fjällbacka'!D$4:D$17)),"")</f>
        <v>121</v>
      </c>
      <c r="F280" s="153" t="str">
        <f>IFERROR(IF(_xlfn.XLOOKUP($A280,'Tanum och Fjällbacka'!$A$4:$A$17,'Tanum och Fjällbacka'!E$4:E$17)=0,"",_xlfn.XLOOKUP($A280,'Tanum och Fjällbacka'!$A$4:$A$17,'Tanum och Fjällbacka'!E$4:E$17)),"")</f>
        <v/>
      </c>
      <c r="G280" s="153" t="str">
        <f>IFERROR(IF(_xlfn.XLOOKUP($A280,'Tanum och Fjällbacka'!$A$4:$A$17,'Tanum och Fjällbacka'!F$4:F$17)=0,"",_xlfn.XLOOKUP($A280,'Tanum och Fjällbacka'!$A$4:$A$17,'Tanum och Fjällbacka'!F$4:F$17)),"")</f>
        <v/>
      </c>
      <c r="H280" s="153" t="str">
        <f>IFERROR(IF(_xlfn.XLOOKUP($A280,'Tanum och Fjällbacka'!$A$4:$A$17,'Tanum och Fjällbacka'!G$4:G$17)=0,"",_xlfn.XLOOKUP($A280,'Tanum och Fjällbacka'!$A$4:$A$17,'Tanum och Fjällbacka'!G$4:G$17)),"")</f>
        <v/>
      </c>
      <c r="I280" s="153" t="str">
        <f>IFERROR(IF(_xlfn.XLOOKUP($A280,'Tanum och Fjällbacka'!$A$4:$A$17,'Tanum och Fjällbacka'!H$4:H$17)=0,"",_xlfn.XLOOKUP($A280,'Tanum och Fjällbacka'!$A$4:$A$17,'Tanum och Fjällbacka'!H$4:H$17)),"")</f>
        <v/>
      </c>
      <c r="J280" s="153" t="str">
        <f>IFERROR(IF(_xlfn.XLOOKUP($A280,'Tanum och Fjällbacka'!$A$4:$A$17,'Tanum och Fjällbacka'!I$4:I$17)=0,"",_xlfn.XLOOKUP($A280,'Tanum och Fjällbacka'!$A$4:$A$17,'Tanum och Fjällbacka'!I$4:I$17)),"")</f>
        <v/>
      </c>
      <c r="K280" s="153" t="str">
        <f>IFERROR(IF(_xlfn.XLOOKUP($A280,'Tanum och Fjällbacka'!$A$4:$A$17,'Tanum och Fjällbacka'!J$4:J$17)=0,"",_xlfn.XLOOKUP($A280,'Tanum och Fjällbacka'!$A$4:$A$17,'Tanum och Fjällbacka'!J$4:J$17)),"")</f>
        <v/>
      </c>
      <c r="L280" s="153" t="str">
        <f>IFERROR(IF(_xlfn.XLOOKUP($A280,'Tanum och Fjällbacka'!$A$4:$A$17,'Tanum och Fjällbacka'!K$4:K$17)=0,"",_xlfn.XLOOKUP($A280,'Tanum och Fjällbacka'!$A$4:$A$17,'Tanum och Fjällbacka'!K$4:K$17)),"")</f>
        <v/>
      </c>
      <c r="M280" s="153" t="str">
        <f>IFERROR(IF(_xlfn.XLOOKUP($A280,'Tanum och Fjällbacka'!$A$4:$A$17,'Tanum och Fjällbacka'!L$4:L$17)=0,"",_xlfn.XLOOKUP($A280,'Tanum och Fjällbacka'!$A$4:$A$17,'Tanum och Fjällbacka'!L$4:L$17)),"")</f>
        <v/>
      </c>
      <c r="N280" s="153" t="str">
        <f>IFERROR(IF(_xlfn.XLOOKUP($A280,'Tanum och Fjällbacka'!$A$4:$A$17,'Tanum och Fjällbacka'!M$4:M$17)=0,"",_xlfn.XLOOKUP($A280,'Tanum och Fjällbacka'!$A$4:$A$17,'Tanum och Fjällbacka'!M$4:M$17)),"")</f>
        <v/>
      </c>
      <c r="O280" s="154">
        <f>IFERROR(SUM(C280:N280),0)</f>
        <v>323</v>
      </c>
      <c r="P280" s="154">
        <f>IFERROR(IF($C$98="YTD",N(O280),N(INDEX(C280:N280,MATCH($C$98,$C$220:$N$220,0)))),0)</f>
        <v>121</v>
      </c>
      <c r="Q280">
        <f>IFERROR(N(P280)*100000+(301-ROW()),0)</f>
        <v>12100021</v>
      </c>
    </row>
    <row r="281" spans="1:17" hidden="1" outlineLevel="1">
      <c r="A281" s="152" t="s">
        <v>130</v>
      </c>
      <c r="B281" s="152" t="s">
        <v>97</v>
      </c>
      <c r="C281" s="153" t="str">
        <f>IFERROR(IF(_xlfn.XLOOKUP($A281,Åmål!$A$4:$A$17,Åmål!B$4:B$17)=0,"",_xlfn.XLOOKUP($A281,Åmål!$A$4:$A$17,Åmål!B$4:B$17)),"")</f>
        <v/>
      </c>
      <c r="D281" s="153">
        <f>IFERROR(IF(_xlfn.XLOOKUP($A281,Åmål!$A$4:$A$17,Åmål!C$4:C$17)=0,"",_xlfn.XLOOKUP($A281,Åmål!$A$4:$A$17,Åmål!C$4:C$17)),"")</f>
        <v>128</v>
      </c>
      <c r="E281" s="153">
        <f>IFERROR(IF(_xlfn.XLOOKUP($A281,Åmål!$A$4:$A$17,Åmål!D$4:D$17)=0,"",_xlfn.XLOOKUP($A281,Åmål!$A$4:$A$17,Åmål!D$4:D$17)),"")</f>
        <v>185</v>
      </c>
      <c r="F281" s="153">
        <f>IFERROR(IF(_xlfn.XLOOKUP($A281,Åmål!$A$4:$A$17,Åmål!E$4:E$17)=0,"",_xlfn.XLOOKUP($A281,Åmål!$A$4:$A$17,Åmål!E$4:E$17)),"")</f>
        <v>141</v>
      </c>
      <c r="G281" s="153" t="str">
        <f>IFERROR(IF(_xlfn.XLOOKUP($A281,Åmål!$A$4:$A$17,Åmål!F$4:F$17)=0,"",_xlfn.XLOOKUP($A281,Åmål!$A$4:$A$17,Åmål!F$4:F$17)),"")</f>
        <v/>
      </c>
      <c r="H281" s="153" t="str">
        <f>IFERROR(IF(_xlfn.XLOOKUP($A281,Åmål!$A$4:$A$17,Åmål!G$4:G$17)=0,"",_xlfn.XLOOKUP($A281,Åmål!$A$4:$A$17,Åmål!G$4:G$17)),"")</f>
        <v/>
      </c>
      <c r="I281" s="153" t="str">
        <f>IFERROR(IF(_xlfn.XLOOKUP($A281,Åmål!$A$4:$A$17,Åmål!H$4:H$17)=0,"",_xlfn.XLOOKUP($A281,Åmål!$A$4:$A$17,Åmål!H$4:H$17)),"")</f>
        <v/>
      </c>
      <c r="J281" s="153" t="str">
        <f>IFERROR(IF(_xlfn.XLOOKUP($A281,Åmål!$A$4:$A$17,Åmål!I$4:I$17)=0,"",_xlfn.XLOOKUP($A281,Åmål!$A$4:$A$17,Åmål!I$4:I$17)),"")</f>
        <v/>
      </c>
      <c r="K281" s="153" t="str">
        <f>IFERROR(IF(_xlfn.XLOOKUP($A281,Åmål!$A$4:$A$17,Åmål!J$4:J$17)=0,"",_xlfn.XLOOKUP($A281,Åmål!$A$4:$A$17,Åmål!J$4:J$17)),"")</f>
        <v/>
      </c>
      <c r="L281" s="153" t="str">
        <f>IFERROR(IF(_xlfn.XLOOKUP($A281,Åmål!$A$4:$A$17,Åmål!K$4:K$17)=0,"",_xlfn.XLOOKUP($A281,Åmål!$A$4:$A$17,Åmål!K$4:K$17)),"")</f>
        <v/>
      </c>
      <c r="M281" s="153" t="str">
        <f>IFERROR(IF(_xlfn.XLOOKUP($A281,Åmål!$A$4:$A$17,Åmål!L$4:L$17)=0,"",_xlfn.XLOOKUP($A281,Åmål!$A$4:$A$17,Åmål!L$4:L$17)),"")</f>
        <v/>
      </c>
      <c r="N281" s="153" t="str">
        <f>IFERROR(IF(_xlfn.XLOOKUP($A281,Åmål!$A$4:$A$17,Åmål!M$4:M$17)=0,"",_xlfn.XLOOKUP($A281,Åmål!$A$4:$A$17,Åmål!M$4:M$17)),"")</f>
        <v/>
      </c>
      <c r="O281" s="154">
        <f>IFERROR(SUM(C281:N281),0)</f>
        <v>454</v>
      </c>
      <c r="P281" s="154">
        <f>IFERROR(IF($C$98="YTD",N(O281),N(INDEX(C281:N281,MATCH($C$98,$C$220:$N$220,0)))),0)</f>
        <v>185</v>
      </c>
      <c r="Q281">
        <f>IFERROR(N(P281)*100000+(301-ROW()),0)</f>
        <v>18500020</v>
      </c>
    </row>
    <row r="282" spans="1:17" hidden="1" outlineLevel="1">
      <c r="A282" s="152" t="s">
        <v>70</v>
      </c>
      <c r="B282" s="152" t="s">
        <v>31</v>
      </c>
      <c r="C282" s="153" t="str">
        <f>IFERROR(IF(_xlfn.XLOOKUP($A282,Olskroken!$A$4:$A$17,Olskroken!B$4:B$17)=0,"",_xlfn.XLOOKUP($A282,Olskroken!$A$4:$A$17,Olskroken!B$4:B$17)),"")</f>
        <v/>
      </c>
      <c r="D282" s="153">
        <f>IFERROR(IF(_xlfn.XLOOKUP($A282,Olskroken!$A$4:$A$17,Olskroken!C$4:C$17)=0,"",_xlfn.XLOOKUP($A282,Olskroken!$A$4:$A$17,Olskroken!C$4:C$17)),"")</f>
        <v>122</v>
      </c>
      <c r="E282" s="153">
        <f>IFERROR(IF(_xlfn.XLOOKUP($A282,Olskroken!$A$4:$A$17,Olskroken!D$4:D$17)=0,"",_xlfn.XLOOKUP($A282,Olskroken!$A$4:$A$17,Olskroken!D$4:D$17)),"")</f>
        <v>186</v>
      </c>
      <c r="F282" s="153">
        <f>IFERROR(IF(_xlfn.XLOOKUP($A282,Olskroken!$A$4:$A$17,Olskroken!E$4:E$17)=0,"",_xlfn.XLOOKUP($A282,Olskroken!$A$4:$A$17,Olskroken!E$4:E$17)),"")</f>
        <v>177</v>
      </c>
      <c r="G282" s="153" t="str">
        <f>IFERROR(IF(_xlfn.XLOOKUP($A282,Olskroken!$A$4:$A$17,Olskroken!F$4:F$17)=0,"",_xlfn.XLOOKUP($A282,Olskroken!$A$4:$A$17,Olskroken!F$4:F$17)),"")</f>
        <v/>
      </c>
      <c r="H282" s="153" t="str">
        <f>IFERROR(IF(_xlfn.XLOOKUP($A282,Olskroken!$A$4:$A$17,Olskroken!G$4:G$17)=0,"",_xlfn.XLOOKUP($A282,Olskroken!$A$4:$A$17,Olskroken!G$4:G$17)),"")</f>
        <v/>
      </c>
      <c r="I282" s="153" t="str">
        <f>IFERROR(IF(_xlfn.XLOOKUP($A282,Olskroken!$A$4:$A$17,Olskroken!H$4:H$17)=0,"",_xlfn.XLOOKUP($A282,Olskroken!$A$4:$A$17,Olskroken!H$4:H$17)),"")</f>
        <v/>
      </c>
      <c r="J282" s="153" t="str">
        <f>IFERROR(IF(_xlfn.XLOOKUP($A282,Olskroken!$A$4:$A$17,Olskroken!I$4:I$17)=0,"",_xlfn.XLOOKUP($A282,Olskroken!$A$4:$A$17,Olskroken!I$4:I$17)),"")</f>
        <v/>
      </c>
      <c r="K282" s="153" t="str">
        <f>IFERROR(IF(_xlfn.XLOOKUP($A282,Olskroken!$A$4:$A$17,Olskroken!J$4:J$17)=0,"",_xlfn.XLOOKUP($A282,Olskroken!$A$4:$A$17,Olskroken!J$4:J$17)),"")</f>
        <v/>
      </c>
      <c r="L282" s="153" t="str">
        <f>IFERROR(IF(_xlfn.XLOOKUP($A282,Olskroken!$A$4:$A$17,Olskroken!K$4:K$17)=0,"",_xlfn.XLOOKUP($A282,Olskroken!$A$4:$A$17,Olskroken!K$4:K$17)),"")</f>
        <v/>
      </c>
      <c r="M282" s="153" t="str">
        <f>IFERROR(IF(_xlfn.XLOOKUP($A282,Olskroken!$A$4:$A$17,Olskroken!L$4:L$17)=0,"",_xlfn.XLOOKUP($A282,Olskroken!$A$4:$A$17,Olskroken!L$4:L$17)),"")</f>
        <v/>
      </c>
      <c r="N282" s="153" t="str">
        <f>IFERROR(IF(_xlfn.XLOOKUP($A282,Olskroken!$A$4:$A$17,Olskroken!M$4:M$17)=0,"",_xlfn.XLOOKUP($A282,Olskroken!$A$4:$A$17,Olskroken!M$4:M$17)),"")</f>
        <v/>
      </c>
      <c r="O282" s="154">
        <f>IFERROR(SUM(C282:N282),0)</f>
        <v>485</v>
      </c>
      <c r="P282" s="154">
        <f>IFERROR(IF($C$98="YTD",N(O282),N(INDEX(C282:N282,MATCH($C$98,$C$220:$N$220,0)))),0)</f>
        <v>186</v>
      </c>
      <c r="Q282">
        <f>IFERROR(N(P282)*100000+(301-ROW()),0)</f>
        <v>18600019</v>
      </c>
    </row>
    <row r="283" spans="1:17" hidden="1" outlineLevel="1">
      <c r="A283" s="152" t="s">
        <v>189</v>
      </c>
      <c r="B283" s="152" t="s">
        <v>141</v>
      </c>
      <c r="C283" s="153" t="str">
        <f>IFERROR(IF(_xlfn.XLOOKUP($A283,'Tanum och Fjällbacka'!$A$4:$A$17,'Tanum och Fjällbacka'!B$4:B$17)=0,"",_xlfn.XLOOKUP($A283,'Tanum och Fjällbacka'!$A$4:$A$17,'Tanum och Fjällbacka'!B$4:B$17)),"")</f>
        <v/>
      </c>
      <c r="D283" s="153" t="str">
        <f>IFERROR(IF(_xlfn.XLOOKUP($A283,'Tanum och Fjällbacka'!$A$4:$A$17,'Tanum och Fjällbacka'!C$4:C$17)=0,"",_xlfn.XLOOKUP($A283,'Tanum och Fjällbacka'!$A$4:$A$17,'Tanum och Fjällbacka'!C$4:C$17)),"")</f>
        <v/>
      </c>
      <c r="E283" s="153" t="str">
        <f>IFERROR(IF(_xlfn.XLOOKUP($A283,'Tanum och Fjällbacka'!$A$4:$A$17,'Tanum och Fjällbacka'!D$4:D$17)=0,"",_xlfn.XLOOKUP($A283,'Tanum och Fjällbacka'!$A$4:$A$17,'Tanum och Fjällbacka'!D$4:D$17)),"")</f>
        <v/>
      </c>
      <c r="F283" s="153" t="str">
        <f>IFERROR(IF(_xlfn.XLOOKUP($A283,'Tanum och Fjällbacka'!$A$4:$A$17,'Tanum och Fjällbacka'!E$4:E$17)=0,"",_xlfn.XLOOKUP($A283,'Tanum och Fjällbacka'!$A$4:$A$17,'Tanum och Fjällbacka'!E$4:E$17)),"")</f>
        <v/>
      </c>
      <c r="G283" s="153" t="str">
        <f>IFERROR(IF(_xlfn.XLOOKUP($A283,'Tanum och Fjällbacka'!$A$4:$A$17,'Tanum och Fjällbacka'!F$4:F$17)=0,"",_xlfn.XLOOKUP($A283,'Tanum och Fjällbacka'!$A$4:$A$17,'Tanum och Fjällbacka'!F$4:F$17)),"")</f>
        <v/>
      </c>
      <c r="H283" s="153" t="str">
        <f>IFERROR(IF(_xlfn.XLOOKUP($A283,'Tanum och Fjällbacka'!$A$4:$A$17,'Tanum och Fjällbacka'!G$4:G$17)=0,"",_xlfn.XLOOKUP($A283,'Tanum och Fjällbacka'!$A$4:$A$17,'Tanum och Fjällbacka'!G$4:G$17)),"")</f>
        <v/>
      </c>
      <c r="I283" s="153" t="str">
        <f>IFERROR(IF(_xlfn.XLOOKUP($A283,'Tanum och Fjällbacka'!$A$4:$A$17,'Tanum och Fjällbacka'!H$4:H$17)=0,"",_xlfn.XLOOKUP($A283,'Tanum och Fjällbacka'!$A$4:$A$17,'Tanum och Fjällbacka'!H$4:H$17)),"")</f>
        <v/>
      </c>
      <c r="J283" s="153" t="str">
        <f>IFERROR(IF(_xlfn.XLOOKUP($A283,'Tanum och Fjällbacka'!$A$4:$A$17,'Tanum och Fjällbacka'!I$4:I$17)=0,"",_xlfn.XLOOKUP($A283,'Tanum och Fjällbacka'!$A$4:$A$17,'Tanum och Fjällbacka'!I$4:I$17)),"")</f>
        <v/>
      </c>
      <c r="K283" s="153" t="str">
        <f>IFERROR(IF(_xlfn.XLOOKUP($A283,'Tanum och Fjällbacka'!$A$4:$A$17,'Tanum och Fjällbacka'!J$4:J$17)=0,"",_xlfn.XLOOKUP($A283,'Tanum och Fjällbacka'!$A$4:$A$17,'Tanum och Fjällbacka'!J$4:J$17)),"")</f>
        <v/>
      </c>
      <c r="L283" s="153" t="str">
        <f>IFERROR(IF(_xlfn.XLOOKUP($A283,'Tanum och Fjällbacka'!$A$4:$A$17,'Tanum och Fjällbacka'!K$4:K$17)=0,"",_xlfn.XLOOKUP($A283,'Tanum och Fjällbacka'!$A$4:$A$17,'Tanum och Fjällbacka'!K$4:K$17)),"")</f>
        <v/>
      </c>
      <c r="M283" s="153" t="str">
        <f>IFERROR(IF(_xlfn.XLOOKUP($A283,'Tanum och Fjällbacka'!$A$4:$A$17,'Tanum och Fjällbacka'!L$4:L$17)=0,"",_xlfn.XLOOKUP($A283,'Tanum och Fjällbacka'!$A$4:$A$17,'Tanum och Fjällbacka'!L$4:L$17)),"")</f>
        <v/>
      </c>
      <c r="N283" s="153" t="str">
        <f>IFERROR(IF(_xlfn.XLOOKUP($A283,'Tanum och Fjällbacka'!$A$4:$A$17,'Tanum och Fjällbacka'!M$4:M$17)=0,"",_xlfn.XLOOKUP($A283,'Tanum och Fjällbacka'!$A$4:$A$17,'Tanum och Fjällbacka'!M$4:M$17)),"")</f>
        <v/>
      </c>
      <c r="O283" s="154">
        <f>IFERROR(SUM(C283:N283),0)</f>
        <v>0</v>
      </c>
      <c r="P283" s="154">
        <f>IFERROR(IF($C$98="YTD",N(O283),N(INDEX(C283:N283,MATCH($C$98,$C$220:$N$220,0)))),0)</f>
        <v>0</v>
      </c>
      <c r="Q283">
        <f>IFERROR(N(P283)*100000+(301-ROW()),0)</f>
        <v>18</v>
      </c>
    </row>
    <row r="284" spans="1:17" hidden="1" outlineLevel="1">
      <c r="A284" s="152" t="s">
        <v>53</v>
      </c>
      <c r="B284" s="152" t="s">
        <v>28</v>
      </c>
      <c r="C284" s="153">
        <f>IFERROR(IF(_xlfn.XLOOKUP($A284,Majorna!$A$4:$A$17,Majorna!B$4:B$17)=0,"",_xlfn.XLOOKUP($A284,Majorna!$A$4:$A$17,Majorna!B$4:B$17)),"")</f>
        <v>88</v>
      </c>
      <c r="D284" s="153">
        <f>IFERROR(IF(_xlfn.XLOOKUP($A284,Majorna!$A$4:$A$17,Majorna!C$4:C$17)=0,"",_xlfn.XLOOKUP($A284,Majorna!$A$4:$A$17,Majorna!C$4:C$17)),"")</f>
        <v>103</v>
      </c>
      <c r="E284" s="153">
        <f>IFERROR(IF(_xlfn.XLOOKUP($A284,Majorna!$A$4:$A$17,Majorna!D$4:D$17)=0,"",_xlfn.XLOOKUP($A284,Majorna!$A$4:$A$17,Majorna!D$4:D$17)),"")</f>
        <v>110</v>
      </c>
      <c r="F284" s="153">
        <f>IFERROR(IF(_xlfn.XLOOKUP($A284,Majorna!$A$4:$A$17,Majorna!E$4:E$17)=0,"",_xlfn.XLOOKUP($A284,Majorna!$A$4:$A$17,Majorna!E$4:E$17)),"")</f>
        <v>108</v>
      </c>
      <c r="G284" s="153" t="str">
        <f>IFERROR(IF(_xlfn.XLOOKUP($A284,Majorna!$A$4:$A$17,Majorna!F$4:F$17)=0,"",_xlfn.XLOOKUP($A284,Majorna!$A$4:$A$17,Majorna!F$4:F$17)),"")</f>
        <v/>
      </c>
      <c r="H284" s="153" t="str">
        <f>IFERROR(IF(_xlfn.XLOOKUP($A284,Majorna!$A$4:$A$17,Majorna!G$4:G$17)=0,"",_xlfn.XLOOKUP($A284,Majorna!$A$4:$A$17,Majorna!G$4:G$17)),"")</f>
        <v/>
      </c>
      <c r="I284" s="153" t="str">
        <f>IFERROR(IF(_xlfn.XLOOKUP($A284,Majorna!$A$4:$A$17,Majorna!H$4:H$17)=0,"",_xlfn.XLOOKUP($A284,Majorna!$A$4:$A$17,Majorna!H$4:H$17)),"")</f>
        <v/>
      </c>
      <c r="J284" s="153" t="str">
        <f>IFERROR(IF(_xlfn.XLOOKUP($A284,Majorna!$A$4:$A$17,Majorna!I$4:I$17)=0,"",_xlfn.XLOOKUP($A284,Majorna!$A$4:$A$17,Majorna!I$4:I$17)),"")</f>
        <v/>
      </c>
      <c r="K284" s="153" t="str">
        <f>IFERROR(IF(_xlfn.XLOOKUP($A284,Majorna!$A$4:$A$17,Majorna!J$4:J$17)=0,"",_xlfn.XLOOKUP($A284,Majorna!$A$4:$A$17,Majorna!J$4:J$17)),"")</f>
        <v/>
      </c>
      <c r="L284" s="153" t="str">
        <f>IFERROR(IF(_xlfn.XLOOKUP($A284,Majorna!$A$4:$A$17,Majorna!K$4:K$17)=0,"",_xlfn.XLOOKUP($A284,Majorna!$A$4:$A$17,Majorna!K$4:K$17)),"")</f>
        <v/>
      </c>
      <c r="M284" s="153" t="str">
        <f>IFERROR(IF(_xlfn.XLOOKUP($A284,Majorna!$A$4:$A$17,Majorna!L$4:L$17)=0,"",_xlfn.XLOOKUP($A284,Majorna!$A$4:$A$17,Majorna!L$4:L$17)),"")</f>
        <v/>
      </c>
      <c r="N284" s="153" t="str">
        <f>IFERROR(IF(_xlfn.XLOOKUP($A284,Majorna!$A$4:$A$17,Majorna!M$4:M$17)=0,"",_xlfn.XLOOKUP($A284,Majorna!$A$4:$A$17,Majorna!M$4:M$17)),"")</f>
        <v/>
      </c>
      <c r="O284" s="154">
        <f>IFERROR(SUM(C284:N284),0)</f>
        <v>409</v>
      </c>
      <c r="P284" s="154">
        <f>IFERROR(IF($C$98="YTD",N(O284),N(INDEX(C284:N284,MATCH($C$98,$C$220:$N$220,0)))),0)</f>
        <v>110</v>
      </c>
      <c r="Q284">
        <f>IFERROR(N(P284)*100000+(301-ROW()),0)</f>
        <v>11000017</v>
      </c>
    </row>
    <row r="285" spans="1:17" hidden="1" outlineLevel="1">
      <c r="A285" s="152" t="s">
        <v>159</v>
      </c>
      <c r="B285" s="152" t="s">
        <v>142</v>
      </c>
      <c r="C285" s="153">
        <f>IFERROR(IF(_xlfn.XLOOKUP($A285,'Brålanda-Torpa'!$A$4:$A$17,'Brålanda-Torpa'!B$4:B$17)=0,"",_xlfn.XLOOKUP($A285,'Brålanda-Torpa'!$A$4:$A$17,'Brålanda-Torpa'!B$4:B$17)),"")</f>
        <v>145</v>
      </c>
      <c r="D285" s="153">
        <f>IFERROR(IF(_xlfn.XLOOKUP($A285,'Brålanda-Torpa'!$A$4:$A$17,'Brålanda-Torpa'!C$4:C$17)=0,"",_xlfn.XLOOKUP($A285,'Brålanda-Torpa'!$A$4:$A$17,'Brålanda-Torpa'!C$4:C$17)),"")</f>
        <v>136</v>
      </c>
      <c r="E285" s="153">
        <f>IFERROR(IF(_xlfn.XLOOKUP($A285,'Brålanda-Torpa'!$A$4:$A$17,'Brålanda-Torpa'!D$4:D$17)=0,"",_xlfn.XLOOKUP($A285,'Brålanda-Torpa'!$A$4:$A$17,'Brålanda-Torpa'!D$4:D$17)),"")</f>
        <v>17</v>
      </c>
      <c r="F285" s="153" t="str">
        <f>IFERROR(IF(_xlfn.XLOOKUP($A285,'Brålanda-Torpa'!$A$4:$A$17,'Brålanda-Torpa'!E$4:E$17)=0,"",_xlfn.XLOOKUP($A285,'Brålanda-Torpa'!$A$4:$A$17,'Brålanda-Torpa'!E$4:E$17)),"")</f>
        <v/>
      </c>
      <c r="G285" s="153" t="str">
        <f>IFERROR(IF(_xlfn.XLOOKUP($A285,'Brålanda-Torpa'!$A$4:$A$17,'Brålanda-Torpa'!F$4:F$17)=0,"",_xlfn.XLOOKUP($A285,'Brålanda-Torpa'!$A$4:$A$17,'Brålanda-Torpa'!F$4:F$17)),"")</f>
        <v/>
      </c>
      <c r="H285" s="153" t="str">
        <f>IFERROR(IF(_xlfn.XLOOKUP($A285,'Brålanda-Torpa'!$A$4:$A$17,'Brålanda-Torpa'!G$4:G$17)=0,"",_xlfn.XLOOKUP($A285,'Brålanda-Torpa'!$A$4:$A$17,'Brålanda-Torpa'!G$4:G$17)),"")</f>
        <v/>
      </c>
      <c r="I285" s="153" t="str">
        <f>IFERROR(IF(_xlfn.XLOOKUP($A285,'Brålanda-Torpa'!$A$4:$A$17,'Brålanda-Torpa'!H$4:H$17)=0,"",_xlfn.XLOOKUP($A285,'Brålanda-Torpa'!$A$4:$A$17,'Brålanda-Torpa'!H$4:H$17)),"")</f>
        <v/>
      </c>
      <c r="J285" s="153" t="str">
        <f>IFERROR(IF(_xlfn.XLOOKUP($A285,'Brålanda-Torpa'!$A$4:$A$17,'Brålanda-Torpa'!I$4:I$17)=0,"",_xlfn.XLOOKUP($A285,'Brålanda-Torpa'!$A$4:$A$17,'Brålanda-Torpa'!I$4:I$17)),"")</f>
        <v/>
      </c>
      <c r="K285" s="153" t="str">
        <f>IFERROR(IF(_xlfn.XLOOKUP($A285,'Brålanda-Torpa'!$A$4:$A$17,'Brålanda-Torpa'!J$4:J$17)=0,"",_xlfn.XLOOKUP($A285,'Brålanda-Torpa'!$A$4:$A$17,'Brålanda-Torpa'!J$4:J$17)),"")</f>
        <v/>
      </c>
      <c r="L285" s="153" t="str">
        <f>IFERROR(IF(_xlfn.XLOOKUP($A285,'Brålanda-Torpa'!$A$4:$A$17,'Brålanda-Torpa'!K$4:K$17)=0,"",_xlfn.XLOOKUP($A285,'Brålanda-Torpa'!$A$4:$A$17,'Brålanda-Torpa'!K$4:K$17)),"")</f>
        <v/>
      </c>
      <c r="M285" s="153" t="str">
        <f>IFERROR(IF(_xlfn.XLOOKUP($A285,'Brålanda-Torpa'!$A$4:$A$17,'Brålanda-Torpa'!L$4:L$17)=0,"",_xlfn.XLOOKUP($A285,'Brålanda-Torpa'!$A$4:$A$17,'Brålanda-Torpa'!L$4:L$17)),"")</f>
        <v/>
      </c>
      <c r="N285" s="153" t="str">
        <f>IFERROR(IF(_xlfn.XLOOKUP($A285,'Brålanda-Torpa'!$A$4:$A$17,'Brålanda-Torpa'!M$4:M$17)=0,"",_xlfn.XLOOKUP($A285,'Brålanda-Torpa'!$A$4:$A$17,'Brålanda-Torpa'!M$4:M$17)),"")</f>
        <v/>
      </c>
      <c r="O285" s="154">
        <f>IFERROR(SUM(C285:N285),0)</f>
        <v>298</v>
      </c>
      <c r="P285" s="154">
        <f>IFERROR(IF($C$98="YTD",N(O285),N(INDEX(C285:N285,MATCH($C$98,$C$220:$N$220,0)))),0)</f>
        <v>17</v>
      </c>
      <c r="Q285">
        <f>IFERROR(N(P285)*100000+(301-ROW()),0)</f>
        <v>1700016</v>
      </c>
    </row>
    <row r="286" spans="1:17" hidden="1" outlineLevel="1">
      <c r="A286" s="152" t="s">
        <v>190</v>
      </c>
      <c r="B286" s="152" t="s">
        <v>95</v>
      </c>
      <c r="C286" s="153" t="str">
        <f>IFERROR(IF(_xlfn.XLOOKUP($A286,'Lilla Edet'!$A$4:$A$17,'Lilla Edet'!B$4:B$17)=0,"",_xlfn.XLOOKUP($A286,'Lilla Edet'!$A$4:$A$17,'Lilla Edet'!B$4:B$17)),"")</f>
        <v/>
      </c>
      <c r="D286" s="153" t="str">
        <f>IFERROR(IF(_xlfn.XLOOKUP($A286,'Lilla Edet'!$A$4:$A$17,'Lilla Edet'!C$4:C$17)=0,"",_xlfn.XLOOKUP($A286,'Lilla Edet'!$A$4:$A$17,'Lilla Edet'!C$4:C$17)),"")</f>
        <v/>
      </c>
      <c r="E286" s="153" t="str">
        <f>IFERROR(IF(_xlfn.XLOOKUP($A286,'Lilla Edet'!$A$4:$A$17,'Lilla Edet'!D$4:D$17)=0,"",_xlfn.XLOOKUP($A286,'Lilla Edet'!$A$4:$A$17,'Lilla Edet'!D$4:D$17)),"")</f>
        <v/>
      </c>
      <c r="F286" s="153" t="str">
        <f>IFERROR(IF(_xlfn.XLOOKUP($A286,'Lilla Edet'!$A$4:$A$17,'Lilla Edet'!E$4:E$17)=0,"",_xlfn.XLOOKUP($A286,'Lilla Edet'!$A$4:$A$17,'Lilla Edet'!E$4:E$17)),"")</f>
        <v/>
      </c>
      <c r="G286" s="153" t="str">
        <f>IFERROR(IF(_xlfn.XLOOKUP($A286,'Lilla Edet'!$A$4:$A$17,'Lilla Edet'!F$4:F$17)=0,"",_xlfn.XLOOKUP($A286,'Lilla Edet'!$A$4:$A$17,'Lilla Edet'!F$4:F$17)),"")</f>
        <v/>
      </c>
      <c r="H286" s="153" t="str">
        <f>IFERROR(IF(_xlfn.XLOOKUP($A286,'Lilla Edet'!$A$4:$A$17,'Lilla Edet'!G$4:G$17)=0,"",_xlfn.XLOOKUP($A286,'Lilla Edet'!$A$4:$A$17,'Lilla Edet'!G$4:G$17)),"")</f>
        <v/>
      </c>
      <c r="I286" s="153" t="str">
        <f>IFERROR(IF(_xlfn.XLOOKUP($A286,'Lilla Edet'!$A$4:$A$17,'Lilla Edet'!H$4:H$17)=0,"",_xlfn.XLOOKUP($A286,'Lilla Edet'!$A$4:$A$17,'Lilla Edet'!H$4:H$17)),"")</f>
        <v/>
      </c>
      <c r="J286" s="153" t="str">
        <f>IFERROR(IF(_xlfn.XLOOKUP($A286,'Lilla Edet'!$A$4:$A$17,'Lilla Edet'!I$4:I$17)=0,"",_xlfn.XLOOKUP($A286,'Lilla Edet'!$A$4:$A$17,'Lilla Edet'!I$4:I$17)),"")</f>
        <v/>
      </c>
      <c r="K286" s="153" t="str">
        <f>IFERROR(IF(_xlfn.XLOOKUP($A286,'Lilla Edet'!$A$4:$A$17,'Lilla Edet'!J$4:J$17)=0,"",_xlfn.XLOOKUP($A286,'Lilla Edet'!$A$4:$A$17,'Lilla Edet'!J$4:J$17)),"")</f>
        <v/>
      </c>
      <c r="L286" s="153" t="str">
        <f>IFERROR(IF(_xlfn.XLOOKUP($A286,'Lilla Edet'!$A$4:$A$17,'Lilla Edet'!K$4:K$17)=0,"",_xlfn.XLOOKUP($A286,'Lilla Edet'!$A$4:$A$17,'Lilla Edet'!K$4:K$17)),"")</f>
        <v/>
      </c>
      <c r="M286" s="153" t="str">
        <f>IFERROR(IF(_xlfn.XLOOKUP($A286,'Lilla Edet'!$A$4:$A$17,'Lilla Edet'!L$4:L$17)=0,"",_xlfn.XLOOKUP($A286,'Lilla Edet'!$A$4:$A$17,'Lilla Edet'!L$4:L$17)),"")</f>
        <v/>
      </c>
      <c r="N286" s="153" t="str">
        <f>IFERROR(IF(_xlfn.XLOOKUP($A286,'Lilla Edet'!$A$4:$A$17,'Lilla Edet'!M$4:M$17)=0,"",_xlfn.XLOOKUP($A286,'Lilla Edet'!$A$4:$A$17,'Lilla Edet'!M$4:M$17)),"")</f>
        <v/>
      </c>
      <c r="O286" s="154">
        <f>IFERROR(SUM(C286:N286),0)</f>
        <v>0</v>
      </c>
      <c r="P286" s="154">
        <f>IFERROR(IF($C$98="YTD",N(O286),N(INDEX(C286:N286,MATCH($C$98,$C$220:$N$220,0)))),0)</f>
        <v>0</v>
      </c>
      <c r="Q286">
        <f>IFERROR(N(P286)*100000+(301-ROW()),0)</f>
        <v>15</v>
      </c>
    </row>
    <row r="287" spans="1:17" hidden="1" outlineLevel="1">
      <c r="A287" s="152" t="s">
        <v>150</v>
      </c>
      <c r="B287" s="152" t="s">
        <v>141</v>
      </c>
      <c r="C287" s="153">
        <f>IFERROR(IF(_xlfn.XLOOKUP($A287,'Tanum och Fjällbacka'!$A$4:$A$17,'Tanum och Fjällbacka'!B$4:B$17)=0,"",_xlfn.XLOOKUP($A287,'Tanum och Fjällbacka'!$A$4:$A$17,'Tanum och Fjällbacka'!B$4:B$17)),"")</f>
        <v>95</v>
      </c>
      <c r="D287" s="153">
        <f>IFERROR(IF(_xlfn.XLOOKUP($A287,'Tanum och Fjällbacka'!$A$4:$A$17,'Tanum och Fjällbacka'!C$4:C$17)=0,"",_xlfn.XLOOKUP($A287,'Tanum och Fjällbacka'!$A$4:$A$17,'Tanum och Fjällbacka'!C$4:C$17)),"")</f>
        <v>99</v>
      </c>
      <c r="E287" s="153">
        <f>IFERROR(IF(_xlfn.XLOOKUP($A287,'Tanum och Fjällbacka'!$A$4:$A$17,'Tanum och Fjällbacka'!D$4:D$17)=0,"",_xlfn.XLOOKUP($A287,'Tanum och Fjällbacka'!$A$4:$A$17,'Tanum och Fjällbacka'!D$4:D$17)),"")</f>
        <v>77</v>
      </c>
      <c r="F287" s="153">
        <f>IFERROR(IF(_xlfn.XLOOKUP($A287,'Tanum och Fjällbacka'!$A$4:$A$17,'Tanum och Fjällbacka'!E$4:E$17)=0,"",_xlfn.XLOOKUP($A287,'Tanum och Fjällbacka'!$A$4:$A$17,'Tanum och Fjällbacka'!E$4:E$17)),"")</f>
        <v>109</v>
      </c>
      <c r="G287" s="153" t="str">
        <f>IFERROR(IF(_xlfn.XLOOKUP($A287,'Tanum och Fjällbacka'!$A$4:$A$17,'Tanum och Fjällbacka'!F$4:F$17)=0,"",_xlfn.XLOOKUP($A287,'Tanum och Fjällbacka'!$A$4:$A$17,'Tanum och Fjällbacka'!F$4:F$17)),"")</f>
        <v/>
      </c>
      <c r="H287" s="153" t="str">
        <f>IFERROR(IF(_xlfn.XLOOKUP($A287,'Tanum och Fjällbacka'!$A$4:$A$17,'Tanum och Fjällbacka'!G$4:G$17)=0,"",_xlfn.XLOOKUP($A287,'Tanum och Fjällbacka'!$A$4:$A$17,'Tanum och Fjällbacka'!G$4:G$17)),"")</f>
        <v/>
      </c>
      <c r="I287" s="153" t="str">
        <f>IFERROR(IF(_xlfn.XLOOKUP($A287,'Tanum och Fjällbacka'!$A$4:$A$17,'Tanum och Fjällbacka'!H$4:H$17)=0,"",_xlfn.XLOOKUP($A287,'Tanum och Fjällbacka'!$A$4:$A$17,'Tanum och Fjällbacka'!H$4:H$17)),"")</f>
        <v/>
      </c>
      <c r="J287" s="153" t="str">
        <f>IFERROR(IF(_xlfn.XLOOKUP($A287,'Tanum och Fjällbacka'!$A$4:$A$17,'Tanum och Fjällbacka'!I$4:I$17)=0,"",_xlfn.XLOOKUP($A287,'Tanum och Fjällbacka'!$A$4:$A$17,'Tanum och Fjällbacka'!I$4:I$17)),"")</f>
        <v/>
      </c>
      <c r="K287" s="153" t="str">
        <f>IFERROR(IF(_xlfn.XLOOKUP($A287,'Tanum och Fjällbacka'!$A$4:$A$17,'Tanum och Fjällbacka'!J$4:J$17)=0,"",_xlfn.XLOOKUP($A287,'Tanum och Fjällbacka'!$A$4:$A$17,'Tanum och Fjällbacka'!J$4:J$17)),"")</f>
        <v/>
      </c>
      <c r="L287" s="153" t="str">
        <f>IFERROR(IF(_xlfn.XLOOKUP($A287,'Tanum och Fjällbacka'!$A$4:$A$17,'Tanum och Fjällbacka'!K$4:K$17)=0,"",_xlfn.XLOOKUP($A287,'Tanum och Fjällbacka'!$A$4:$A$17,'Tanum och Fjällbacka'!K$4:K$17)),"")</f>
        <v/>
      </c>
      <c r="M287" s="153" t="str">
        <f>IFERROR(IF(_xlfn.XLOOKUP($A287,'Tanum och Fjällbacka'!$A$4:$A$17,'Tanum och Fjällbacka'!L$4:L$17)=0,"",_xlfn.XLOOKUP($A287,'Tanum och Fjällbacka'!$A$4:$A$17,'Tanum och Fjällbacka'!L$4:L$17)),"")</f>
        <v/>
      </c>
      <c r="N287" s="153" t="str">
        <f>IFERROR(IF(_xlfn.XLOOKUP($A287,'Tanum och Fjällbacka'!$A$4:$A$17,'Tanum och Fjällbacka'!M$4:M$17)=0,"",_xlfn.XLOOKUP($A287,'Tanum och Fjällbacka'!$A$4:$A$17,'Tanum och Fjällbacka'!M$4:M$17)),"")</f>
        <v/>
      </c>
      <c r="O287" s="154">
        <f>IFERROR(SUM(C287:N287),0)</f>
        <v>380</v>
      </c>
      <c r="P287" s="154">
        <f>IFERROR(IF($C$98="YTD",N(O287),N(INDEX(C287:N287,MATCH($C$98,$C$220:$N$220,0)))),0)</f>
        <v>77</v>
      </c>
      <c r="Q287">
        <f>IFERROR(N(P287)*100000+(301-ROW()),0)</f>
        <v>7700014</v>
      </c>
    </row>
    <row r="288" spans="1:17" hidden="1" outlineLevel="1">
      <c r="A288" s="152" t="s">
        <v>148</v>
      </c>
      <c r="B288" s="152" t="s">
        <v>33</v>
      </c>
      <c r="C288" s="153">
        <f>IFERROR(IF(_xlfn.XLOOKUP($A288,Karlastaden!$A$4:$A$17,Karlastaden!B$4:B$17)=0,"",_xlfn.XLOOKUP($A288,Karlastaden!$A$4:$A$17,Karlastaden!B$4:B$17)),"")</f>
        <v>107</v>
      </c>
      <c r="D288" s="153">
        <f>IFERROR(IF(_xlfn.XLOOKUP($A288,Karlastaden!$A$4:$A$17,Karlastaden!C$4:C$17)=0,"",_xlfn.XLOOKUP($A288,Karlastaden!$A$4:$A$17,Karlastaden!C$4:C$17)),"")</f>
        <v>100</v>
      </c>
      <c r="E288" s="153">
        <f>IFERROR(IF(_xlfn.XLOOKUP($A288,Karlastaden!$A$4:$A$17,Karlastaden!D$4:D$17)=0,"",_xlfn.XLOOKUP($A288,Karlastaden!$A$4:$A$17,Karlastaden!D$4:D$17)),"")</f>
        <v>54</v>
      </c>
      <c r="F288" s="153" t="str">
        <f>IFERROR(IF(_xlfn.XLOOKUP($A288,Karlastaden!$A$4:$A$17,Karlastaden!E$4:E$17)=0,"",_xlfn.XLOOKUP($A288,Karlastaden!$A$4:$A$17,Karlastaden!E$4:E$17)),"")</f>
        <v/>
      </c>
      <c r="G288" s="153" t="str">
        <f>IFERROR(IF(_xlfn.XLOOKUP($A288,Karlastaden!$A$4:$A$17,Karlastaden!F$4:F$17)=0,"",_xlfn.XLOOKUP($A288,Karlastaden!$A$4:$A$17,Karlastaden!F$4:F$17)),"")</f>
        <v/>
      </c>
      <c r="H288" s="153" t="str">
        <f>IFERROR(IF(_xlfn.XLOOKUP($A288,Karlastaden!$A$4:$A$17,Karlastaden!G$4:G$17)=0,"",_xlfn.XLOOKUP($A288,Karlastaden!$A$4:$A$17,Karlastaden!G$4:G$17)),"")</f>
        <v/>
      </c>
      <c r="I288" s="153" t="str">
        <f>IFERROR(IF(_xlfn.XLOOKUP($A288,Karlastaden!$A$4:$A$17,Karlastaden!H$4:H$17)=0,"",_xlfn.XLOOKUP($A288,Karlastaden!$A$4:$A$17,Karlastaden!H$4:H$17)),"")</f>
        <v/>
      </c>
      <c r="J288" s="153" t="str">
        <f>IFERROR(IF(_xlfn.XLOOKUP($A288,Karlastaden!$A$4:$A$17,Karlastaden!I$4:I$17)=0,"",_xlfn.XLOOKUP($A288,Karlastaden!$A$4:$A$17,Karlastaden!I$4:I$17)),"")</f>
        <v/>
      </c>
      <c r="K288" s="153" t="str">
        <f>IFERROR(IF(_xlfn.XLOOKUP($A288,Karlastaden!$A$4:$A$17,Karlastaden!J$4:J$17)=0,"",_xlfn.XLOOKUP($A288,Karlastaden!$A$4:$A$17,Karlastaden!J$4:J$17)),"")</f>
        <v/>
      </c>
      <c r="L288" s="153" t="str">
        <f>IFERROR(IF(_xlfn.XLOOKUP($A288,Karlastaden!$A$4:$A$17,Karlastaden!K$4:K$17)=0,"",_xlfn.XLOOKUP($A288,Karlastaden!$A$4:$A$17,Karlastaden!K$4:K$17)),"")</f>
        <v/>
      </c>
      <c r="M288" s="153" t="str">
        <f>IFERROR(IF(_xlfn.XLOOKUP($A288,Karlastaden!$A$4:$A$17,Karlastaden!L$4:L$17)=0,"",_xlfn.XLOOKUP($A288,Karlastaden!$A$4:$A$17,Karlastaden!L$4:L$17)),"")</f>
        <v/>
      </c>
      <c r="N288" s="153" t="str">
        <f>IFERROR(IF(_xlfn.XLOOKUP($A288,Karlastaden!$A$4:$A$17,Karlastaden!M$4:M$17)=0,"",_xlfn.XLOOKUP($A288,Karlastaden!$A$4:$A$17,Karlastaden!M$4:M$17)),"")</f>
        <v/>
      </c>
      <c r="O288" s="154">
        <f>IFERROR(SUM(C288:N288),0)</f>
        <v>261</v>
      </c>
      <c r="P288" s="154">
        <f>IFERROR(IF($C$98="YTD",N(O288),N(INDEX(C288:N288,MATCH($C$98,$C$220:$N$220,0)))),0)</f>
        <v>54</v>
      </c>
      <c r="Q288">
        <f>IFERROR(N(P288)*100000+(301-ROW()),0)</f>
        <v>5400013</v>
      </c>
    </row>
    <row r="289" spans="1:17" hidden="1" outlineLevel="1">
      <c r="A289" s="152" t="s">
        <v>100</v>
      </c>
      <c r="B289" s="152" t="s">
        <v>142</v>
      </c>
      <c r="C289" s="153">
        <f>IFERROR(IF(_xlfn.XLOOKUP($A289,'Brålanda-Torpa'!$A$4:$A$17,'Brålanda-Torpa'!B$4:B$17)=0,"",_xlfn.XLOOKUP($A289,'Brålanda-Torpa'!$A$4:$A$17,'Brålanda-Torpa'!B$4:B$17)),"")</f>
        <v>167</v>
      </c>
      <c r="D289" s="153">
        <f>IFERROR(IF(_xlfn.XLOOKUP($A289,'Brålanda-Torpa'!$A$4:$A$17,'Brålanda-Torpa'!C$4:C$17)=0,"",_xlfn.XLOOKUP($A289,'Brålanda-Torpa'!$A$4:$A$17,'Brålanda-Torpa'!C$4:C$17)),"")</f>
        <v>86</v>
      </c>
      <c r="E289" s="153" t="str">
        <f>IFERROR(IF(_xlfn.XLOOKUP($A289,'Brålanda-Torpa'!$A$4:$A$17,'Brålanda-Torpa'!D$4:D$17)=0,"",_xlfn.XLOOKUP($A289,'Brålanda-Torpa'!$A$4:$A$17,'Brålanda-Torpa'!D$4:D$17)),"")</f>
        <v/>
      </c>
      <c r="F289" s="153" t="str">
        <f>IFERROR(IF(_xlfn.XLOOKUP($A289,'Brålanda-Torpa'!$A$4:$A$17,'Brålanda-Torpa'!E$4:E$17)=0,"",_xlfn.XLOOKUP($A289,'Brålanda-Torpa'!$A$4:$A$17,'Brålanda-Torpa'!E$4:E$17)),"")</f>
        <v/>
      </c>
      <c r="G289" s="153" t="str">
        <f>IFERROR(IF(_xlfn.XLOOKUP($A289,'Brålanda-Torpa'!$A$4:$A$17,'Brålanda-Torpa'!F$4:F$17)=0,"",_xlfn.XLOOKUP($A289,'Brålanda-Torpa'!$A$4:$A$17,'Brålanda-Torpa'!F$4:F$17)),"")</f>
        <v/>
      </c>
      <c r="H289" s="153" t="str">
        <f>IFERROR(IF(_xlfn.XLOOKUP($A289,'Brålanda-Torpa'!$A$4:$A$17,'Brålanda-Torpa'!G$4:G$17)=0,"",_xlfn.XLOOKUP($A289,'Brålanda-Torpa'!$A$4:$A$17,'Brålanda-Torpa'!G$4:G$17)),"")</f>
        <v/>
      </c>
      <c r="I289" s="153" t="str">
        <f>IFERROR(IF(_xlfn.XLOOKUP($A289,'Brålanda-Torpa'!$A$4:$A$17,'Brålanda-Torpa'!H$4:H$17)=0,"",_xlfn.XLOOKUP($A289,'Brålanda-Torpa'!$A$4:$A$17,'Brålanda-Torpa'!H$4:H$17)),"")</f>
        <v/>
      </c>
      <c r="J289" s="153" t="str">
        <f>IFERROR(IF(_xlfn.XLOOKUP($A289,'Brålanda-Torpa'!$A$4:$A$17,'Brålanda-Torpa'!I$4:I$17)=0,"",_xlfn.XLOOKUP($A289,'Brålanda-Torpa'!$A$4:$A$17,'Brålanda-Torpa'!I$4:I$17)),"")</f>
        <v/>
      </c>
      <c r="K289" s="153" t="str">
        <f>IFERROR(IF(_xlfn.XLOOKUP($A289,'Brålanda-Torpa'!$A$4:$A$17,'Brålanda-Torpa'!J$4:J$17)=0,"",_xlfn.XLOOKUP($A289,'Brålanda-Torpa'!$A$4:$A$17,'Brålanda-Torpa'!J$4:J$17)),"")</f>
        <v/>
      </c>
      <c r="L289" s="153" t="str">
        <f>IFERROR(IF(_xlfn.XLOOKUP($A289,'Brålanda-Torpa'!$A$4:$A$17,'Brålanda-Torpa'!K$4:K$17)=0,"",_xlfn.XLOOKUP($A289,'Brålanda-Torpa'!$A$4:$A$17,'Brålanda-Torpa'!K$4:K$17)),"")</f>
        <v/>
      </c>
      <c r="M289" s="153" t="str">
        <f>IFERROR(IF(_xlfn.XLOOKUP($A289,'Brålanda-Torpa'!$A$4:$A$17,'Brålanda-Torpa'!L$4:L$17)=0,"",_xlfn.XLOOKUP($A289,'Brålanda-Torpa'!$A$4:$A$17,'Brålanda-Torpa'!L$4:L$17)),"")</f>
        <v/>
      </c>
      <c r="N289" s="153" t="str">
        <f>IFERROR(IF(_xlfn.XLOOKUP($A289,'Brålanda-Torpa'!$A$4:$A$17,'Brålanda-Torpa'!M$4:M$17)=0,"",_xlfn.XLOOKUP($A289,'Brålanda-Torpa'!$A$4:$A$17,'Brålanda-Torpa'!M$4:M$17)),"")</f>
        <v/>
      </c>
      <c r="O289" s="154">
        <f>IFERROR(SUM(C289:N289),0)</f>
        <v>253</v>
      </c>
      <c r="P289" s="154">
        <f>IFERROR(IF($C$98="YTD",N(O289),N(INDEX(C289:N289,MATCH($C$98,$C$220:$N$220,0)))),0)</f>
        <v>0</v>
      </c>
      <c r="Q289">
        <f>IFERROR(N(P289)*100000+(301-ROW()),0)</f>
        <v>12</v>
      </c>
    </row>
    <row r="290" spans="1:17" hidden="1" outlineLevel="1">
      <c r="A290" s="152" t="s">
        <v>160</v>
      </c>
      <c r="B290" s="152" t="s">
        <v>142</v>
      </c>
      <c r="C290" s="153">
        <f>IFERROR(IF(_xlfn.XLOOKUP($A290,'Brålanda-Torpa'!$A$4:$A$17,'Brålanda-Torpa'!B$4:B$17)=0,"",_xlfn.XLOOKUP($A290,'Brålanda-Torpa'!$A$4:$A$17,'Brålanda-Torpa'!B$4:B$17)),"")</f>
        <v>73</v>
      </c>
      <c r="D290" s="153">
        <f>IFERROR(IF(_xlfn.XLOOKUP($A290,'Brålanda-Torpa'!$A$4:$A$17,'Brålanda-Torpa'!C$4:C$17)=0,"",_xlfn.XLOOKUP($A290,'Brålanda-Torpa'!$A$4:$A$17,'Brålanda-Torpa'!C$4:C$17)),"")</f>
        <v>81</v>
      </c>
      <c r="E290" s="153">
        <f>IFERROR(IF(_xlfn.XLOOKUP($A290,'Brålanda-Torpa'!$A$4:$A$17,'Brålanda-Torpa'!D$4:D$17)=0,"",_xlfn.XLOOKUP($A290,'Brålanda-Torpa'!$A$4:$A$17,'Brålanda-Torpa'!D$4:D$17)),"")</f>
        <v>97</v>
      </c>
      <c r="F290" s="153">
        <f>IFERROR(IF(_xlfn.XLOOKUP($A290,'Brålanda-Torpa'!$A$4:$A$17,'Brålanda-Torpa'!E$4:E$17)=0,"",_xlfn.XLOOKUP($A290,'Brålanda-Torpa'!$A$4:$A$17,'Brålanda-Torpa'!E$4:E$17)),"")</f>
        <v>142</v>
      </c>
      <c r="G290" s="153" t="str">
        <f>IFERROR(IF(_xlfn.XLOOKUP($A290,'Brålanda-Torpa'!$A$4:$A$17,'Brålanda-Torpa'!F$4:F$17)=0,"",_xlfn.XLOOKUP($A290,'Brålanda-Torpa'!$A$4:$A$17,'Brålanda-Torpa'!F$4:F$17)),"")</f>
        <v/>
      </c>
      <c r="H290" s="153" t="str">
        <f>IFERROR(IF(_xlfn.XLOOKUP($A290,'Brålanda-Torpa'!$A$4:$A$17,'Brålanda-Torpa'!G$4:G$17)=0,"",_xlfn.XLOOKUP($A290,'Brålanda-Torpa'!$A$4:$A$17,'Brålanda-Torpa'!G$4:G$17)),"")</f>
        <v/>
      </c>
      <c r="I290" s="153" t="str">
        <f>IFERROR(IF(_xlfn.XLOOKUP($A290,'Brålanda-Torpa'!$A$4:$A$17,'Brålanda-Torpa'!H$4:H$17)=0,"",_xlfn.XLOOKUP($A290,'Brålanda-Torpa'!$A$4:$A$17,'Brålanda-Torpa'!H$4:H$17)),"")</f>
        <v/>
      </c>
      <c r="J290" s="153" t="str">
        <f>IFERROR(IF(_xlfn.XLOOKUP($A290,'Brålanda-Torpa'!$A$4:$A$17,'Brålanda-Torpa'!I$4:I$17)=0,"",_xlfn.XLOOKUP($A290,'Brålanda-Torpa'!$A$4:$A$17,'Brålanda-Torpa'!I$4:I$17)),"")</f>
        <v/>
      </c>
      <c r="K290" s="153" t="str">
        <f>IFERROR(IF(_xlfn.XLOOKUP($A290,'Brålanda-Torpa'!$A$4:$A$17,'Brålanda-Torpa'!J$4:J$17)=0,"",_xlfn.XLOOKUP($A290,'Brålanda-Torpa'!$A$4:$A$17,'Brålanda-Torpa'!J$4:J$17)),"")</f>
        <v/>
      </c>
      <c r="L290" s="153" t="str">
        <f>IFERROR(IF(_xlfn.XLOOKUP($A290,'Brålanda-Torpa'!$A$4:$A$17,'Brålanda-Torpa'!K$4:K$17)=0,"",_xlfn.XLOOKUP($A290,'Brålanda-Torpa'!$A$4:$A$17,'Brålanda-Torpa'!K$4:K$17)),"")</f>
        <v/>
      </c>
      <c r="M290" s="153" t="str">
        <f>IFERROR(IF(_xlfn.XLOOKUP($A290,'Brålanda-Torpa'!$A$4:$A$17,'Brålanda-Torpa'!L$4:L$17)=0,"",_xlfn.XLOOKUP($A290,'Brålanda-Torpa'!$A$4:$A$17,'Brålanda-Torpa'!L$4:L$17)),"")</f>
        <v/>
      </c>
      <c r="N290" s="153" t="str">
        <f>IFERROR(IF(_xlfn.XLOOKUP($A290,'Brålanda-Torpa'!$A$4:$A$17,'Brålanda-Torpa'!M$4:M$17)=0,"",_xlfn.XLOOKUP($A290,'Brålanda-Torpa'!$A$4:$A$17,'Brålanda-Torpa'!M$4:M$17)),"")</f>
        <v/>
      </c>
      <c r="O290" s="154">
        <f>IFERROR(SUM(C290:N290),0)</f>
        <v>393</v>
      </c>
      <c r="P290" s="154">
        <f>IFERROR(IF($C$98="YTD",N(O290),N(INDEX(C290:N290,MATCH($C$98,$C$220:$N$220,0)))),0)</f>
        <v>97</v>
      </c>
      <c r="Q290">
        <f>IFERROR(N(P290)*100000+(301-ROW()),0)</f>
        <v>9700011</v>
      </c>
    </row>
    <row r="291" spans="1:17" hidden="1" outlineLevel="1">
      <c r="A291" s="152" t="s">
        <v>45</v>
      </c>
      <c r="B291" s="152" t="s">
        <v>180</v>
      </c>
      <c r="C291" s="153" t="str">
        <f>IFERROR(IF(_xlfn.XLOOKUP($A291,'Frölunda Torg'!$A$4:$A$17,'Frölunda Torg'!B$4:B$17)=0,"",_xlfn.XLOOKUP($A291,'Frölunda Torg'!$A$4:$A$17,'Frölunda Torg'!B$4:B$17)),"")</f>
        <v/>
      </c>
      <c r="D291" s="153">
        <f>IFERROR(IF(_xlfn.XLOOKUP($A291,'Frölunda Torg'!$A$4:$A$17,'Frölunda Torg'!C$4:C$17)=0,"",_xlfn.XLOOKUP($A291,'Frölunda Torg'!$A$4:$A$17,'Frölunda Torg'!C$4:C$17)),"")</f>
        <v>77</v>
      </c>
      <c r="E291" s="153">
        <f>IFERROR(IF(_xlfn.XLOOKUP($A291,'Frölunda Torg'!$A$4:$A$17,'Frölunda Torg'!D$4:D$17)=0,"",_xlfn.XLOOKUP($A291,'Frölunda Torg'!$A$4:$A$17,'Frölunda Torg'!D$4:D$17)),"")</f>
        <v>172</v>
      </c>
      <c r="F291" s="153">
        <f>IFERROR(IF(_xlfn.XLOOKUP($A291,'Frölunda Torg'!$A$4:$A$17,'Frölunda Torg'!E$4:E$17)=0,"",_xlfn.XLOOKUP($A291,'Frölunda Torg'!$A$4:$A$17,'Frölunda Torg'!E$4:E$17)),"")</f>
        <v>188</v>
      </c>
      <c r="G291" s="153" t="str">
        <f>IFERROR(IF(_xlfn.XLOOKUP($A291,'Frölunda Torg'!$A$4:$A$17,'Frölunda Torg'!F$4:F$17)=0,"",_xlfn.XLOOKUP($A291,'Frölunda Torg'!$A$4:$A$17,'Frölunda Torg'!F$4:F$17)),"")</f>
        <v/>
      </c>
      <c r="H291" s="153" t="str">
        <f>IFERROR(IF(_xlfn.XLOOKUP($A291,'Frölunda Torg'!$A$4:$A$17,'Frölunda Torg'!G$4:G$17)=0,"",_xlfn.XLOOKUP($A291,'Frölunda Torg'!$A$4:$A$17,'Frölunda Torg'!G$4:G$17)),"")</f>
        <v/>
      </c>
      <c r="I291" s="153" t="str">
        <f>IFERROR(IF(_xlfn.XLOOKUP($A291,'Frölunda Torg'!$A$4:$A$17,'Frölunda Torg'!H$4:H$17)=0,"",_xlfn.XLOOKUP($A291,'Frölunda Torg'!$A$4:$A$17,'Frölunda Torg'!H$4:H$17)),"")</f>
        <v/>
      </c>
      <c r="J291" s="153" t="str">
        <f>IFERROR(IF(_xlfn.XLOOKUP($A291,'Frölunda Torg'!$A$4:$A$17,'Frölunda Torg'!I$4:I$17)=0,"",_xlfn.XLOOKUP($A291,'Frölunda Torg'!$A$4:$A$17,'Frölunda Torg'!I$4:I$17)),"")</f>
        <v/>
      </c>
      <c r="K291" s="153" t="str">
        <f>IFERROR(IF(_xlfn.XLOOKUP($A291,'Frölunda Torg'!$A$4:$A$17,'Frölunda Torg'!J$4:J$17)=0,"",_xlfn.XLOOKUP($A291,'Frölunda Torg'!$A$4:$A$17,'Frölunda Torg'!J$4:J$17)),"")</f>
        <v/>
      </c>
      <c r="L291" s="153" t="str">
        <f>IFERROR(IF(_xlfn.XLOOKUP($A291,'Frölunda Torg'!$A$4:$A$17,'Frölunda Torg'!K$4:K$17)=0,"",_xlfn.XLOOKUP($A291,'Frölunda Torg'!$A$4:$A$17,'Frölunda Torg'!K$4:K$17)),"")</f>
        <v/>
      </c>
      <c r="M291" s="153" t="str">
        <f>IFERROR(IF(_xlfn.XLOOKUP($A291,'Frölunda Torg'!$A$4:$A$17,'Frölunda Torg'!L$4:L$17)=0,"",_xlfn.XLOOKUP($A291,'Frölunda Torg'!$A$4:$A$17,'Frölunda Torg'!L$4:L$17)),"")</f>
        <v/>
      </c>
      <c r="N291" s="153" t="str">
        <f>IFERROR(IF(_xlfn.XLOOKUP($A291,'Frölunda Torg'!$A$4:$A$17,'Frölunda Torg'!M$4:M$17)=0,"",_xlfn.XLOOKUP($A291,'Frölunda Torg'!$A$4:$A$17,'Frölunda Torg'!M$4:M$17)),"")</f>
        <v/>
      </c>
      <c r="O291" s="154">
        <f>IFERROR(SUM(C291:N291),0)</f>
        <v>437</v>
      </c>
      <c r="P291" s="154">
        <f>IFERROR(IF($C$98="YTD",N(O291),N(INDEX(C291:N291,MATCH($C$98,$C$220:$N$220,0)))),0)</f>
        <v>172</v>
      </c>
      <c r="Q291">
        <f>IFERROR(N(P291)*100000+(301-ROW()),0)</f>
        <v>17200010</v>
      </c>
    </row>
    <row r="292" spans="1:17" hidden="1" outlineLevel="1">
      <c r="A292" s="152" t="s">
        <v>153</v>
      </c>
      <c r="B292" s="152" t="s">
        <v>141</v>
      </c>
      <c r="C292" s="153">
        <f>IFERROR(IF(_xlfn.XLOOKUP($A292,'Tanum och Fjällbacka'!$A$4:$A$17,'Tanum och Fjällbacka'!B$4:B$17)=0,"",_xlfn.XLOOKUP($A292,'Tanum och Fjällbacka'!$A$4:$A$17,'Tanum och Fjällbacka'!B$4:B$17)),"")</f>
        <v>69</v>
      </c>
      <c r="D292" s="153">
        <f>IFERROR(IF(_xlfn.XLOOKUP($A292,'Tanum och Fjällbacka'!$A$4:$A$17,'Tanum och Fjällbacka'!C$4:C$17)=0,"",_xlfn.XLOOKUP($A292,'Tanum och Fjällbacka'!$A$4:$A$17,'Tanum och Fjällbacka'!C$4:C$17)),"")</f>
        <v>111</v>
      </c>
      <c r="E292" s="153">
        <f>IFERROR(IF(_xlfn.XLOOKUP($A292,'Tanum och Fjällbacka'!$A$4:$A$17,'Tanum och Fjällbacka'!D$4:D$17)=0,"",_xlfn.XLOOKUP($A292,'Tanum och Fjällbacka'!$A$4:$A$17,'Tanum och Fjällbacka'!D$4:D$17)),"")</f>
        <v>69</v>
      </c>
      <c r="F292" s="153" t="str">
        <f>IFERROR(IF(_xlfn.XLOOKUP($A292,'Tanum och Fjällbacka'!$A$4:$A$17,'Tanum och Fjällbacka'!E$4:E$17)=0,"",_xlfn.XLOOKUP($A292,'Tanum och Fjällbacka'!$A$4:$A$17,'Tanum och Fjällbacka'!E$4:E$17)),"")</f>
        <v/>
      </c>
      <c r="G292" s="153" t="str">
        <f>IFERROR(IF(_xlfn.XLOOKUP($A292,'Tanum och Fjällbacka'!$A$4:$A$17,'Tanum och Fjällbacka'!F$4:F$17)=0,"",_xlfn.XLOOKUP($A292,'Tanum och Fjällbacka'!$A$4:$A$17,'Tanum och Fjällbacka'!F$4:F$17)),"")</f>
        <v/>
      </c>
      <c r="H292" s="153" t="str">
        <f>IFERROR(IF(_xlfn.XLOOKUP($A292,'Tanum och Fjällbacka'!$A$4:$A$17,'Tanum och Fjällbacka'!G$4:G$17)=0,"",_xlfn.XLOOKUP($A292,'Tanum och Fjällbacka'!$A$4:$A$17,'Tanum och Fjällbacka'!G$4:G$17)),"")</f>
        <v/>
      </c>
      <c r="I292" s="153" t="str">
        <f>IFERROR(IF(_xlfn.XLOOKUP($A292,'Tanum och Fjällbacka'!$A$4:$A$17,'Tanum och Fjällbacka'!H$4:H$17)=0,"",_xlfn.XLOOKUP($A292,'Tanum och Fjällbacka'!$A$4:$A$17,'Tanum och Fjällbacka'!H$4:H$17)),"")</f>
        <v/>
      </c>
      <c r="J292" s="153" t="str">
        <f>IFERROR(IF(_xlfn.XLOOKUP($A292,'Tanum och Fjällbacka'!$A$4:$A$17,'Tanum och Fjällbacka'!I$4:I$17)=0,"",_xlfn.XLOOKUP($A292,'Tanum och Fjällbacka'!$A$4:$A$17,'Tanum och Fjällbacka'!I$4:I$17)),"")</f>
        <v/>
      </c>
      <c r="K292" s="153" t="str">
        <f>IFERROR(IF(_xlfn.XLOOKUP($A292,'Tanum och Fjällbacka'!$A$4:$A$17,'Tanum och Fjällbacka'!J$4:J$17)=0,"",_xlfn.XLOOKUP($A292,'Tanum och Fjällbacka'!$A$4:$A$17,'Tanum och Fjällbacka'!J$4:J$17)),"")</f>
        <v/>
      </c>
      <c r="L292" s="153" t="str">
        <f>IFERROR(IF(_xlfn.XLOOKUP($A292,'Tanum och Fjällbacka'!$A$4:$A$17,'Tanum och Fjällbacka'!K$4:K$17)=0,"",_xlfn.XLOOKUP($A292,'Tanum och Fjällbacka'!$A$4:$A$17,'Tanum och Fjällbacka'!K$4:K$17)),"")</f>
        <v/>
      </c>
      <c r="M292" s="153" t="str">
        <f>IFERROR(IF(_xlfn.XLOOKUP($A292,'Tanum och Fjällbacka'!$A$4:$A$17,'Tanum och Fjällbacka'!L$4:L$17)=0,"",_xlfn.XLOOKUP($A292,'Tanum och Fjällbacka'!$A$4:$A$17,'Tanum och Fjällbacka'!L$4:L$17)),"")</f>
        <v/>
      </c>
      <c r="N292" s="153" t="str">
        <f>IFERROR(IF(_xlfn.XLOOKUP($A292,'Tanum och Fjällbacka'!$A$4:$A$17,'Tanum och Fjällbacka'!M$4:M$17)=0,"",_xlfn.XLOOKUP($A292,'Tanum och Fjällbacka'!$A$4:$A$17,'Tanum och Fjällbacka'!M$4:M$17)),"")</f>
        <v/>
      </c>
      <c r="O292" s="154">
        <f>IFERROR(SUM(C292:N292),0)</f>
        <v>249</v>
      </c>
      <c r="P292" s="154">
        <f>IFERROR(IF($C$98="YTD",N(O292),N(INDEX(C292:N292,MATCH($C$98,$C$220:$N$220,0)))),0)</f>
        <v>69</v>
      </c>
      <c r="Q292">
        <f>IFERROR(N(P292)*100000+(301-ROW()),0)</f>
        <v>6900009</v>
      </c>
    </row>
    <row r="293" spans="1:17" hidden="1" outlineLevel="1">
      <c r="A293" s="152" t="s">
        <v>88</v>
      </c>
      <c r="B293" s="152" t="s">
        <v>32</v>
      </c>
      <c r="C293" s="153">
        <f>IFERROR(IF(_xlfn.XLOOKUP($A293,Avenyn!$A$4:$A$17,Avenyn!B$4:B$17)=0,"",_xlfn.XLOOKUP($A293,Avenyn!$A$4:$A$17,Avenyn!B$4:B$17)),"")</f>
        <v>117</v>
      </c>
      <c r="D293" s="153">
        <f>IFERROR(IF(_xlfn.XLOOKUP($A293,Avenyn!$A$4:$A$17,Avenyn!C$4:C$17)=0,"",_xlfn.XLOOKUP($A293,Avenyn!$A$4:$A$17,Avenyn!C$4:C$17)),"")</f>
        <v>8</v>
      </c>
      <c r="E293" s="153">
        <f>IFERROR(IF(_xlfn.XLOOKUP($A293,Avenyn!$A$4:$A$17,Avenyn!D$4:D$17)=0,"",_xlfn.XLOOKUP($A293,Avenyn!$A$4:$A$17,Avenyn!D$4:D$17)),"")</f>
        <v>57</v>
      </c>
      <c r="F293" s="153">
        <f>IFERROR(IF(_xlfn.XLOOKUP($A293,Avenyn!$A$4:$A$17,Avenyn!E$4:E$17)=0,"",_xlfn.XLOOKUP($A293,Avenyn!$A$4:$A$17,Avenyn!E$4:E$17)),"")</f>
        <v>91</v>
      </c>
      <c r="G293" s="153" t="str">
        <f>IFERROR(IF(_xlfn.XLOOKUP($A293,Avenyn!$A$4:$A$17,Avenyn!F$4:F$17)=0,"",_xlfn.XLOOKUP($A293,Avenyn!$A$4:$A$17,Avenyn!F$4:F$17)),"")</f>
        <v/>
      </c>
      <c r="H293" s="153" t="str">
        <f>IFERROR(IF(_xlfn.XLOOKUP($A293,Avenyn!$A$4:$A$17,Avenyn!G$4:G$17)=0,"",_xlfn.XLOOKUP($A293,Avenyn!$A$4:$A$17,Avenyn!G$4:G$17)),"")</f>
        <v/>
      </c>
      <c r="I293" s="153" t="str">
        <f>IFERROR(IF(_xlfn.XLOOKUP($A293,Avenyn!$A$4:$A$17,Avenyn!H$4:H$17)=0,"",_xlfn.XLOOKUP($A293,Avenyn!$A$4:$A$17,Avenyn!H$4:H$17)),"")</f>
        <v/>
      </c>
      <c r="J293" s="153" t="str">
        <f>IFERROR(IF(_xlfn.XLOOKUP($A293,Avenyn!$A$4:$A$17,Avenyn!I$4:I$17)=0,"",_xlfn.XLOOKUP($A293,Avenyn!$A$4:$A$17,Avenyn!I$4:I$17)),"")</f>
        <v/>
      </c>
      <c r="K293" s="153" t="str">
        <f>IFERROR(IF(_xlfn.XLOOKUP($A293,Avenyn!$A$4:$A$17,Avenyn!J$4:J$17)=0,"",_xlfn.XLOOKUP($A293,Avenyn!$A$4:$A$17,Avenyn!J$4:J$17)),"")</f>
        <v/>
      </c>
      <c r="L293" s="153" t="str">
        <f>IFERROR(IF(_xlfn.XLOOKUP($A293,Avenyn!$A$4:$A$17,Avenyn!K$4:K$17)=0,"",_xlfn.XLOOKUP($A293,Avenyn!$A$4:$A$17,Avenyn!K$4:K$17)),"")</f>
        <v/>
      </c>
      <c r="M293" s="153" t="str">
        <f>IFERROR(IF(_xlfn.XLOOKUP($A293,Avenyn!$A$4:$A$17,Avenyn!L$4:L$17)=0,"",_xlfn.XLOOKUP($A293,Avenyn!$A$4:$A$17,Avenyn!L$4:L$17)),"")</f>
        <v/>
      </c>
      <c r="N293" s="153" t="str">
        <f>IFERROR(IF(_xlfn.XLOOKUP($A293,Avenyn!$A$4:$A$17,Avenyn!M$4:M$17)=0,"",_xlfn.XLOOKUP($A293,Avenyn!$A$4:$A$17,Avenyn!M$4:M$17)),"")</f>
        <v/>
      </c>
      <c r="O293" s="154">
        <f>IFERROR(SUM(C293:N293),0)</f>
        <v>273</v>
      </c>
      <c r="P293" s="154">
        <f>IFERROR(IF($C$98="YTD",N(O293),N(INDEX(C293:N293,MATCH($C$98,$C$220:$N$220,0)))),0)</f>
        <v>57</v>
      </c>
      <c r="Q293">
        <f>IFERROR(N(P293)*100000+(301-ROW()),0)</f>
        <v>5700008</v>
      </c>
    </row>
    <row r="294" spans="1:17" hidden="1" outlineLevel="1">
      <c r="A294" s="152" t="s">
        <v>121</v>
      </c>
      <c r="B294" s="152" t="s">
        <v>95</v>
      </c>
      <c r="C294" s="153">
        <f>IFERROR(IF(_xlfn.XLOOKUP($A294,'Lilla Edet'!$A$4:$A$17,'Lilla Edet'!B$4:B$17)=0,"",_xlfn.XLOOKUP($A294,'Lilla Edet'!$A$4:$A$17,'Lilla Edet'!B$4:B$17)),"")</f>
        <v>139</v>
      </c>
      <c r="D294" s="153">
        <f>IFERROR(IF(_xlfn.XLOOKUP($A294,'Lilla Edet'!$A$4:$A$17,'Lilla Edet'!C$4:C$17)=0,"",_xlfn.XLOOKUP($A294,'Lilla Edet'!$A$4:$A$17,'Lilla Edet'!C$4:C$17)),"")</f>
        <v>97</v>
      </c>
      <c r="E294" s="153" t="str">
        <f>IFERROR(IF(_xlfn.XLOOKUP($A294,'Lilla Edet'!$A$4:$A$17,'Lilla Edet'!D$4:D$17)=0,"",_xlfn.XLOOKUP($A294,'Lilla Edet'!$A$4:$A$17,'Lilla Edet'!D$4:D$17)),"")</f>
        <v/>
      </c>
      <c r="F294" s="153" t="str">
        <f>IFERROR(IF(_xlfn.XLOOKUP($A294,'Lilla Edet'!$A$4:$A$17,'Lilla Edet'!E$4:E$17)=0,"",_xlfn.XLOOKUP($A294,'Lilla Edet'!$A$4:$A$17,'Lilla Edet'!E$4:E$17)),"")</f>
        <v/>
      </c>
      <c r="G294" s="153" t="str">
        <f>IFERROR(IF(_xlfn.XLOOKUP($A294,'Lilla Edet'!$A$4:$A$17,'Lilla Edet'!F$4:F$17)=0,"",_xlfn.XLOOKUP($A294,'Lilla Edet'!$A$4:$A$17,'Lilla Edet'!F$4:F$17)),"")</f>
        <v/>
      </c>
      <c r="H294" s="153" t="str">
        <f>IFERROR(IF(_xlfn.XLOOKUP($A294,'Lilla Edet'!$A$4:$A$17,'Lilla Edet'!G$4:G$17)=0,"",_xlfn.XLOOKUP($A294,'Lilla Edet'!$A$4:$A$17,'Lilla Edet'!G$4:G$17)),"")</f>
        <v/>
      </c>
      <c r="I294" s="153" t="str">
        <f>IFERROR(IF(_xlfn.XLOOKUP($A294,'Lilla Edet'!$A$4:$A$17,'Lilla Edet'!H$4:H$17)=0,"",_xlfn.XLOOKUP($A294,'Lilla Edet'!$A$4:$A$17,'Lilla Edet'!H$4:H$17)),"")</f>
        <v/>
      </c>
      <c r="J294" s="153" t="str">
        <f>IFERROR(IF(_xlfn.XLOOKUP($A294,'Lilla Edet'!$A$4:$A$17,'Lilla Edet'!I$4:I$17)=0,"",_xlfn.XLOOKUP($A294,'Lilla Edet'!$A$4:$A$17,'Lilla Edet'!I$4:I$17)),"")</f>
        <v/>
      </c>
      <c r="K294" s="153" t="str">
        <f>IFERROR(IF(_xlfn.XLOOKUP($A294,'Lilla Edet'!$A$4:$A$17,'Lilla Edet'!J$4:J$17)=0,"",_xlfn.XLOOKUP($A294,'Lilla Edet'!$A$4:$A$17,'Lilla Edet'!J$4:J$17)),"")</f>
        <v/>
      </c>
      <c r="L294" s="153" t="str">
        <f>IFERROR(IF(_xlfn.XLOOKUP($A294,'Lilla Edet'!$A$4:$A$17,'Lilla Edet'!K$4:K$17)=0,"",_xlfn.XLOOKUP($A294,'Lilla Edet'!$A$4:$A$17,'Lilla Edet'!K$4:K$17)),"")</f>
        <v/>
      </c>
      <c r="M294" s="153" t="str">
        <f>IFERROR(IF(_xlfn.XLOOKUP($A294,'Lilla Edet'!$A$4:$A$17,'Lilla Edet'!L$4:L$17)=0,"",_xlfn.XLOOKUP($A294,'Lilla Edet'!$A$4:$A$17,'Lilla Edet'!L$4:L$17)),"")</f>
        <v/>
      </c>
      <c r="N294" s="153" t="str">
        <f>IFERROR(IF(_xlfn.XLOOKUP($A294,'Lilla Edet'!$A$4:$A$17,'Lilla Edet'!M$4:M$17)=0,"",_xlfn.XLOOKUP($A294,'Lilla Edet'!$A$4:$A$17,'Lilla Edet'!M$4:M$17)),"")</f>
        <v/>
      </c>
      <c r="O294" s="154">
        <f>IFERROR(SUM(C294:N294),0)</f>
        <v>236</v>
      </c>
      <c r="P294" s="154">
        <f>IFERROR(IF($C$98="YTD",N(O294),N(INDEX(C294:N294,MATCH($C$98,$C$220:$N$220,0)))),0)</f>
        <v>0</v>
      </c>
      <c r="Q294">
        <f>IFERROR(N(P294)*100000+(301-ROW()),0)</f>
        <v>7</v>
      </c>
    </row>
    <row r="295" spans="1:17" hidden="1" outlineLevel="1">
      <c r="A295" s="152" t="s">
        <v>39</v>
      </c>
      <c r="B295" s="152" t="s">
        <v>180</v>
      </c>
      <c r="C295" s="153">
        <f>IFERROR(IF(_xlfn.XLOOKUP($A295,'Frölunda Torg'!$A$4:$A$17,'Frölunda Torg'!B$4:B$17)=0,"",_xlfn.XLOOKUP($A295,'Frölunda Torg'!$A$4:$A$17,'Frölunda Torg'!B$4:B$17)),"")</f>
        <v>138</v>
      </c>
      <c r="D295" s="153">
        <f>IFERROR(IF(_xlfn.XLOOKUP($A295,'Frölunda Torg'!$A$4:$A$17,'Frölunda Torg'!C$4:C$17)=0,"",_xlfn.XLOOKUP($A295,'Frölunda Torg'!$A$4:$A$17,'Frölunda Torg'!C$4:C$17)),"")</f>
        <v>82</v>
      </c>
      <c r="E295" s="153" t="str">
        <f>IFERROR(IF(_xlfn.XLOOKUP($A295,'Frölunda Torg'!$A$4:$A$17,'Frölunda Torg'!D$4:D$17)=0,"",_xlfn.XLOOKUP($A295,'Frölunda Torg'!$A$4:$A$17,'Frölunda Torg'!D$4:D$17)),"")</f>
        <v/>
      </c>
      <c r="F295" s="153" t="str">
        <f>IFERROR(IF(_xlfn.XLOOKUP($A295,'Frölunda Torg'!$A$4:$A$17,'Frölunda Torg'!E$4:E$17)=0,"",_xlfn.XLOOKUP($A295,'Frölunda Torg'!$A$4:$A$17,'Frölunda Torg'!E$4:E$17)),"")</f>
        <v/>
      </c>
      <c r="G295" s="153" t="str">
        <f>IFERROR(IF(_xlfn.XLOOKUP($A295,'Frölunda Torg'!$A$4:$A$17,'Frölunda Torg'!F$4:F$17)=0,"",_xlfn.XLOOKUP($A295,'Frölunda Torg'!$A$4:$A$17,'Frölunda Torg'!F$4:F$17)),"")</f>
        <v/>
      </c>
      <c r="H295" s="153" t="str">
        <f>IFERROR(IF(_xlfn.XLOOKUP($A295,'Frölunda Torg'!$A$4:$A$17,'Frölunda Torg'!G$4:G$17)=0,"",_xlfn.XLOOKUP($A295,'Frölunda Torg'!$A$4:$A$17,'Frölunda Torg'!G$4:G$17)),"")</f>
        <v/>
      </c>
      <c r="I295" s="153" t="str">
        <f>IFERROR(IF(_xlfn.XLOOKUP($A295,'Frölunda Torg'!$A$4:$A$17,'Frölunda Torg'!H$4:H$17)=0,"",_xlfn.XLOOKUP($A295,'Frölunda Torg'!$A$4:$A$17,'Frölunda Torg'!H$4:H$17)),"")</f>
        <v/>
      </c>
      <c r="J295" s="153" t="str">
        <f>IFERROR(IF(_xlfn.XLOOKUP($A295,'Frölunda Torg'!$A$4:$A$17,'Frölunda Torg'!I$4:I$17)=0,"",_xlfn.XLOOKUP($A295,'Frölunda Torg'!$A$4:$A$17,'Frölunda Torg'!I$4:I$17)),"")</f>
        <v/>
      </c>
      <c r="K295" s="153" t="str">
        <f>IFERROR(IF(_xlfn.XLOOKUP($A295,'Frölunda Torg'!$A$4:$A$17,'Frölunda Torg'!J$4:J$17)=0,"",_xlfn.XLOOKUP($A295,'Frölunda Torg'!$A$4:$A$17,'Frölunda Torg'!J$4:J$17)),"")</f>
        <v/>
      </c>
      <c r="L295" s="153" t="str">
        <f>IFERROR(IF(_xlfn.XLOOKUP($A295,'Frölunda Torg'!$A$4:$A$17,'Frölunda Torg'!K$4:K$17)=0,"",_xlfn.XLOOKUP($A295,'Frölunda Torg'!$A$4:$A$17,'Frölunda Torg'!K$4:K$17)),"")</f>
        <v/>
      </c>
      <c r="M295" s="153" t="str">
        <f>IFERROR(IF(_xlfn.XLOOKUP($A295,'Frölunda Torg'!$A$4:$A$17,'Frölunda Torg'!L$4:L$17)=0,"",_xlfn.XLOOKUP($A295,'Frölunda Torg'!$A$4:$A$17,'Frölunda Torg'!L$4:L$17)),"")</f>
        <v/>
      </c>
      <c r="N295" s="153" t="str">
        <f>IFERROR(IF(_xlfn.XLOOKUP($A295,'Frölunda Torg'!$A$4:$A$17,'Frölunda Torg'!M$4:M$17)=0,"",_xlfn.XLOOKUP($A295,'Frölunda Torg'!$A$4:$A$17,'Frölunda Torg'!M$4:M$17)),"")</f>
        <v/>
      </c>
      <c r="O295" s="154">
        <f>IFERROR(SUM(C295:N295),0)</f>
        <v>220</v>
      </c>
      <c r="P295" s="154">
        <f>IFERROR(IF($C$98="YTD",N(O295),N(INDEX(C295:N295,MATCH($C$98,$C$220:$N$220,0)))),0)</f>
        <v>0</v>
      </c>
      <c r="Q295">
        <f>IFERROR(N(P295)*100000+(301-ROW()),0)</f>
        <v>6</v>
      </c>
    </row>
    <row r="296" spans="1:17" hidden="1" outlineLevel="1">
      <c r="A296" s="152" t="s">
        <v>191</v>
      </c>
      <c r="B296" s="152" t="s">
        <v>142</v>
      </c>
      <c r="C296" s="153" t="str">
        <f>IFERROR(IF(_xlfn.XLOOKUP($A296,'Brålanda-Torpa'!$A$4:$A$17,'Brålanda-Torpa'!B$4:B$17)=0,"",_xlfn.XLOOKUP($A296,'Brålanda-Torpa'!$A$4:$A$17,'Brålanda-Torpa'!B$4:B$17)),"")</f>
        <v/>
      </c>
      <c r="D296" s="153" t="str">
        <f>IFERROR(IF(_xlfn.XLOOKUP($A296,'Brålanda-Torpa'!$A$4:$A$17,'Brålanda-Torpa'!C$4:C$17)=0,"",_xlfn.XLOOKUP($A296,'Brålanda-Torpa'!$A$4:$A$17,'Brålanda-Torpa'!C$4:C$17)),"")</f>
        <v/>
      </c>
      <c r="E296" s="153" t="str">
        <f>IFERROR(IF(_xlfn.XLOOKUP($A296,'Brålanda-Torpa'!$A$4:$A$17,'Brålanda-Torpa'!D$4:D$17)=0,"",_xlfn.XLOOKUP($A296,'Brålanda-Torpa'!$A$4:$A$17,'Brålanda-Torpa'!D$4:D$17)),"")</f>
        <v/>
      </c>
      <c r="F296" s="153" t="str">
        <f>IFERROR(IF(_xlfn.XLOOKUP($A296,'Brålanda-Torpa'!$A$4:$A$17,'Brålanda-Torpa'!E$4:E$17)=0,"",_xlfn.XLOOKUP($A296,'Brålanda-Torpa'!$A$4:$A$17,'Brålanda-Torpa'!E$4:E$17)),"")</f>
        <v/>
      </c>
      <c r="G296" s="153" t="str">
        <f>IFERROR(IF(_xlfn.XLOOKUP($A296,'Brålanda-Torpa'!$A$4:$A$17,'Brålanda-Torpa'!F$4:F$17)=0,"",_xlfn.XLOOKUP($A296,'Brålanda-Torpa'!$A$4:$A$17,'Brålanda-Torpa'!F$4:F$17)),"")</f>
        <v/>
      </c>
      <c r="H296" s="153" t="str">
        <f>IFERROR(IF(_xlfn.XLOOKUP($A296,'Brålanda-Torpa'!$A$4:$A$17,'Brålanda-Torpa'!G$4:G$17)=0,"",_xlfn.XLOOKUP($A296,'Brålanda-Torpa'!$A$4:$A$17,'Brålanda-Torpa'!G$4:G$17)),"")</f>
        <v/>
      </c>
      <c r="I296" s="153" t="str">
        <f>IFERROR(IF(_xlfn.XLOOKUP($A296,'Brålanda-Torpa'!$A$4:$A$17,'Brålanda-Torpa'!H$4:H$17)=0,"",_xlfn.XLOOKUP($A296,'Brålanda-Torpa'!$A$4:$A$17,'Brålanda-Torpa'!H$4:H$17)),"")</f>
        <v/>
      </c>
      <c r="J296" s="153" t="str">
        <f>IFERROR(IF(_xlfn.XLOOKUP($A296,'Brålanda-Torpa'!$A$4:$A$17,'Brålanda-Torpa'!I$4:I$17)=0,"",_xlfn.XLOOKUP($A296,'Brålanda-Torpa'!$A$4:$A$17,'Brålanda-Torpa'!I$4:I$17)),"")</f>
        <v/>
      </c>
      <c r="K296" s="153" t="str">
        <f>IFERROR(IF(_xlfn.XLOOKUP($A296,'Brålanda-Torpa'!$A$4:$A$17,'Brålanda-Torpa'!J$4:J$17)=0,"",_xlfn.XLOOKUP($A296,'Brålanda-Torpa'!$A$4:$A$17,'Brålanda-Torpa'!J$4:J$17)),"")</f>
        <v/>
      </c>
      <c r="L296" s="153" t="str">
        <f>IFERROR(IF(_xlfn.XLOOKUP($A296,'Brålanda-Torpa'!$A$4:$A$17,'Brålanda-Torpa'!K$4:K$17)=0,"",_xlfn.XLOOKUP($A296,'Brålanda-Torpa'!$A$4:$A$17,'Brålanda-Torpa'!K$4:K$17)),"")</f>
        <v/>
      </c>
      <c r="M296" s="153" t="str">
        <f>IFERROR(IF(_xlfn.XLOOKUP($A296,'Brålanda-Torpa'!$A$4:$A$17,'Brålanda-Torpa'!L$4:L$17)=0,"",_xlfn.XLOOKUP($A296,'Brålanda-Torpa'!$A$4:$A$17,'Brålanda-Torpa'!L$4:L$17)),"")</f>
        <v/>
      </c>
      <c r="N296" s="153" t="str">
        <f>IFERROR(IF(_xlfn.XLOOKUP($A296,'Brålanda-Torpa'!$A$4:$A$17,'Brålanda-Torpa'!M$4:M$17)=0,"",_xlfn.XLOOKUP($A296,'Brålanda-Torpa'!$A$4:$A$17,'Brålanda-Torpa'!M$4:M$17)),"")</f>
        <v/>
      </c>
      <c r="O296" s="154">
        <f>IFERROR(SUM(C296:N296),0)</f>
        <v>0</v>
      </c>
      <c r="P296" s="154">
        <f>IFERROR(IF($C$98="YTD",N(O296),N(INDEX(C296:N296,MATCH($C$98,$C$220:$N$220,0)))),0)</f>
        <v>0</v>
      </c>
      <c r="Q296">
        <f>IFERROR(N(P296)*100000+(301-ROW()),0)</f>
        <v>5</v>
      </c>
    </row>
    <row r="297" spans="1:17" hidden="1" outlineLevel="1">
      <c r="A297" s="152" t="s">
        <v>44</v>
      </c>
      <c r="B297" s="152" t="s">
        <v>180</v>
      </c>
      <c r="C297" s="153">
        <f>IFERROR(IF(_xlfn.XLOOKUP($A297,'Frölunda Torg'!$A$4:$A$17,'Frölunda Torg'!B$4:B$17)=0,"",_xlfn.XLOOKUP($A297,'Frölunda Torg'!$A$4:$A$17,'Frölunda Torg'!B$4:B$17)),"")</f>
        <v>125</v>
      </c>
      <c r="D297" s="153">
        <f>IFERROR(IF(_xlfn.XLOOKUP($A297,'Frölunda Torg'!$A$4:$A$17,'Frölunda Torg'!C$4:C$17)=0,"",_xlfn.XLOOKUP($A297,'Frölunda Torg'!$A$4:$A$17,'Frölunda Torg'!C$4:C$17)),"")</f>
        <v>52</v>
      </c>
      <c r="E297" s="153" t="str">
        <f>IFERROR(IF(_xlfn.XLOOKUP($A297,'Frölunda Torg'!$A$4:$A$17,'Frölunda Torg'!D$4:D$17)=0,"",_xlfn.XLOOKUP($A297,'Frölunda Torg'!$A$4:$A$17,'Frölunda Torg'!D$4:D$17)),"")</f>
        <v/>
      </c>
      <c r="F297" s="153" t="str">
        <f>IFERROR(IF(_xlfn.XLOOKUP($A297,'Frölunda Torg'!$A$4:$A$17,'Frölunda Torg'!E$4:E$17)=0,"",_xlfn.XLOOKUP($A297,'Frölunda Torg'!$A$4:$A$17,'Frölunda Torg'!E$4:E$17)),"")</f>
        <v/>
      </c>
      <c r="G297" s="153" t="str">
        <f>IFERROR(IF(_xlfn.XLOOKUP($A297,'Frölunda Torg'!$A$4:$A$17,'Frölunda Torg'!F$4:F$17)=0,"",_xlfn.XLOOKUP($A297,'Frölunda Torg'!$A$4:$A$17,'Frölunda Torg'!F$4:F$17)),"")</f>
        <v/>
      </c>
      <c r="H297" s="153" t="str">
        <f>IFERROR(IF(_xlfn.XLOOKUP($A297,'Frölunda Torg'!$A$4:$A$17,'Frölunda Torg'!G$4:G$17)=0,"",_xlfn.XLOOKUP($A297,'Frölunda Torg'!$A$4:$A$17,'Frölunda Torg'!G$4:G$17)),"")</f>
        <v/>
      </c>
      <c r="I297" s="153" t="str">
        <f>IFERROR(IF(_xlfn.XLOOKUP($A297,'Frölunda Torg'!$A$4:$A$17,'Frölunda Torg'!H$4:H$17)=0,"",_xlfn.XLOOKUP($A297,'Frölunda Torg'!$A$4:$A$17,'Frölunda Torg'!H$4:H$17)),"")</f>
        <v/>
      </c>
      <c r="J297" s="153" t="str">
        <f>IFERROR(IF(_xlfn.XLOOKUP($A297,'Frölunda Torg'!$A$4:$A$17,'Frölunda Torg'!I$4:I$17)=0,"",_xlfn.XLOOKUP($A297,'Frölunda Torg'!$A$4:$A$17,'Frölunda Torg'!I$4:I$17)),"")</f>
        <v/>
      </c>
      <c r="K297" s="153" t="str">
        <f>IFERROR(IF(_xlfn.XLOOKUP($A297,'Frölunda Torg'!$A$4:$A$17,'Frölunda Torg'!J$4:J$17)=0,"",_xlfn.XLOOKUP($A297,'Frölunda Torg'!$A$4:$A$17,'Frölunda Torg'!J$4:J$17)),"")</f>
        <v/>
      </c>
      <c r="L297" s="153" t="str">
        <f>IFERROR(IF(_xlfn.XLOOKUP($A297,'Frölunda Torg'!$A$4:$A$17,'Frölunda Torg'!K$4:K$17)=0,"",_xlfn.XLOOKUP($A297,'Frölunda Torg'!$A$4:$A$17,'Frölunda Torg'!K$4:K$17)),"")</f>
        <v/>
      </c>
      <c r="M297" s="153" t="str">
        <f>IFERROR(IF(_xlfn.XLOOKUP($A297,'Frölunda Torg'!$A$4:$A$17,'Frölunda Torg'!L$4:L$17)=0,"",_xlfn.XLOOKUP($A297,'Frölunda Torg'!$A$4:$A$17,'Frölunda Torg'!L$4:L$17)),"")</f>
        <v/>
      </c>
      <c r="N297" s="153" t="str">
        <f>IFERROR(IF(_xlfn.XLOOKUP($A297,'Frölunda Torg'!$A$4:$A$17,'Frölunda Torg'!M$4:M$17)=0,"",_xlfn.XLOOKUP($A297,'Frölunda Torg'!$A$4:$A$17,'Frölunda Torg'!M$4:M$17)),"")</f>
        <v/>
      </c>
      <c r="O297" s="154">
        <f>IFERROR(SUM(C297:N297),0)</f>
        <v>177</v>
      </c>
      <c r="P297" s="154">
        <f>IFERROR(IF($C$98="YTD",N(O297),N(INDEX(C297:N297,MATCH($C$98,$C$220:$N$220,0)))),0)</f>
        <v>0</v>
      </c>
      <c r="Q297">
        <f>IFERROR(N(P297)*100000+(301-ROW()),0)</f>
        <v>4</v>
      </c>
    </row>
    <row r="298" spans="1:17" hidden="1" outlineLevel="1">
      <c r="A298" s="152" t="s">
        <v>156</v>
      </c>
      <c r="B298" s="152" t="s">
        <v>142</v>
      </c>
      <c r="C298" s="153" t="str">
        <f>IFERROR(IF(_xlfn.XLOOKUP($A298,'Brålanda-Torpa'!$A$4:$A$17,'Brålanda-Torpa'!B$4:B$17)=0,"",_xlfn.XLOOKUP($A298,'Brålanda-Torpa'!$A$4:$A$17,'Brålanda-Torpa'!B$4:B$17)),"")</f>
        <v/>
      </c>
      <c r="D298" s="153">
        <f>IFERROR(IF(_xlfn.XLOOKUP($A298,'Brålanda-Torpa'!$A$4:$A$17,'Brålanda-Torpa'!C$4:C$17)=0,"",_xlfn.XLOOKUP($A298,'Brålanda-Torpa'!$A$4:$A$17,'Brålanda-Torpa'!C$4:C$17)),"")</f>
        <v>66</v>
      </c>
      <c r="E298" s="153">
        <f>IFERROR(IF(_xlfn.XLOOKUP($A298,'Brålanda-Torpa'!$A$4:$A$17,'Brålanda-Torpa'!D$4:D$17)=0,"",_xlfn.XLOOKUP($A298,'Brålanda-Torpa'!$A$4:$A$17,'Brålanda-Torpa'!D$4:D$17)),"")</f>
        <v>72</v>
      </c>
      <c r="F298" s="153">
        <f>IFERROR(IF(_xlfn.XLOOKUP($A298,'Brålanda-Torpa'!$A$4:$A$17,'Brålanda-Torpa'!E$4:E$17)=0,"",_xlfn.XLOOKUP($A298,'Brålanda-Torpa'!$A$4:$A$17,'Brålanda-Torpa'!E$4:E$17)),"")</f>
        <v>48</v>
      </c>
      <c r="G298" s="153" t="str">
        <f>IFERROR(IF(_xlfn.XLOOKUP($A298,'Brålanda-Torpa'!$A$4:$A$17,'Brålanda-Torpa'!F$4:F$17)=0,"",_xlfn.XLOOKUP($A298,'Brålanda-Torpa'!$A$4:$A$17,'Brålanda-Torpa'!F$4:F$17)),"")</f>
        <v/>
      </c>
      <c r="H298" s="153" t="str">
        <f>IFERROR(IF(_xlfn.XLOOKUP($A298,'Brålanda-Torpa'!$A$4:$A$17,'Brålanda-Torpa'!G$4:G$17)=0,"",_xlfn.XLOOKUP($A298,'Brålanda-Torpa'!$A$4:$A$17,'Brålanda-Torpa'!G$4:G$17)),"")</f>
        <v/>
      </c>
      <c r="I298" s="153" t="str">
        <f>IFERROR(IF(_xlfn.XLOOKUP($A298,'Brålanda-Torpa'!$A$4:$A$17,'Brålanda-Torpa'!H$4:H$17)=0,"",_xlfn.XLOOKUP($A298,'Brålanda-Torpa'!$A$4:$A$17,'Brålanda-Torpa'!H$4:H$17)),"")</f>
        <v/>
      </c>
      <c r="J298" s="153" t="str">
        <f>IFERROR(IF(_xlfn.XLOOKUP($A298,'Brålanda-Torpa'!$A$4:$A$17,'Brålanda-Torpa'!I$4:I$17)=0,"",_xlfn.XLOOKUP($A298,'Brålanda-Torpa'!$A$4:$A$17,'Brålanda-Torpa'!I$4:I$17)),"")</f>
        <v/>
      </c>
      <c r="K298" s="153" t="str">
        <f>IFERROR(IF(_xlfn.XLOOKUP($A298,'Brålanda-Torpa'!$A$4:$A$17,'Brålanda-Torpa'!J$4:J$17)=0,"",_xlfn.XLOOKUP($A298,'Brålanda-Torpa'!$A$4:$A$17,'Brålanda-Torpa'!J$4:J$17)),"")</f>
        <v/>
      </c>
      <c r="L298" s="153" t="str">
        <f>IFERROR(IF(_xlfn.XLOOKUP($A298,'Brålanda-Torpa'!$A$4:$A$17,'Brålanda-Torpa'!K$4:K$17)=0,"",_xlfn.XLOOKUP($A298,'Brålanda-Torpa'!$A$4:$A$17,'Brålanda-Torpa'!K$4:K$17)),"")</f>
        <v/>
      </c>
      <c r="M298" s="153" t="str">
        <f>IFERROR(IF(_xlfn.XLOOKUP($A298,'Brålanda-Torpa'!$A$4:$A$17,'Brålanda-Torpa'!L$4:L$17)=0,"",_xlfn.XLOOKUP($A298,'Brålanda-Torpa'!$A$4:$A$17,'Brålanda-Torpa'!L$4:L$17)),"")</f>
        <v/>
      </c>
      <c r="N298" s="153" t="str">
        <f>IFERROR(IF(_xlfn.XLOOKUP($A298,'Brålanda-Torpa'!$A$4:$A$17,'Brålanda-Torpa'!M$4:M$17)=0,"",_xlfn.XLOOKUP($A298,'Brålanda-Torpa'!$A$4:$A$17,'Brålanda-Torpa'!M$4:M$17)),"")</f>
        <v/>
      </c>
      <c r="O298" s="154">
        <f>IFERROR(SUM(C298:N298),0)</f>
        <v>186</v>
      </c>
      <c r="P298" s="154">
        <f>IFERROR(IF($C$98="YTD",N(O298),N(INDEX(C298:N298,MATCH($C$98,$C$220:$N$220,0)))),0)</f>
        <v>72</v>
      </c>
      <c r="Q298">
        <f>IFERROR(N(P298)*100000+(301-ROW()),0)</f>
        <v>7200003</v>
      </c>
    </row>
    <row r="299" spans="1:17" hidden="1" outlineLevel="1">
      <c r="A299" s="152" t="s">
        <v>165</v>
      </c>
      <c r="B299" s="152" t="s">
        <v>95</v>
      </c>
      <c r="C299" s="153">
        <f>IFERROR(IF(_xlfn.XLOOKUP($A299,'Lilla Edet'!$A$4:$A$17,'Lilla Edet'!B$4:B$17)=0,"",_xlfn.XLOOKUP($A299,'Lilla Edet'!$A$4:$A$17,'Lilla Edet'!B$4:B$17)),"")</f>
        <v>178</v>
      </c>
      <c r="D299" s="153" t="str">
        <f>IFERROR(IF(_xlfn.XLOOKUP($A299,'Lilla Edet'!$A$4:$A$17,'Lilla Edet'!C$4:C$17)=0,"",_xlfn.XLOOKUP($A299,'Lilla Edet'!$A$4:$A$17,'Lilla Edet'!C$4:C$17)),"")</f>
        <v/>
      </c>
      <c r="E299" s="153" t="str">
        <f>IFERROR(IF(_xlfn.XLOOKUP($A299,'Lilla Edet'!$A$4:$A$17,'Lilla Edet'!D$4:D$17)=0,"",_xlfn.XLOOKUP($A299,'Lilla Edet'!$A$4:$A$17,'Lilla Edet'!D$4:D$17)),"")</f>
        <v/>
      </c>
      <c r="F299" s="153" t="str">
        <f>IFERROR(IF(_xlfn.XLOOKUP($A299,'Lilla Edet'!$A$4:$A$17,'Lilla Edet'!E$4:E$17)=0,"",_xlfn.XLOOKUP($A299,'Lilla Edet'!$A$4:$A$17,'Lilla Edet'!E$4:E$17)),"")</f>
        <v/>
      </c>
      <c r="G299" s="153" t="str">
        <f>IFERROR(IF(_xlfn.XLOOKUP($A299,'Lilla Edet'!$A$4:$A$17,'Lilla Edet'!F$4:F$17)=0,"",_xlfn.XLOOKUP($A299,'Lilla Edet'!$A$4:$A$17,'Lilla Edet'!F$4:F$17)),"")</f>
        <v/>
      </c>
      <c r="H299" s="153" t="str">
        <f>IFERROR(IF(_xlfn.XLOOKUP($A299,'Lilla Edet'!$A$4:$A$17,'Lilla Edet'!G$4:G$17)=0,"",_xlfn.XLOOKUP($A299,'Lilla Edet'!$A$4:$A$17,'Lilla Edet'!G$4:G$17)),"")</f>
        <v/>
      </c>
      <c r="I299" s="153" t="str">
        <f>IFERROR(IF(_xlfn.XLOOKUP($A299,'Lilla Edet'!$A$4:$A$17,'Lilla Edet'!H$4:H$17)=0,"",_xlfn.XLOOKUP($A299,'Lilla Edet'!$A$4:$A$17,'Lilla Edet'!H$4:H$17)),"")</f>
        <v/>
      </c>
      <c r="J299" s="153" t="str">
        <f>IFERROR(IF(_xlfn.XLOOKUP($A299,'Lilla Edet'!$A$4:$A$17,'Lilla Edet'!I$4:I$17)=0,"",_xlfn.XLOOKUP($A299,'Lilla Edet'!$A$4:$A$17,'Lilla Edet'!I$4:I$17)),"")</f>
        <v/>
      </c>
      <c r="K299" s="153" t="str">
        <f>IFERROR(IF(_xlfn.XLOOKUP($A299,'Lilla Edet'!$A$4:$A$17,'Lilla Edet'!J$4:J$17)=0,"",_xlfn.XLOOKUP($A299,'Lilla Edet'!$A$4:$A$17,'Lilla Edet'!J$4:J$17)),"")</f>
        <v/>
      </c>
      <c r="L299" s="153" t="str">
        <f>IFERROR(IF(_xlfn.XLOOKUP($A299,'Lilla Edet'!$A$4:$A$17,'Lilla Edet'!K$4:K$17)=0,"",_xlfn.XLOOKUP($A299,'Lilla Edet'!$A$4:$A$17,'Lilla Edet'!K$4:K$17)),"")</f>
        <v/>
      </c>
      <c r="M299" s="153" t="str">
        <f>IFERROR(IF(_xlfn.XLOOKUP($A299,'Lilla Edet'!$A$4:$A$17,'Lilla Edet'!L$4:L$17)=0,"",_xlfn.XLOOKUP($A299,'Lilla Edet'!$A$4:$A$17,'Lilla Edet'!L$4:L$17)),"")</f>
        <v/>
      </c>
      <c r="N299" s="153" t="str">
        <f>IFERROR(IF(_xlfn.XLOOKUP($A299,'Lilla Edet'!$A$4:$A$17,'Lilla Edet'!M$4:M$17)=0,"",_xlfn.XLOOKUP($A299,'Lilla Edet'!$A$4:$A$17,'Lilla Edet'!M$4:M$17)),"")</f>
        <v/>
      </c>
      <c r="O299" s="154">
        <f>IFERROR(SUM(C299:N299),0)</f>
        <v>178</v>
      </c>
      <c r="P299" s="154">
        <f>IFERROR(IF($C$98="YTD",N(O299),N(INDEX(C299:N299,MATCH($C$98,$C$220:$N$220,0)))),0)</f>
        <v>0</v>
      </c>
      <c r="Q299">
        <f>IFERROR(N(P299)*100000+(301-ROW()),0)</f>
        <v>2</v>
      </c>
    </row>
    <row r="300" spans="1:17" hidden="1" outlineLevel="1">
      <c r="A300" s="152" t="s">
        <v>162</v>
      </c>
      <c r="B300" s="152" t="s">
        <v>142</v>
      </c>
      <c r="C300" s="153" t="str">
        <f>IFERROR(IF(_xlfn.XLOOKUP($A300,'Brålanda-Torpa'!$A$4:$A$17,'Brålanda-Torpa'!B$4:B$17)=0,"",_xlfn.XLOOKUP($A300,'Brålanda-Torpa'!$A$4:$A$17,'Brålanda-Torpa'!B$4:B$17)),"")</f>
        <v/>
      </c>
      <c r="D300" s="153">
        <f>IFERROR(IF(_xlfn.XLOOKUP($A300,'Brålanda-Torpa'!$A$4:$A$17,'Brålanda-Torpa'!C$4:C$17)=0,"",_xlfn.XLOOKUP($A300,'Brålanda-Torpa'!$A$4:$A$17,'Brålanda-Torpa'!C$4:C$17)),"")</f>
        <v>29</v>
      </c>
      <c r="E300" s="153">
        <f>IFERROR(IF(_xlfn.XLOOKUP($A300,'Brålanda-Torpa'!$A$4:$A$17,'Brålanda-Torpa'!D$4:D$17)=0,"",_xlfn.XLOOKUP($A300,'Brålanda-Torpa'!$A$4:$A$17,'Brålanda-Torpa'!D$4:D$17)),"")</f>
        <v>55</v>
      </c>
      <c r="F300" s="153">
        <f>IFERROR(IF(_xlfn.XLOOKUP($A300,'Brålanda-Torpa'!$A$4:$A$17,'Brålanda-Torpa'!E$4:E$17)=0,"",_xlfn.XLOOKUP($A300,'Brålanda-Torpa'!$A$4:$A$17,'Brålanda-Torpa'!E$4:E$17)),"")</f>
        <v>110</v>
      </c>
      <c r="G300" s="153" t="str">
        <f>IFERROR(IF(_xlfn.XLOOKUP($A300,'Brålanda-Torpa'!$A$4:$A$17,'Brålanda-Torpa'!F$4:F$17)=0,"",_xlfn.XLOOKUP($A300,'Brålanda-Torpa'!$A$4:$A$17,'Brålanda-Torpa'!F$4:F$17)),"")</f>
        <v/>
      </c>
      <c r="H300" s="153" t="str">
        <f>IFERROR(IF(_xlfn.XLOOKUP($A300,'Brålanda-Torpa'!$A$4:$A$17,'Brålanda-Torpa'!G$4:G$17)=0,"",_xlfn.XLOOKUP($A300,'Brålanda-Torpa'!$A$4:$A$17,'Brålanda-Torpa'!G$4:G$17)),"")</f>
        <v/>
      </c>
      <c r="I300" s="153" t="str">
        <f>IFERROR(IF(_xlfn.XLOOKUP($A300,'Brålanda-Torpa'!$A$4:$A$17,'Brålanda-Torpa'!H$4:H$17)=0,"",_xlfn.XLOOKUP($A300,'Brålanda-Torpa'!$A$4:$A$17,'Brålanda-Torpa'!H$4:H$17)),"")</f>
        <v/>
      </c>
      <c r="J300" s="153" t="str">
        <f>IFERROR(IF(_xlfn.XLOOKUP($A300,'Brålanda-Torpa'!$A$4:$A$17,'Brålanda-Torpa'!I$4:I$17)=0,"",_xlfn.XLOOKUP($A300,'Brålanda-Torpa'!$A$4:$A$17,'Brålanda-Torpa'!I$4:I$17)),"")</f>
        <v/>
      </c>
      <c r="K300" s="153" t="str">
        <f>IFERROR(IF(_xlfn.XLOOKUP($A300,'Brålanda-Torpa'!$A$4:$A$17,'Brålanda-Torpa'!J$4:J$17)=0,"",_xlfn.XLOOKUP($A300,'Brålanda-Torpa'!$A$4:$A$17,'Brålanda-Torpa'!J$4:J$17)),"")</f>
        <v/>
      </c>
      <c r="L300" s="153" t="str">
        <f>IFERROR(IF(_xlfn.XLOOKUP($A300,'Brålanda-Torpa'!$A$4:$A$17,'Brålanda-Torpa'!K$4:K$17)=0,"",_xlfn.XLOOKUP($A300,'Brålanda-Torpa'!$A$4:$A$17,'Brålanda-Torpa'!K$4:K$17)),"")</f>
        <v/>
      </c>
      <c r="M300" s="153" t="str">
        <f>IFERROR(IF(_xlfn.XLOOKUP($A300,'Brålanda-Torpa'!$A$4:$A$17,'Brålanda-Torpa'!L$4:L$17)=0,"",_xlfn.XLOOKUP($A300,'Brålanda-Torpa'!$A$4:$A$17,'Brålanda-Torpa'!L$4:L$17)),"")</f>
        <v/>
      </c>
      <c r="N300" s="153" t="str">
        <f>IFERROR(IF(_xlfn.XLOOKUP($A300,'Brålanda-Torpa'!$A$4:$A$17,'Brålanda-Torpa'!M$4:M$17)=0,"",_xlfn.XLOOKUP($A300,'Brålanda-Torpa'!$A$4:$A$17,'Brålanda-Torpa'!M$4:M$17)),"")</f>
        <v/>
      </c>
      <c r="O300" s="154">
        <f>IFERROR(SUM(C300:N300),0)</f>
        <v>194</v>
      </c>
      <c r="P300" s="154">
        <f>IFERROR(IF($C$98="YTD",N(O300),N(INDEX(C300:N300,MATCH($C$98,$C$220:$N$220,0)))),0)</f>
        <v>55</v>
      </c>
      <c r="Q300">
        <f>IFERROR(N(P300)*100000+(301-ROW()),0)</f>
        <v>5500001</v>
      </c>
    </row>
    <row r="301" spans="1:17" hidden="1" outlineLevel="1">
      <c r="A301" s="152" t="s">
        <v>151</v>
      </c>
      <c r="B301" s="152" t="s">
        <v>141</v>
      </c>
      <c r="C301" s="153">
        <f>IFERROR(IF(_xlfn.XLOOKUP($A301,'Tanum och Fjällbacka'!$A$4:$A$17,'Tanum och Fjällbacka'!B$4:B$17)=0,"",_xlfn.XLOOKUP($A301,'Tanum och Fjällbacka'!$A$4:$A$17,'Tanum och Fjällbacka'!B$4:B$17)),"")</f>
        <v>21</v>
      </c>
      <c r="D301" s="153">
        <f>IFERROR(IF(_xlfn.XLOOKUP($A301,'Tanum och Fjällbacka'!$A$4:$A$17,'Tanum och Fjällbacka'!C$4:C$17)=0,"",_xlfn.XLOOKUP($A301,'Tanum och Fjällbacka'!$A$4:$A$17,'Tanum och Fjällbacka'!C$4:C$17)),"")</f>
        <v>19</v>
      </c>
      <c r="E301" s="153">
        <f>IFERROR(IF(_xlfn.XLOOKUP($A301,'Tanum och Fjällbacka'!$A$4:$A$17,'Tanum och Fjällbacka'!D$4:D$17)=0,"",_xlfn.XLOOKUP($A301,'Tanum och Fjällbacka'!$A$4:$A$17,'Tanum och Fjällbacka'!D$4:D$17)),"")</f>
        <v>24</v>
      </c>
      <c r="F301" s="153">
        <f>IFERROR(IF(_xlfn.XLOOKUP($A301,'Tanum och Fjällbacka'!$A$4:$A$17,'Tanum och Fjällbacka'!E$4:E$17)=0,"",_xlfn.XLOOKUP($A301,'Tanum och Fjällbacka'!$A$4:$A$17,'Tanum och Fjällbacka'!E$4:E$17)),"")</f>
        <v>30</v>
      </c>
      <c r="G301" s="153" t="str">
        <f>IFERROR(IF(_xlfn.XLOOKUP($A301,'Tanum och Fjällbacka'!$A$4:$A$17,'Tanum och Fjällbacka'!F$4:F$17)=0,"",_xlfn.XLOOKUP($A301,'Tanum och Fjällbacka'!$A$4:$A$17,'Tanum och Fjällbacka'!F$4:F$17)),"")</f>
        <v/>
      </c>
      <c r="H301" s="153" t="str">
        <f>IFERROR(IF(_xlfn.XLOOKUP($A301,'Tanum och Fjällbacka'!$A$4:$A$17,'Tanum och Fjällbacka'!G$4:G$17)=0,"",_xlfn.XLOOKUP($A301,'Tanum och Fjällbacka'!$A$4:$A$17,'Tanum och Fjällbacka'!G$4:G$17)),"")</f>
        <v/>
      </c>
      <c r="I301" s="153" t="str">
        <f>IFERROR(IF(_xlfn.XLOOKUP($A301,'Tanum och Fjällbacka'!$A$4:$A$17,'Tanum och Fjällbacka'!H$4:H$17)=0,"",_xlfn.XLOOKUP($A301,'Tanum och Fjällbacka'!$A$4:$A$17,'Tanum och Fjällbacka'!H$4:H$17)),"")</f>
        <v/>
      </c>
      <c r="J301" s="153" t="str">
        <f>IFERROR(IF(_xlfn.XLOOKUP($A301,'Tanum och Fjällbacka'!$A$4:$A$17,'Tanum och Fjällbacka'!I$4:I$17)=0,"",_xlfn.XLOOKUP($A301,'Tanum och Fjällbacka'!$A$4:$A$17,'Tanum och Fjällbacka'!I$4:I$17)),"")</f>
        <v/>
      </c>
      <c r="K301" s="153" t="str">
        <f>IFERROR(IF(_xlfn.XLOOKUP($A301,'Tanum och Fjällbacka'!$A$4:$A$17,'Tanum och Fjällbacka'!J$4:J$17)=0,"",_xlfn.XLOOKUP($A301,'Tanum och Fjällbacka'!$A$4:$A$17,'Tanum och Fjällbacka'!J$4:J$17)),"")</f>
        <v/>
      </c>
      <c r="L301" s="153" t="str">
        <f>IFERROR(IF(_xlfn.XLOOKUP($A301,'Tanum och Fjällbacka'!$A$4:$A$17,'Tanum och Fjällbacka'!K$4:K$17)=0,"",_xlfn.XLOOKUP($A301,'Tanum och Fjällbacka'!$A$4:$A$17,'Tanum och Fjällbacka'!K$4:K$17)),"")</f>
        <v/>
      </c>
      <c r="M301" s="153" t="str">
        <f>IFERROR(IF(_xlfn.XLOOKUP($A301,'Tanum och Fjällbacka'!$A$4:$A$17,'Tanum och Fjällbacka'!L$4:L$17)=0,"",_xlfn.XLOOKUP($A301,'Tanum och Fjällbacka'!$A$4:$A$17,'Tanum och Fjällbacka'!L$4:L$17)),"")</f>
        <v/>
      </c>
      <c r="N301" s="153" t="str">
        <f>IFERROR(IF(_xlfn.XLOOKUP($A301,'Tanum och Fjällbacka'!$A$4:$A$17,'Tanum och Fjällbacka'!M$4:M$17)=0,"",_xlfn.XLOOKUP($A301,'Tanum och Fjällbacka'!$A$4:$A$17,'Tanum och Fjällbacka'!M$4:M$17)),"")</f>
        <v/>
      </c>
      <c r="O301" s="154">
        <f>IFERROR(SUM(C301:N301),0)</f>
        <v>94</v>
      </c>
      <c r="P301" s="154">
        <f>IFERROR(IF($C$98="YTD",N(O301),N(INDEX(C301:N301,MATCH($C$98,$C$220:$N$220,0)))),0)</f>
        <v>24</v>
      </c>
      <c r="Q301">
        <f>IFERROR(N(P301)*100000+(301-ROW()),0)</f>
        <v>2400000</v>
      </c>
    </row>
    <row r="302" spans="1:17" collapsed="1"/>
  </sheetData>
  <mergeCells count="3">
    <mergeCell ref="A124:D124"/>
    <mergeCell ref="A99:C99"/>
    <mergeCell ref="A188:B188"/>
  </mergeCells>
  <dataValidations count="1">
    <dataValidation type="list" allowBlank="1" showInputMessage="1" showErrorMessage="1" sqref="C98" xr:uid="{32D94958-1885-4136-AEE3-6FD4948E68E6}">
      <formula1>"Jan,Feb,Mar,Apr,Maj,Jun,Jul,Aug,Sep,Okt,Nov,Dec,YTD"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1E6B-568B-4F1C-B806-95AE50D28E28}">
  <dimension ref="A1:K40"/>
  <sheetViews>
    <sheetView topLeftCell="A9" workbookViewId="0">
      <selection activeCell="B32" sqref="B32"/>
    </sheetView>
  </sheetViews>
  <sheetFormatPr defaultRowHeight="14.4"/>
  <cols>
    <col min="1" max="1" width="29.6640625" customWidth="1"/>
    <col min="2" max="11" width="16.6640625" customWidth="1"/>
  </cols>
  <sheetData>
    <row r="1" spans="1:11" ht="23.4">
      <c r="A1" s="97" t="s">
        <v>199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>
      <c r="A2" s="98" t="s">
        <v>200</v>
      </c>
      <c r="B2" s="98"/>
      <c r="C2" s="98"/>
      <c r="D2" s="98"/>
      <c r="E2" s="98"/>
      <c r="F2" s="98"/>
      <c r="G2" s="98"/>
      <c r="H2" s="98"/>
      <c r="I2" s="98"/>
      <c r="J2" s="98"/>
      <c r="K2" s="98"/>
    </row>
    <row r="4" spans="1:11" ht="17.399999999999999">
      <c r="A4" s="99" t="s">
        <v>201</v>
      </c>
      <c r="B4" s="99"/>
      <c r="C4" s="99"/>
      <c r="D4" s="99"/>
      <c r="E4" s="99"/>
      <c r="F4" s="99"/>
      <c r="G4" s="99"/>
      <c r="H4" s="99"/>
      <c r="I4" s="99"/>
      <c r="J4" s="99"/>
      <c r="K4" s="99"/>
    </row>
    <row r="5" spans="1:11">
      <c r="A5" s="50" t="s">
        <v>202</v>
      </c>
      <c r="B5" s="70">
        <v>20</v>
      </c>
    </row>
    <row r="6" spans="1:11">
      <c r="A6" s="50" t="s">
        <v>203</v>
      </c>
      <c r="B6" s="70">
        <v>14</v>
      </c>
    </row>
    <row r="7" spans="1:11">
      <c r="A7" s="50" t="s">
        <v>204</v>
      </c>
      <c r="B7" s="51">
        <f>B5-B6</f>
        <v>6</v>
      </c>
    </row>
    <row r="8" spans="1:11">
      <c r="A8" s="50" t="s">
        <v>205</v>
      </c>
      <c r="B8" s="70">
        <v>63</v>
      </c>
    </row>
    <row r="10" spans="1:11" ht="17.399999999999999">
      <c r="A10" s="99" t="s">
        <v>206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</row>
    <row r="11" spans="1:11" ht="15" thickBot="1"/>
    <row r="12" spans="1:11">
      <c r="A12" s="68" t="s">
        <v>176</v>
      </c>
      <c r="B12" s="63" t="s">
        <v>207</v>
      </c>
      <c r="C12" s="63" t="s">
        <v>177</v>
      </c>
      <c r="D12" s="63" t="s">
        <v>208</v>
      </c>
      <c r="E12" s="63" t="s">
        <v>209</v>
      </c>
      <c r="F12" s="63" t="s">
        <v>210</v>
      </c>
      <c r="G12" s="63" t="s">
        <v>211</v>
      </c>
      <c r="H12" s="64" t="s">
        <v>212</v>
      </c>
      <c r="I12" s="65" t="s">
        <v>213</v>
      </c>
      <c r="J12" s="66" t="s">
        <v>172</v>
      </c>
      <c r="K12" s="89" t="s">
        <v>178</v>
      </c>
    </row>
    <row r="13" spans="1:11">
      <c r="A13" s="85" t="s">
        <v>180</v>
      </c>
      <c r="B13" s="71">
        <f>'Enheterna AO VGR'!E16</f>
        <v>828</v>
      </c>
      <c r="C13" s="71">
        <f>SUM('Enheterna AO VGR'!B16:D16)</f>
        <v>2566</v>
      </c>
      <c r="D13" s="72">
        <f t="shared" ref="D13:D26" si="0">B13/$B$6</f>
        <v>59.142857142857146</v>
      </c>
      <c r="E13" s="72">
        <f t="shared" ref="E13:E26" si="1">C13/$B$8</f>
        <v>40.730158730158728</v>
      </c>
      <c r="F13" s="72">
        <f t="shared" ref="F13:F26" si="2">(D13+E13)/2</f>
        <v>49.936507936507937</v>
      </c>
      <c r="G13" s="71">
        <f t="shared" ref="G13:G26" si="3">F13*$B$7</f>
        <v>299.61904761904759</v>
      </c>
      <c r="H13" s="73">
        <f t="shared" ref="H13:H26" si="4">B13+G13</f>
        <v>1127.6190476190477</v>
      </c>
      <c r="I13" s="71">
        <f>'Enheterna AO VGR'!E17</f>
        <v>1066</v>
      </c>
      <c r="J13" s="74">
        <f t="shared" ref="J13:J26" si="5">H13-I13</f>
        <v>61.619047619047706</v>
      </c>
      <c r="K13" s="90">
        <f t="shared" ref="K13:K26" si="6">H13/I13</f>
        <v>1.057803984633253</v>
      </c>
    </row>
    <row r="14" spans="1:11">
      <c r="A14" s="86" t="s">
        <v>27</v>
      </c>
      <c r="B14" s="75">
        <f>'Enheterna AO VGR'!E22</f>
        <v>1072</v>
      </c>
      <c r="C14" s="75">
        <f>SUM('Enheterna AO VGR'!B22:D22)</f>
        <v>2702</v>
      </c>
      <c r="D14" s="76">
        <f t="shared" si="0"/>
        <v>76.571428571428569</v>
      </c>
      <c r="E14" s="76">
        <f t="shared" si="1"/>
        <v>42.888888888888886</v>
      </c>
      <c r="F14" s="76">
        <f t="shared" si="2"/>
        <v>59.730158730158728</v>
      </c>
      <c r="G14" s="75">
        <f t="shared" si="3"/>
        <v>358.38095238095235</v>
      </c>
      <c r="H14" s="77">
        <f t="shared" si="4"/>
        <v>1430.3809523809523</v>
      </c>
      <c r="I14" s="75">
        <f>'Enheterna AO VGR'!E23</f>
        <v>1020</v>
      </c>
      <c r="J14" s="78">
        <f t="shared" si="5"/>
        <v>410.38095238095229</v>
      </c>
      <c r="K14" s="91">
        <f t="shared" si="6"/>
        <v>1.4023342670401493</v>
      </c>
    </row>
    <row r="15" spans="1:11">
      <c r="A15" s="85" t="s">
        <v>28</v>
      </c>
      <c r="B15" s="71">
        <f>'Enheterna AO VGR'!E28</f>
        <v>836</v>
      </c>
      <c r="C15" s="71">
        <f>SUM('Enheterna AO VGR'!B28:D28)</f>
        <v>2859</v>
      </c>
      <c r="D15" s="72">
        <f t="shared" si="0"/>
        <v>59.714285714285715</v>
      </c>
      <c r="E15" s="72">
        <f t="shared" si="1"/>
        <v>45.38095238095238</v>
      </c>
      <c r="F15" s="72">
        <f t="shared" si="2"/>
        <v>52.547619047619051</v>
      </c>
      <c r="G15" s="71">
        <f t="shared" si="3"/>
        <v>315.28571428571433</v>
      </c>
      <c r="H15" s="73">
        <f t="shared" si="4"/>
        <v>1151.2857142857142</v>
      </c>
      <c r="I15" s="71">
        <f>'Enheterna AO VGR'!E29</f>
        <v>1232</v>
      </c>
      <c r="J15" s="74">
        <f t="shared" si="5"/>
        <v>-80.714285714285779</v>
      </c>
      <c r="K15" s="90">
        <f t="shared" si="6"/>
        <v>0.9344851576994434</v>
      </c>
    </row>
    <row r="16" spans="1:11">
      <c r="A16" s="86" t="s">
        <v>29</v>
      </c>
      <c r="B16" s="75">
        <f>'Enheterna AO VGR'!E34</f>
        <v>680</v>
      </c>
      <c r="C16" s="75">
        <f>SUM('Enheterna AO VGR'!B34:D34)</f>
        <v>1799</v>
      </c>
      <c r="D16" s="76">
        <f t="shared" si="0"/>
        <v>48.571428571428569</v>
      </c>
      <c r="E16" s="76">
        <f t="shared" si="1"/>
        <v>28.555555555555557</v>
      </c>
      <c r="F16" s="76">
        <f t="shared" si="2"/>
        <v>38.563492063492063</v>
      </c>
      <c r="G16" s="75">
        <f t="shared" si="3"/>
        <v>231.38095238095238</v>
      </c>
      <c r="H16" s="77">
        <f t="shared" si="4"/>
        <v>911.38095238095241</v>
      </c>
      <c r="I16" s="75">
        <f>'Enheterna AO VGR'!E35</f>
        <v>735</v>
      </c>
      <c r="J16" s="78">
        <f t="shared" si="5"/>
        <v>176.38095238095241</v>
      </c>
      <c r="K16" s="91">
        <f t="shared" si="6"/>
        <v>1.2399740848720442</v>
      </c>
    </row>
    <row r="17" spans="1:11">
      <c r="A17" s="85" t="s">
        <v>30</v>
      </c>
      <c r="B17" s="71">
        <f>'Enheterna AO VGR'!E40</f>
        <v>941</v>
      </c>
      <c r="C17" s="71">
        <f>SUM('Enheterna AO VGR'!B40:D40)</f>
        <v>3083</v>
      </c>
      <c r="D17" s="72">
        <f t="shared" si="0"/>
        <v>67.214285714285708</v>
      </c>
      <c r="E17" s="72">
        <f t="shared" si="1"/>
        <v>48.936507936507937</v>
      </c>
      <c r="F17" s="72">
        <f t="shared" si="2"/>
        <v>58.075396825396822</v>
      </c>
      <c r="G17" s="71">
        <f t="shared" si="3"/>
        <v>348.45238095238096</v>
      </c>
      <c r="H17" s="73">
        <f t="shared" si="4"/>
        <v>1289.452380952381</v>
      </c>
      <c r="I17" s="71">
        <f>'Enheterna AO VGR'!E41</f>
        <v>1050</v>
      </c>
      <c r="J17" s="74">
        <f t="shared" si="5"/>
        <v>239.45238095238096</v>
      </c>
      <c r="K17" s="90">
        <f t="shared" si="6"/>
        <v>1.2280498866213152</v>
      </c>
    </row>
    <row r="18" spans="1:11">
      <c r="A18" s="86" t="s">
        <v>31</v>
      </c>
      <c r="B18" s="75">
        <f>'Enheterna AO VGR'!E46</f>
        <v>754</v>
      </c>
      <c r="C18" s="75">
        <f>SUM('Enheterna AO VGR'!B46:D46)</f>
        <v>1670</v>
      </c>
      <c r="D18" s="76">
        <f t="shared" si="0"/>
        <v>53.857142857142854</v>
      </c>
      <c r="E18" s="76">
        <f t="shared" si="1"/>
        <v>26.50793650793651</v>
      </c>
      <c r="F18" s="76">
        <f t="shared" si="2"/>
        <v>40.182539682539684</v>
      </c>
      <c r="G18" s="75">
        <f t="shared" si="3"/>
        <v>241.0952380952381</v>
      </c>
      <c r="H18" s="77">
        <f t="shared" si="4"/>
        <v>995.09523809523807</v>
      </c>
      <c r="I18" s="75">
        <f>'Enheterna AO VGR'!E47</f>
        <v>805</v>
      </c>
      <c r="J18" s="78">
        <f t="shared" si="5"/>
        <v>190.09523809523807</v>
      </c>
      <c r="K18" s="91">
        <f t="shared" si="6"/>
        <v>1.2361431529133393</v>
      </c>
    </row>
    <row r="19" spans="1:11">
      <c r="A19" s="85" t="s">
        <v>32</v>
      </c>
      <c r="B19" s="71">
        <f>'Enheterna AO VGR'!E52</f>
        <v>997</v>
      </c>
      <c r="C19" s="71">
        <f>SUM('Enheterna AO VGR'!B52:D52)</f>
        <v>3049</v>
      </c>
      <c r="D19" s="72">
        <f t="shared" si="0"/>
        <v>71.214285714285708</v>
      </c>
      <c r="E19" s="72">
        <f t="shared" si="1"/>
        <v>48.396825396825399</v>
      </c>
      <c r="F19" s="72">
        <f t="shared" si="2"/>
        <v>59.805555555555557</v>
      </c>
      <c r="G19" s="71">
        <f t="shared" si="3"/>
        <v>358.83333333333337</v>
      </c>
      <c r="H19" s="73">
        <f t="shared" si="4"/>
        <v>1355.8333333333335</v>
      </c>
      <c r="I19" s="71">
        <f>'Enheterna AO VGR'!E53</f>
        <v>1180</v>
      </c>
      <c r="J19" s="74">
        <f t="shared" si="5"/>
        <v>175.83333333333348</v>
      </c>
      <c r="K19" s="90">
        <f t="shared" si="6"/>
        <v>1.1490112994350283</v>
      </c>
    </row>
    <row r="20" spans="1:11">
      <c r="A20" s="86" t="s">
        <v>33</v>
      </c>
      <c r="B20" s="75">
        <f>'Enheterna AO VGR'!E58</f>
        <v>325</v>
      </c>
      <c r="C20" s="75">
        <f>SUM('Enheterna AO VGR'!B58:D58)</f>
        <v>782</v>
      </c>
      <c r="D20" s="76">
        <f t="shared" si="0"/>
        <v>23.214285714285715</v>
      </c>
      <c r="E20" s="76">
        <f t="shared" si="1"/>
        <v>12.412698412698413</v>
      </c>
      <c r="F20" s="76">
        <f t="shared" si="2"/>
        <v>17.813492063492063</v>
      </c>
      <c r="G20" s="75">
        <f t="shared" si="3"/>
        <v>106.88095238095238</v>
      </c>
      <c r="H20" s="77">
        <f t="shared" si="4"/>
        <v>431.88095238095241</v>
      </c>
      <c r="I20" s="75">
        <f>'Enheterna AO VGR'!E59</f>
        <v>520</v>
      </c>
      <c r="J20" s="78">
        <f t="shared" si="5"/>
        <v>-88.119047619047592</v>
      </c>
      <c r="K20" s="91">
        <f t="shared" si="6"/>
        <v>0.83054029304029309</v>
      </c>
    </row>
    <row r="21" spans="1:11">
      <c r="A21" s="85" t="s">
        <v>141</v>
      </c>
      <c r="B21" s="71">
        <f>'Enheterna AO VGR'!E64</f>
        <v>1281</v>
      </c>
      <c r="C21" s="71">
        <f>SUM('Enheterna AO VGR'!B64:D64)</f>
        <v>3702</v>
      </c>
      <c r="D21" s="72">
        <f t="shared" si="0"/>
        <v>91.5</v>
      </c>
      <c r="E21" s="72">
        <f t="shared" si="1"/>
        <v>58.761904761904759</v>
      </c>
      <c r="F21" s="72">
        <f t="shared" si="2"/>
        <v>75.13095238095238</v>
      </c>
      <c r="G21" s="71">
        <f t="shared" si="3"/>
        <v>450.78571428571428</v>
      </c>
      <c r="H21" s="73">
        <f t="shared" si="4"/>
        <v>1731.7857142857142</v>
      </c>
      <c r="I21" s="71">
        <f>'Enheterna AO VGR'!E65</f>
        <v>1126</v>
      </c>
      <c r="J21" s="74">
        <f t="shared" si="5"/>
        <v>605.78571428571422</v>
      </c>
      <c r="K21" s="90">
        <f t="shared" si="6"/>
        <v>1.5379979700583608</v>
      </c>
    </row>
    <row r="22" spans="1:11">
      <c r="A22" s="86" t="s">
        <v>142</v>
      </c>
      <c r="B22" s="75">
        <f>'Enheterna AO VGR'!E70</f>
        <v>1291</v>
      </c>
      <c r="C22" s="75">
        <f>SUM('Enheterna AO VGR'!B70:D70)</f>
        <v>3226</v>
      </c>
      <c r="D22" s="76">
        <f t="shared" si="0"/>
        <v>92.214285714285708</v>
      </c>
      <c r="E22" s="76">
        <f t="shared" si="1"/>
        <v>51.206349206349209</v>
      </c>
      <c r="F22" s="76">
        <f t="shared" si="2"/>
        <v>71.710317460317455</v>
      </c>
      <c r="G22" s="75">
        <f t="shared" si="3"/>
        <v>430.2619047619047</v>
      </c>
      <c r="H22" s="77">
        <f t="shared" si="4"/>
        <v>1721.2619047619046</v>
      </c>
      <c r="I22" s="75">
        <f>'Enheterna AO VGR'!E71</f>
        <v>1210</v>
      </c>
      <c r="J22" s="78">
        <f t="shared" si="5"/>
        <v>511.26190476190459</v>
      </c>
      <c r="K22" s="91">
        <f t="shared" si="6"/>
        <v>1.4225304998032269</v>
      </c>
    </row>
    <row r="23" spans="1:11">
      <c r="A23" s="85" t="s">
        <v>181</v>
      </c>
      <c r="B23" s="71">
        <f>'Enheterna AO VGR'!E76</f>
        <v>2018</v>
      </c>
      <c r="C23" s="71">
        <f>SUM('Enheterna AO VGR'!B76:D76)</f>
        <v>5034</v>
      </c>
      <c r="D23" s="72">
        <f t="shared" si="0"/>
        <v>144.14285714285714</v>
      </c>
      <c r="E23" s="72">
        <f t="shared" si="1"/>
        <v>79.904761904761898</v>
      </c>
      <c r="F23" s="72">
        <f t="shared" si="2"/>
        <v>112.02380952380952</v>
      </c>
      <c r="G23" s="71">
        <f t="shared" si="3"/>
        <v>672.14285714285711</v>
      </c>
      <c r="H23" s="73">
        <f t="shared" si="4"/>
        <v>2690.1428571428569</v>
      </c>
      <c r="I23" s="71">
        <f>'Enheterna AO VGR'!E77</f>
        <v>1923</v>
      </c>
      <c r="J23" s="74">
        <f t="shared" si="5"/>
        <v>767.14285714285688</v>
      </c>
      <c r="K23" s="90">
        <f t="shared" si="6"/>
        <v>1.3989302429240025</v>
      </c>
    </row>
    <row r="24" spans="1:11">
      <c r="A24" s="86" t="s">
        <v>95</v>
      </c>
      <c r="B24" s="75">
        <f>'Enheterna AO VGR'!E82</f>
        <v>509</v>
      </c>
      <c r="C24" s="75">
        <f>SUM('Enheterna AO VGR'!B82:D82)</f>
        <v>1772</v>
      </c>
      <c r="D24" s="76">
        <f t="shared" si="0"/>
        <v>36.357142857142854</v>
      </c>
      <c r="E24" s="76">
        <f t="shared" si="1"/>
        <v>28.126984126984127</v>
      </c>
      <c r="F24" s="76">
        <f t="shared" si="2"/>
        <v>32.242063492063494</v>
      </c>
      <c r="G24" s="75">
        <f t="shared" si="3"/>
        <v>193.45238095238096</v>
      </c>
      <c r="H24" s="77">
        <f t="shared" si="4"/>
        <v>702.45238095238096</v>
      </c>
      <c r="I24" s="75">
        <f>'Enheterna AO VGR'!E83</f>
        <v>924</v>
      </c>
      <c r="J24" s="78">
        <f t="shared" si="5"/>
        <v>-221.54761904761904</v>
      </c>
      <c r="K24" s="91">
        <f t="shared" si="6"/>
        <v>0.76022984951556383</v>
      </c>
    </row>
    <row r="25" spans="1:11">
      <c r="A25" s="85" t="s">
        <v>96</v>
      </c>
      <c r="B25" s="71">
        <f>'Enheterna AO VGR'!E88</f>
        <v>1146</v>
      </c>
      <c r="C25" s="71">
        <f>SUM('Enheterna AO VGR'!B88:D88)</f>
        <v>3086</v>
      </c>
      <c r="D25" s="72">
        <f t="shared" si="0"/>
        <v>81.857142857142861</v>
      </c>
      <c r="E25" s="72">
        <f t="shared" si="1"/>
        <v>48.984126984126981</v>
      </c>
      <c r="F25" s="72">
        <f t="shared" si="2"/>
        <v>65.420634920634924</v>
      </c>
      <c r="G25" s="71">
        <f t="shared" si="3"/>
        <v>392.52380952380952</v>
      </c>
      <c r="H25" s="73">
        <f t="shared" si="4"/>
        <v>1538.5238095238096</v>
      </c>
      <c r="I25" s="71">
        <f>'Enheterna AO VGR'!E89</f>
        <v>1050</v>
      </c>
      <c r="J25" s="74">
        <f t="shared" si="5"/>
        <v>488.52380952380963</v>
      </c>
      <c r="K25" s="90">
        <f t="shared" si="6"/>
        <v>1.4652607709750567</v>
      </c>
    </row>
    <row r="26" spans="1:11">
      <c r="A26" s="86" t="s">
        <v>97</v>
      </c>
      <c r="B26" s="75">
        <f>'Enheterna AO VGR'!E94</f>
        <v>1187</v>
      </c>
      <c r="C26" s="75">
        <f>SUM('Enheterna AO VGR'!B94:D94)</f>
        <v>3244</v>
      </c>
      <c r="D26" s="76">
        <f t="shared" si="0"/>
        <v>84.785714285714292</v>
      </c>
      <c r="E26" s="76">
        <f t="shared" si="1"/>
        <v>51.492063492063494</v>
      </c>
      <c r="F26" s="76">
        <f t="shared" si="2"/>
        <v>68.138888888888886</v>
      </c>
      <c r="G26" s="75">
        <f t="shared" si="3"/>
        <v>408.83333333333331</v>
      </c>
      <c r="H26" s="77">
        <f t="shared" si="4"/>
        <v>1595.8333333333333</v>
      </c>
      <c r="I26" s="75">
        <f>'Enheterna AO VGR'!E95</f>
        <v>1495</v>
      </c>
      <c r="J26" s="78">
        <f t="shared" si="5"/>
        <v>100.83333333333326</v>
      </c>
      <c r="K26" s="91">
        <f t="shared" si="6"/>
        <v>1.0674470457079153</v>
      </c>
    </row>
    <row r="27" spans="1:11">
      <c r="A27" s="87"/>
      <c r="B27" s="79"/>
      <c r="C27" s="79"/>
      <c r="D27" s="79"/>
      <c r="E27" s="79"/>
      <c r="F27" s="79"/>
      <c r="G27" s="79"/>
      <c r="H27" s="79"/>
      <c r="I27" s="79"/>
      <c r="J27" s="79"/>
      <c r="K27" s="92"/>
    </row>
    <row r="28" spans="1:11" ht="15" thickBot="1">
      <c r="A28" s="88" t="s">
        <v>174</v>
      </c>
      <c r="B28" s="80">
        <f>SUM(B13:B26)</f>
        <v>13865</v>
      </c>
      <c r="C28" s="80">
        <f>SUM(C13:C26)</f>
        <v>38574</v>
      </c>
      <c r="D28" s="81">
        <f>B28/$B$6</f>
        <v>990.35714285714289</v>
      </c>
      <c r="E28" s="81">
        <f>C28/$B$8</f>
        <v>612.28571428571433</v>
      </c>
      <c r="F28" s="81">
        <f>(D28+E28)/2</f>
        <v>801.32142857142867</v>
      </c>
      <c r="G28" s="80">
        <f>SUM(G13:G26)</f>
        <v>4807.9285714285706</v>
      </c>
      <c r="H28" s="82">
        <f>SUM(H13:H26)</f>
        <v>18672.928571428572</v>
      </c>
      <c r="I28" s="83">
        <f>SUM(I13:I26)</f>
        <v>15336</v>
      </c>
      <c r="J28" s="84">
        <f>H28-I28</f>
        <v>3336.9285714285725</v>
      </c>
      <c r="K28" s="93">
        <f>H28/I28</f>
        <v>1.2175879350175125</v>
      </c>
    </row>
    <row r="30" spans="1:11" ht="17.399999999999999">
      <c r="A30" s="43" t="s">
        <v>214</v>
      </c>
    </row>
    <row r="32" spans="1:11" ht="21">
      <c r="A32" s="52" t="s">
        <v>215</v>
      </c>
      <c r="B32" s="94">
        <f>H28</f>
        <v>18672.928571428572</v>
      </c>
    </row>
    <row r="33" spans="1:2" ht="21">
      <c r="A33" s="56" t="s">
        <v>213</v>
      </c>
      <c r="B33" s="59">
        <f>I28</f>
        <v>15336</v>
      </c>
    </row>
    <row r="34" spans="1:2" ht="21">
      <c r="A34" s="54" t="s">
        <v>172</v>
      </c>
      <c r="B34" s="58">
        <f>J28</f>
        <v>3336.9285714285725</v>
      </c>
    </row>
    <row r="35" spans="1:2" ht="21">
      <c r="A35" s="95" t="s">
        <v>173</v>
      </c>
      <c r="B35" s="60">
        <f>K28</f>
        <v>1.2175879350175125</v>
      </c>
    </row>
    <row r="37" spans="1:2" ht="18">
      <c r="A37" s="52" t="s">
        <v>216</v>
      </c>
      <c r="B37" s="49">
        <f>COUNTIF(K13:K26,"&gt;=1")</f>
        <v>11</v>
      </c>
    </row>
    <row r="38" spans="1:2" ht="18">
      <c r="A38" s="54" t="s">
        <v>217</v>
      </c>
      <c r="B38" s="57">
        <f>COUNTIF(K13:K26,"&lt;1")</f>
        <v>3</v>
      </c>
    </row>
    <row r="39" spans="1:2" ht="15.6">
      <c r="A39" s="52" t="s">
        <v>218</v>
      </c>
      <c r="B39" s="53" t="str">
        <f>INDEX(A13:A26,MATCH(MAX(K13:K26),K13:K26,0))</f>
        <v>Tanum och Fjällbacka</v>
      </c>
    </row>
    <row r="40" spans="1:2" ht="15.6">
      <c r="A40" s="54" t="s">
        <v>219</v>
      </c>
      <c r="B40" s="55" t="str">
        <f>INDEX(A13:A26,MATCH(MIN(K13:K26),K13:K26,0))</f>
        <v>Lilla Edet</v>
      </c>
    </row>
  </sheetData>
  <mergeCells count="4">
    <mergeCell ref="A1:K1"/>
    <mergeCell ref="A2:K2"/>
    <mergeCell ref="A4:K4"/>
    <mergeCell ref="A10:K10"/>
  </mergeCells>
  <conditionalFormatting sqref="K13:K26">
    <cfRule type="cellIs" dxfId="4" priority="1" operator="lessThan">
      <formula>0.75</formula>
    </cfRule>
    <cfRule type="cellIs" dxfId="3" priority="2" operator="between">
      <formula>0.75</formula>
      <formula>0.95</formula>
    </cfRule>
    <cfRule type="cellIs" dxfId="2" priority="3" operator="greaterThanOrEqual">
      <formula>0.95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1E9E-270C-4247-91CF-9611E0F347A9}">
  <dimension ref="A1:M97"/>
  <sheetViews>
    <sheetView topLeftCell="A3" zoomScale="120" zoomScaleNormal="120" workbookViewId="0">
      <selection activeCell="A22" sqref="A22"/>
    </sheetView>
  </sheetViews>
  <sheetFormatPr defaultRowHeight="14.4"/>
  <cols>
    <col min="1" max="1" width="40.5546875" bestFit="1" customWidth="1"/>
    <col min="2" max="2" width="11.6640625" bestFit="1" customWidth="1"/>
    <col min="3" max="3" width="11.109375" bestFit="1" customWidth="1"/>
    <col min="4" max="4" width="11.88671875" bestFit="1" customWidth="1"/>
    <col min="5" max="13" width="6.44140625" bestFit="1" customWidth="1"/>
  </cols>
  <sheetData>
    <row r="1" spans="1:13" s="2" customFormat="1" ht="15" thickBot="1">
      <c r="A1" s="5" t="s">
        <v>3</v>
      </c>
      <c r="B1" s="6">
        <v>46063</v>
      </c>
      <c r="C1" s="6">
        <v>46086</v>
      </c>
      <c r="D1" s="6">
        <v>46106</v>
      </c>
      <c r="E1" s="6"/>
      <c r="F1" s="6"/>
      <c r="G1" s="6"/>
      <c r="H1" s="6"/>
      <c r="I1" s="6"/>
      <c r="J1" s="6"/>
      <c r="K1" s="6"/>
      <c r="L1" s="6"/>
      <c r="M1" s="6"/>
    </row>
    <row r="2" spans="1:13" s="16" customFormat="1" ht="13.8">
      <c r="A2" s="14" t="s">
        <v>143</v>
      </c>
      <c r="B2" s="15" t="s">
        <v>4</v>
      </c>
      <c r="C2" s="15" t="s">
        <v>5</v>
      </c>
      <c r="D2" s="15" t="s">
        <v>6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15" t="s">
        <v>13</v>
      </c>
      <c r="L2" s="15" t="s">
        <v>14</v>
      </c>
      <c r="M2" s="23" t="s">
        <v>15</v>
      </c>
    </row>
    <row r="3" spans="1:13" s="16" customFormat="1" ht="13.8">
      <c r="A3" s="17" t="s">
        <v>19</v>
      </c>
      <c r="B3" s="30">
        <f>B16+B22+B28+B34+B40+B46+B52+B58</f>
        <v>5501</v>
      </c>
      <c r="C3" s="30">
        <f t="shared" ref="C3:M3" si="0">C16+C22+C28+C34+C40+C46+C52+C58</f>
        <v>5974</v>
      </c>
      <c r="D3" s="30">
        <f t="shared" si="0"/>
        <v>7035</v>
      </c>
      <c r="E3" s="30">
        <f t="shared" si="0"/>
        <v>6433</v>
      </c>
      <c r="F3" s="30">
        <f t="shared" si="0"/>
        <v>0</v>
      </c>
      <c r="G3" s="30">
        <f t="shared" si="0"/>
        <v>0</v>
      </c>
      <c r="H3" s="30">
        <f t="shared" si="0"/>
        <v>0</v>
      </c>
      <c r="I3" s="30">
        <f t="shared" si="0"/>
        <v>0</v>
      </c>
      <c r="J3" s="30">
        <f t="shared" si="0"/>
        <v>0</v>
      </c>
      <c r="K3" s="30">
        <f t="shared" si="0"/>
        <v>0</v>
      </c>
      <c r="L3" s="30">
        <f t="shared" si="0"/>
        <v>0</v>
      </c>
      <c r="M3" s="30">
        <f t="shared" si="0"/>
        <v>0</v>
      </c>
    </row>
    <row r="4" spans="1:13" s="16" customFormat="1" ht="13.8">
      <c r="A4" s="17" t="s">
        <v>20</v>
      </c>
      <c r="B4" s="30">
        <f>B17+B23+B29+B35+B41+B47+B53+B59</f>
        <v>6849</v>
      </c>
      <c r="C4" s="30">
        <f t="shared" ref="C4:M4" si="1">C17+C23+C29+C35+C41+C47+C53+C59</f>
        <v>7385</v>
      </c>
      <c r="D4" s="30">
        <f t="shared" si="1"/>
        <v>7974</v>
      </c>
      <c r="E4" s="30">
        <f t="shared" si="1"/>
        <v>7608</v>
      </c>
      <c r="F4" s="30">
        <f t="shared" si="1"/>
        <v>7968</v>
      </c>
      <c r="G4" s="30">
        <f t="shared" si="1"/>
        <v>7390</v>
      </c>
      <c r="H4" s="30">
        <f t="shared" si="1"/>
        <v>3621</v>
      </c>
      <c r="I4" s="30">
        <f t="shared" si="1"/>
        <v>5280</v>
      </c>
      <c r="J4" s="30">
        <f t="shared" si="1"/>
        <v>8323</v>
      </c>
      <c r="K4" s="30">
        <f t="shared" si="1"/>
        <v>8457</v>
      </c>
      <c r="L4" s="30">
        <f t="shared" si="1"/>
        <v>8372</v>
      </c>
      <c r="M4" s="30">
        <f t="shared" si="1"/>
        <v>7005</v>
      </c>
    </row>
    <row r="5" spans="1:13" s="16" customFormat="1" ht="13.8">
      <c r="A5" s="24" t="s">
        <v>21</v>
      </c>
      <c r="B5" s="25">
        <f>B3-B4</f>
        <v>-1348</v>
      </c>
      <c r="C5" s="25">
        <f t="shared" ref="C5:M5" si="2">C3-C4</f>
        <v>-1411</v>
      </c>
      <c r="D5" s="25">
        <f t="shared" si="2"/>
        <v>-939</v>
      </c>
      <c r="E5" s="25">
        <f t="shared" si="2"/>
        <v>-1175</v>
      </c>
      <c r="F5" s="25">
        <f t="shared" si="2"/>
        <v>-7968</v>
      </c>
      <c r="G5" s="25">
        <f t="shared" si="2"/>
        <v>-7390</v>
      </c>
      <c r="H5" s="25">
        <f t="shared" si="2"/>
        <v>-3621</v>
      </c>
      <c r="I5" s="26">
        <f t="shared" si="2"/>
        <v>-5280</v>
      </c>
      <c r="J5" s="26">
        <f t="shared" si="2"/>
        <v>-8323</v>
      </c>
      <c r="K5" s="25">
        <f t="shared" si="2"/>
        <v>-8457</v>
      </c>
      <c r="L5" s="25">
        <f t="shared" si="2"/>
        <v>-8372</v>
      </c>
      <c r="M5" s="27">
        <f t="shared" si="2"/>
        <v>-7005</v>
      </c>
    </row>
    <row r="6" spans="1:13" s="16" customFormat="1" thickBot="1">
      <c r="A6" s="18" t="s">
        <v>22</v>
      </c>
      <c r="B6" s="19">
        <f t="shared" ref="B6:C6" si="3">SUM(B5/B4)</f>
        <v>-0.19681705358446488</v>
      </c>
      <c r="C6" s="28">
        <f t="shared" si="3"/>
        <v>-0.19106296547054841</v>
      </c>
      <c r="D6" s="19">
        <f t="shared" ref="D6:M6" si="4">SUM(D5/D4)</f>
        <v>-0.11775771256583897</v>
      </c>
      <c r="E6" s="19">
        <f t="shared" si="4"/>
        <v>-0.15444269190325974</v>
      </c>
      <c r="F6" s="19">
        <f t="shared" si="4"/>
        <v>-1</v>
      </c>
      <c r="G6" s="19">
        <f t="shared" si="4"/>
        <v>-1</v>
      </c>
      <c r="H6" s="28">
        <f t="shared" si="4"/>
        <v>-1</v>
      </c>
      <c r="I6" s="28">
        <f t="shared" si="4"/>
        <v>-1</v>
      </c>
      <c r="J6" s="28">
        <f t="shared" si="4"/>
        <v>-1</v>
      </c>
      <c r="K6" s="28">
        <f t="shared" si="4"/>
        <v>-1</v>
      </c>
      <c r="L6" s="19">
        <f t="shared" si="4"/>
        <v>-1</v>
      </c>
      <c r="M6" s="29">
        <f t="shared" si="4"/>
        <v>-1</v>
      </c>
    </row>
    <row r="7" spans="1:13" s="16" customFormat="1" thickBot="1">
      <c r="B7" s="38"/>
      <c r="C7" s="39"/>
      <c r="D7" s="38"/>
      <c r="E7" s="38"/>
      <c r="F7" s="38"/>
      <c r="G7" s="38"/>
      <c r="H7" s="39"/>
      <c r="I7" s="39"/>
      <c r="J7" s="39"/>
      <c r="K7" s="39"/>
      <c r="L7" s="38"/>
      <c r="M7" s="38"/>
    </row>
    <row r="8" spans="1:13" s="16" customFormat="1" ht="13.8">
      <c r="A8" s="14" t="s">
        <v>144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  <c r="H8" s="15" t="s">
        <v>10</v>
      </c>
      <c r="I8" s="15" t="s">
        <v>11</v>
      </c>
      <c r="J8" s="15" t="s">
        <v>12</v>
      </c>
      <c r="K8" s="15" t="s">
        <v>13</v>
      </c>
      <c r="L8" s="15" t="s">
        <v>14</v>
      </c>
      <c r="M8" s="23" t="s">
        <v>15</v>
      </c>
    </row>
    <row r="9" spans="1:13" s="16" customFormat="1" ht="13.8">
      <c r="A9" s="17" t="s">
        <v>19</v>
      </c>
      <c r="B9" s="30">
        <f>B64+B70+B76+B82+B88+B94</f>
        <v>5989</v>
      </c>
      <c r="C9" s="30">
        <f t="shared" ref="C9:M9" si="5">C64+C70+C76+C82+C88+C94</f>
        <v>6570</v>
      </c>
      <c r="D9" s="30">
        <f t="shared" si="5"/>
        <v>7505</v>
      </c>
      <c r="E9" s="30">
        <f t="shared" si="5"/>
        <v>7432</v>
      </c>
      <c r="F9" s="30">
        <f t="shared" si="5"/>
        <v>0</v>
      </c>
      <c r="G9" s="30">
        <f t="shared" si="5"/>
        <v>0</v>
      </c>
      <c r="H9" s="30">
        <f t="shared" si="5"/>
        <v>0</v>
      </c>
      <c r="I9" s="30">
        <f t="shared" si="5"/>
        <v>0</v>
      </c>
      <c r="J9" s="30">
        <f t="shared" si="5"/>
        <v>0</v>
      </c>
      <c r="K9" s="30">
        <f t="shared" si="5"/>
        <v>0</v>
      </c>
      <c r="L9" s="30">
        <f t="shared" si="5"/>
        <v>0</v>
      </c>
      <c r="M9" s="31">
        <f t="shared" si="5"/>
        <v>0</v>
      </c>
    </row>
    <row r="10" spans="1:13" s="16" customFormat="1" ht="13.8">
      <c r="A10" s="17" t="s">
        <v>20</v>
      </c>
      <c r="B10" s="30">
        <f>B65+B71+B77+B83+B89+B95</f>
        <v>7192</v>
      </c>
      <c r="C10" s="30">
        <f t="shared" ref="C10:M10" si="6">C65+C71+C77+C83+C89+C95</f>
        <v>7683</v>
      </c>
      <c r="D10" s="30">
        <f t="shared" si="6"/>
        <v>8218</v>
      </c>
      <c r="E10" s="30">
        <f t="shared" si="6"/>
        <v>7728</v>
      </c>
      <c r="F10" s="30">
        <f t="shared" si="6"/>
        <v>7960</v>
      </c>
      <c r="G10" s="30">
        <f t="shared" si="6"/>
        <v>6596</v>
      </c>
      <c r="H10" s="30">
        <f t="shared" si="6"/>
        <v>3844</v>
      </c>
      <c r="I10" s="30">
        <f t="shared" si="6"/>
        <v>6062</v>
      </c>
      <c r="J10" s="30">
        <f t="shared" si="6"/>
        <v>8852</v>
      </c>
      <c r="K10" s="30">
        <f t="shared" si="6"/>
        <v>8680</v>
      </c>
      <c r="L10" s="30">
        <f t="shared" si="6"/>
        <v>8824</v>
      </c>
      <c r="M10" s="31">
        <f t="shared" si="6"/>
        <v>7805</v>
      </c>
    </row>
    <row r="11" spans="1:13" s="16" customFormat="1" ht="13.8">
      <c r="A11" s="24" t="s">
        <v>21</v>
      </c>
      <c r="B11" s="25">
        <f>B9-B10</f>
        <v>-1203</v>
      </c>
      <c r="C11" s="25">
        <f t="shared" ref="C11:M11" si="7">C9-C10</f>
        <v>-1113</v>
      </c>
      <c r="D11" s="25">
        <f t="shared" si="7"/>
        <v>-713</v>
      </c>
      <c r="E11" s="25">
        <f t="shared" si="7"/>
        <v>-296</v>
      </c>
      <c r="F11" s="25">
        <f t="shared" si="7"/>
        <v>-7960</v>
      </c>
      <c r="G11" s="25">
        <f t="shared" si="7"/>
        <v>-6596</v>
      </c>
      <c r="H11" s="25">
        <f t="shared" si="7"/>
        <v>-3844</v>
      </c>
      <c r="I11" s="26">
        <f t="shared" si="7"/>
        <v>-6062</v>
      </c>
      <c r="J11" s="26">
        <f t="shared" si="7"/>
        <v>-8852</v>
      </c>
      <c r="K11" s="25">
        <f t="shared" si="7"/>
        <v>-8680</v>
      </c>
      <c r="L11" s="25">
        <f t="shared" si="7"/>
        <v>-8824</v>
      </c>
      <c r="M11" s="27">
        <f t="shared" si="7"/>
        <v>-7805</v>
      </c>
    </row>
    <row r="12" spans="1:13" s="16" customFormat="1" thickBot="1">
      <c r="A12" s="18" t="s">
        <v>22</v>
      </c>
      <c r="B12" s="19">
        <f t="shared" ref="B12:M12" si="8">SUM(B11/B10)</f>
        <v>-0.16726918798665183</v>
      </c>
      <c r="C12" s="28">
        <f t="shared" si="8"/>
        <v>-0.1448652869972667</v>
      </c>
      <c r="D12" s="19">
        <f t="shared" si="8"/>
        <v>-8.6760769043562905E-2</v>
      </c>
      <c r="E12" s="19">
        <f t="shared" si="8"/>
        <v>-3.8302277432712216E-2</v>
      </c>
      <c r="F12" s="19">
        <f t="shared" si="8"/>
        <v>-1</v>
      </c>
      <c r="G12" s="19">
        <f t="shared" si="8"/>
        <v>-1</v>
      </c>
      <c r="H12" s="28">
        <f t="shared" si="8"/>
        <v>-1</v>
      </c>
      <c r="I12" s="28">
        <f t="shared" si="8"/>
        <v>-1</v>
      </c>
      <c r="J12" s="28">
        <f t="shared" si="8"/>
        <v>-1</v>
      </c>
      <c r="K12" s="28">
        <f t="shared" si="8"/>
        <v>-1</v>
      </c>
      <c r="L12" s="19">
        <f t="shared" si="8"/>
        <v>-1</v>
      </c>
      <c r="M12" s="29">
        <f t="shared" si="8"/>
        <v>-1</v>
      </c>
    </row>
    <row r="13" spans="1:13" s="16" customFormat="1" thickBot="1">
      <c r="B13" s="38"/>
      <c r="C13" s="39"/>
      <c r="D13" s="38"/>
      <c r="E13" s="38"/>
      <c r="F13" s="38"/>
      <c r="G13" s="38"/>
      <c r="H13" s="39"/>
      <c r="I13" s="39"/>
      <c r="J13" s="39"/>
      <c r="K13" s="39"/>
      <c r="L13" s="19"/>
      <c r="M13" s="38"/>
    </row>
    <row r="14" spans="1:13" s="16" customFormat="1" thickBot="1">
      <c r="A14" s="20" t="s">
        <v>23</v>
      </c>
      <c r="B14" s="21"/>
      <c r="C14" s="21"/>
      <c r="D14" s="21"/>
      <c r="E14" s="21"/>
      <c r="F14" s="21"/>
      <c r="G14" s="21"/>
      <c r="H14" s="22"/>
      <c r="I14" s="22"/>
      <c r="J14" s="22"/>
      <c r="K14" s="22"/>
      <c r="L14" s="19"/>
      <c r="M14" s="21"/>
    </row>
    <row r="15" spans="1:13" s="16" customFormat="1" ht="13.8">
      <c r="A15" s="14" t="s">
        <v>26</v>
      </c>
      <c r="B15" s="15" t="s">
        <v>4</v>
      </c>
      <c r="C15" s="15" t="s">
        <v>5</v>
      </c>
      <c r="D15" s="15" t="s">
        <v>6</v>
      </c>
      <c r="E15" s="15" t="s">
        <v>7</v>
      </c>
      <c r="F15" s="15" t="s">
        <v>8</v>
      </c>
      <c r="G15" s="15" t="s">
        <v>9</v>
      </c>
      <c r="H15" s="15" t="s">
        <v>10</v>
      </c>
      <c r="I15" s="15" t="s">
        <v>11</v>
      </c>
      <c r="J15" s="15" t="s">
        <v>12</v>
      </c>
      <c r="K15" s="15" t="s">
        <v>13</v>
      </c>
      <c r="L15" s="15" t="s">
        <v>14</v>
      </c>
      <c r="M15" s="23" t="s">
        <v>15</v>
      </c>
    </row>
    <row r="16" spans="1:13" s="16" customFormat="1" ht="13.8">
      <c r="A16" s="17" t="s">
        <v>19</v>
      </c>
      <c r="B16" s="30">
        <f>'Frölunda Torg'!B18</f>
        <v>783</v>
      </c>
      <c r="C16" s="30">
        <f>'Frölunda Torg'!C18</f>
        <v>900</v>
      </c>
      <c r="D16" s="30">
        <f>'Frölunda Torg'!D18</f>
        <v>883</v>
      </c>
      <c r="E16" s="30">
        <f>'Frölunda Torg'!E18</f>
        <v>828</v>
      </c>
      <c r="F16" s="30">
        <f>'Frölunda Torg'!F18</f>
        <v>0</v>
      </c>
      <c r="G16" s="30">
        <f>'Frölunda Torg'!G18</f>
        <v>0</v>
      </c>
      <c r="H16" s="30">
        <f>'Frölunda Torg'!H18</f>
        <v>0</v>
      </c>
      <c r="I16" s="30">
        <f>'Frölunda Torg'!I18</f>
        <v>0</v>
      </c>
      <c r="J16" s="30">
        <f>'Frölunda Torg'!J18</f>
        <v>0</v>
      </c>
      <c r="K16" s="30">
        <f>'Frölunda Torg'!K18</f>
        <v>0</v>
      </c>
      <c r="L16" s="30">
        <f>'Frölunda Torg'!L18</f>
        <v>0</v>
      </c>
      <c r="M16" s="30">
        <f>'Frölunda Torg'!M18</f>
        <v>0</v>
      </c>
    </row>
    <row r="17" spans="1:13" s="16" customFormat="1" ht="13.8">
      <c r="A17" s="17" t="s">
        <v>20</v>
      </c>
      <c r="B17" s="30">
        <f>'Frölunda Torg'!B39</f>
        <v>1120</v>
      </c>
      <c r="C17" s="30">
        <f>'Frölunda Torg'!C39</f>
        <v>1076</v>
      </c>
      <c r="D17" s="30">
        <f>'Frölunda Torg'!D39</f>
        <v>1106</v>
      </c>
      <c r="E17" s="30">
        <f>'Frölunda Torg'!E39</f>
        <v>1066</v>
      </c>
      <c r="F17" s="30">
        <f>'Frölunda Torg'!F39</f>
        <v>1076</v>
      </c>
      <c r="G17" s="30">
        <f>'Frölunda Torg'!G39</f>
        <v>1010</v>
      </c>
      <c r="H17" s="30">
        <f>'Frölunda Torg'!H39</f>
        <v>456</v>
      </c>
      <c r="I17" s="30">
        <f>'Frölunda Torg'!I39</f>
        <v>720</v>
      </c>
      <c r="J17" s="30">
        <f>'Frölunda Torg'!J39</f>
        <v>1176</v>
      </c>
      <c r="K17" s="30">
        <f>'Frölunda Torg'!K39</f>
        <v>1186</v>
      </c>
      <c r="L17" s="30">
        <f>'Frölunda Torg'!L39</f>
        <v>1186</v>
      </c>
      <c r="M17" s="30">
        <f>'Frölunda Torg'!M39</f>
        <v>1040</v>
      </c>
    </row>
    <row r="18" spans="1:13" s="16" customFormat="1" ht="13.8">
      <c r="A18" s="24" t="s">
        <v>21</v>
      </c>
      <c r="B18" s="25">
        <f>B16-B17</f>
        <v>-337</v>
      </c>
      <c r="C18" s="25">
        <f t="shared" ref="C18:M18" si="9">C16-C17</f>
        <v>-176</v>
      </c>
      <c r="D18" s="25">
        <f t="shared" si="9"/>
        <v>-223</v>
      </c>
      <c r="E18" s="25">
        <f t="shared" si="9"/>
        <v>-238</v>
      </c>
      <c r="F18" s="25">
        <f t="shared" si="9"/>
        <v>-1076</v>
      </c>
      <c r="G18" s="25">
        <f t="shared" si="9"/>
        <v>-1010</v>
      </c>
      <c r="H18" s="25">
        <f t="shared" si="9"/>
        <v>-456</v>
      </c>
      <c r="I18" s="26">
        <f t="shared" si="9"/>
        <v>-720</v>
      </c>
      <c r="J18" s="26">
        <f t="shared" si="9"/>
        <v>-1176</v>
      </c>
      <c r="K18" s="25">
        <f t="shared" si="9"/>
        <v>-1186</v>
      </c>
      <c r="L18" s="25">
        <f t="shared" si="9"/>
        <v>-1186</v>
      </c>
      <c r="M18" s="27">
        <f t="shared" si="9"/>
        <v>-1040</v>
      </c>
    </row>
    <row r="19" spans="1:13" s="16" customFormat="1" thickBot="1">
      <c r="A19" s="18" t="s">
        <v>22</v>
      </c>
      <c r="B19" s="19">
        <f t="shared" ref="B19:M19" si="10">SUM(B18/B17)</f>
        <v>-0.30089285714285713</v>
      </c>
      <c r="C19" s="19">
        <f t="shared" si="10"/>
        <v>-0.16356877323420074</v>
      </c>
      <c r="D19" s="19">
        <f t="shared" si="10"/>
        <v>-0.20162748643761302</v>
      </c>
      <c r="E19" s="19">
        <f t="shared" si="10"/>
        <v>-0.22326454033771106</v>
      </c>
      <c r="F19" s="19">
        <f t="shared" si="10"/>
        <v>-1</v>
      </c>
      <c r="G19" s="19">
        <f t="shared" si="10"/>
        <v>-1</v>
      </c>
      <c r="H19" s="28">
        <f t="shared" si="10"/>
        <v>-1</v>
      </c>
      <c r="I19" s="28">
        <f t="shared" si="10"/>
        <v>-1</v>
      </c>
      <c r="J19" s="28">
        <f t="shared" si="10"/>
        <v>-1</v>
      </c>
      <c r="K19" s="28">
        <f t="shared" si="10"/>
        <v>-1</v>
      </c>
      <c r="L19" s="19">
        <f t="shared" si="10"/>
        <v>-1</v>
      </c>
      <c r="M19" s="29">
        <f t="shared" si="10"/>
        <v>-1</v>
      </c>
    </row>
    <row r="20" spans="1:13" s="16" customFormat="1" thickBot="1">
      <c r="B20" s="21"/>
      <c r="C20" s="21"/>
      <c r="D20" s="21"/>
      <c r="E20" s="21"/>
      <c r="F20" s="21"/>
      <c r="G20" s="21"/>
      <c r="H20" s="22"/>
      <c r="I20" s="22"/>
      <c r="J20" s="22"/>
      <c r="K20" s="22"/>
      <c r="L20" s="21"/>
      <c r="M20" s="21"/>
    </row>
    <row r="21" spans="1:13" s="16" customFormat="1" ht="13.8">
      <c r="A21" s="14" t="s">
        <v>27</v>
      </c>
      <c r="B21" s="15" t="s">
        <v>4</v>
      </c>
      <c r="C21" s="15" t="s">
        <v>5</v>
      </c>
      <c r="D21" s="15" t="s">
        <v>6</v>
      </c>
      <c r="E21" s="15" t="s">
        <v>7</v>
      </c>
      <c r="F21" s="15" t="s">
        <v>8</v>
      </c>
      <c r="G21" s="15" t="s">
        <v>9</v>
      </c>
      <c r="H21" s="15" t="s">
        <v>10</v>
      </c>
      <c r="I21" s="15" t="s">
        <v>11</v>
      </c>
      <c r="J21" s="15" t="s">
        <v>12</v>
      </c>
      <c r="K21" s="15" t="s">
        <v>13</v>
      </c>
      <c r="L21" s="15" t="s">
        <v>14</v>
      </c>
      <c r="M21" s="23" t="s">
        <v>15</v>
      </c>
    </row>
    <row r="22" spans="1:13" s="16" customFormat="1" ht="13.8">
      <c r="A22" s="17" t="s">
        <v>19</v>
      </c>
      <c r="B22" s="30">
        <f>SUM(Grimmered!B18)</f>
        <v>754</v>
      </c>
      <c r="C22" s="30">
        <f>SUM(Grimmered!C18)</f>
        <v>884</v>
      </c>
      <c r="D22" s="30">
        <f>SUM(Grimmered!D18)</f>
        <v>1064</v>
      </c>
      <c r="E22" s="30">
        <f>SUM(Grimmered!E18)</f>
        <v>1072</v>
      </c>
      <c r="F22" s="30">
        <f>SUM(Grimmered!F18)</f>
        <v>0</v>
      </c>
      <c r="G22" s="30">
        <f>SUM(Grimmered!G18)</f>
        <v>0</v>
      </c>
      <c r="H22" s="30">
        <f>SUM(Grimmered!H18)</f>
        <v>0</v>
      </c>
      <c r="I22" s="30">
        <f>SUM(Grimmered!I18)</f>
        <v>0</v>
      </c>
      <c r="J22" s="30">
        <f>SUM(Grimmered!J18)</f>
        <v>0</v>
      </c>
      <c r="K22" s="30">
        <f>SUM(Grimmered!K18)</f>
        <v>0</v>
      </c>
      <c r="L22" s="30">
        <f>SUM(Grimmered!L18)</f>
        <v>0</v>
      </c>
      <c r="M22" s="31">
        <f>SUM(Grimmered!M18)</f>
        <v>0</v>
      </c>
    </row>
    <row r="23" spans="1:13" s="16" customFormat="1" ht="13.8">
      <c r="A23" s="17" t="s">
        <v>20</v>
      </c>
      <c r="B23" s="30">
        <f>SUM(Grimmered!B39)</f>
        <v>1005</v>
      </c>
      <c r="C23" s="30">
        <f>SUM(Grimmered!C39)</f>
        <v>1045</v>
      </c>
      <c r="D23" s="30">
        <f>SUM(Grimmered!D39)</f>
        <v>1045</v>
      </c>
      <c r="E23" s="30">
        <f>SUM(Grimmered!E39)</f>
        <v>1020</v>
      </c>
      <c r="F23" s="30">
        <f>SUM(Grimmered!F39)</f>
        <v>1025</v>
      </c>
      <c r="G23" s="30">
        <f>SUM(Grimmered!G39)</f>
        <v>1045</v>
      </c>
      <c r="H23" s="30">
        <f>SUM(Grimmered!H39)</f>
        <v>500</v>
      </c>
      <c r="I23" s="30">
        <f>SUM(Grimmered!I39)</f>
        <v>530</v>
      </c>
      <c r="J23" s="30">
        <f>SUM(Grimmered!J39)</f>
        <v>1040</v>
      </c>
      <c r="K23" s="30">
        <f>SUM(Grimmered!K39)</f>
        <v>1040</v>
      </c>
      <c r="L23" s="30">
        <f>SUM(Grimmered!L39)</f>
        <v>1040</v>
      </c>
      <c r="M23" s="31">
        <f>SUM(Grimmered!M39)</f>
        <v>960</v>
      </c>
    </row>
    <row r="24" spans="1:13" s="16" customFormat="1" ht="13.8">
      <c r="A24" s="24" t="s">
        <v>21</v>
      </c>
      <c r="B24" s="25">
        <f>B22-B23</f>
        <v>-251</v>
      </c>
      <c r="C24" s="25">
        <f t="shared" ref="C24:M24" si="11">C22-C23</f>
        <v>-161</v>
      </c>
      <c r="D24" s="25">
        <f t="shared" si="11"/>
        <v>19</v>
      </c>
      <c r="E24" s="25">
        <f t="shared" si="11"/>
        <v>52</v>
      </c>
      <c r="F24" s="25">
        <f t="shared" si="11"/>
        <v>-1025</v>
      </c>
      <c r="G24" s="25">
        <f t="shared" si="11"/>
        <v>-1045</v>
      </c>
      <c r="H24" s="25">
        <f t="shared" si="11"/>
        <v>-500</v>
      </c>
      <c r="I24" s="26">
        <f t="shared" si="11"/>
        <v>-530</v>
      </c>
      <c r="J24" s="26">
        <f t="shared" si="11"/>
        <v>-1040</v>
      </c>
      <c r="K24" s="25">
        <f t="shared" si="11"/>
        <v>-1040</v>
      </c>
      <c r="L24" s="25">
        <f t="shared" si="11"/>
        <v>-1040</v>
      </c>
      <c r="M24" s="27">
        <f t="shared" si="11"/>
        <v>-960</v>
      </c>
    </row>
    <row r="25" spans="1:13" s="16" customFormat="1" thickBot="1">
      <c r="A25" s="18" t="s">
        <v>22</v>
      </c>
      <c r="B25" s="19">
        <f t="shared" ref="B25:M25" si="12">SUM(B24/B23)</f>
        <v>-0.24975124378109453</v>
      </c>
      <c r="C25" s="19">
        <f t="shared" si="12"/>
        <v>-0.15406698564593302</v>
      </c>
      <c r="D25" s="19">
        <f t="shared" si="12"/>
        <v>1.8181818181818181E-2</v>
      </c>
      <c r="E25" s="19">
        <f t="shared" si="12"/>
        <v>5.0980392156862744E-2</v>
      </c>
      <c r="F25" s="19">
        <f t="shared" si="12"/>
        <v>-1</v>
      </c>
      <c r="G25" s="19">
        <f t="shared" si="12"/>
        <v>-1</v>
      </c>
      <c r="H25" s="28">
        <f t="shared" si="12"/>
        <v>-1</v>
      </c>
      <c r="I25" s="28">
        <f t="shared" si="12"/>
        <v>-1</v>
      </c>
      <c r="J25" s="28">
        <f t="shared" si="12"/>
        <v>-1</v>
      </c>
      <c r="K25" s="28">
        <f t="shared" si="12"/>
        <v>-1</v>
      </c>
      <c r="L25" s="19">
        <f t="shared" si="12"/>
        <v>-1</v>
      </c>
      <c r="M25" s="29">
        <f t="shared" si="12"/>
        <v>-1</v>
      </c>
    </row>
    <row r="26" spans="1:13" s="16" customFormat="1" thickBot="1">
      <c r="B26" s="21"/>
      <c r="C26" s="21"/>
      <c r="D26" s="21"/>
      <c r="E26" s="21"/>
      <c r="F26" s="21"/>
      <c r="G26" s="21"/>
      <c r="H26" s="22"/>
      <c r="I26" s="22"/>
      <c r="J26" s="22"/>
      <c r="K26" s="22"/>
      <c r="L26" s="21"/>
      <c r="M26" s="21"/>
    </row>
    <row r="27" spans="1:13" s="16" customFormat="1" ht="13.8">
      <c r="A27" s="14" t="s">
        <v>28</v>
      </c>
      <c r="B27" s="15" t="s">
        <v>4</v>
      </c>
      <c r="C27" s="15" t="s">
        <v>5</v>
      </c>
      <c r="D27" s="15" t="s">
        <v>6</v>
      </c>
      <c r="E27" s="15" t="s">
        <v>7</v>
      </c>
      <c r="F27" s="15" t="s">
        <v>8</v>
      </c>
      <c r="G27" s="15" t="s">
        <v>9</v>
      </c>
      <c r="H27" s="15" t="s">
        <v>10</v>
      </c>
      <c r="I27" s="15" t="s">
        <v>11</v>
      </c>
      <c r="J27" s="15" t="s">
        <v>12</v>
      </c>
      <c r="K27" s="15" t="s">
        <v>13</v>
      </c>
      <c r="L27" s="15" t="s">
        <v>14</v>
      </c>
      <c r="M27" s="23" t="s">
        <v>15</v>
      </c>
    </row>
    <row r="28" spans="1:13" s="16" customFormat="1" ht="13.8">
      <c r="A28" s="17" t="s">
        <v>19</v>
      </c>
      <c r="B28" s="30">
        <f>SUM(Majorna!B18)</f>
        <v>894</v>
      </c>
      <c r="C28" s="30">
        <f>SUM(Majorna!C18)</f>
        <v>962</v>
      </c>
      <c r="D28" s="30">
        <f>SUM(Majorna!D18)</f>
        <v>1003</v>
      </c>
      <c r="E28" s="30">
        <f>SUM(Majorna!E18)</f>
        <v>836</v>
      </c>
      <c r="F28" s="30">
        <f>SUM(Majorna!F18)</f>
        <v>0</v>
      </c>
      <c r="G28" s="30">
        <f>SUM(Majorna!G18)</f>
        <v>0</v>
      </c>
      <c r="H28" s="30">
        <f>SUM(Majorna!H18)</f>
        <v>0</v>
      </c>
      <c r="I28" s="30">
        <f>SUM(Majorna!I18)</f>
        <v>0</v>
      </c>
      <c r="J28" s="30">
        <f>SUM(Majorna!J18)</f>
        <v>0</v>
      </c>
      <c r="K28" s="30">
        <f>SUM(Majorna!K18)</f>
        <v>0</v>
      </c>
      <c r="L28" s="30">
        <f>SUM(Majorna!L18)</f>
        <v>0</v>
      </c>
      <c r="M28" s="31">
        <f>SUM(Majorna!M18)</f>
        <v>0</v>
      </c>
    </row>
    <row r="29" spans="1:13" s="16" customFormat="1" ht="13.8">
      <c r="A29" s="17" t="s">
        <v>20</v>
      </c>
      <c r="B29" s="30">
        <f>SUM(Majorna!B39)</f>
        <v>987</v>
      </c>
      <c r="C29" s="30">
        <f>SUM(Majorna!C39)</f>
        <v>1132</v>
      </c>
      <c r="D29" s="30">
        <f>SUM(Majorna!D39)</f>
        <v>1197</v>
      </c>
      <c r="E29" s="30">
        <f>SUM(Majorna!E39)</f>
        <v>1232</v>
      </c>
      <c r="F29" s="30">
        <f>SUM(Majorna!F39)</f>
        <v>1242</v>
      </c>
      <c r="G29" s="30">
        <f>SUM(Majorna!G39)</f>
        <v>1020</v>
      </c>
      <c r="H29" s="30">
        <f>SUM(Majorna!H39)</f>
        <v>560</v>
      </c>
      <c r="I29" s="30">
        <f>SUM(Majorna!I39)</f>
        <v>660</v>
      </c>
      <c r="J29" s="30">
        <f>SUM(Majorna!J39)</f>
        <v>1252</v>
      </c>
      <c r="K29" s="30">
        <f>SUM(Majorna!K39)</f>
        <v>1252</v>
      </c>
      <c r="L29" s="30">
        <f>SUM(Majorna!L39)</f>
        <v>1252</v>
      </c>
      <c r="M29" s="30">
        <f>SUM(Majorna!M39)</f>
        <v>1050</v>
      </c>
    </row>
    <row r="30" spans="1:13" s="16" customFormat="1" ht="13.8">
      <c r="A30" s="24" t="s">
        <v>21</v>
      </c>
      <c r="B30" s="25">
        <f>B28-B29</f>
        <v>-93</v>
      </c>
      <c r="C30" s="25">
        <f t="shared" ref="C30:M30" si="13">C28-C29</f>
        <v>-170</v>
      </c>
      <c r="D30" s="25">
        <f t="shared" si="13"/>
        <v>-194</v>
      </c>
      <c r="E30" s="25">
        <f t="shared" si="13"/>
        <v>-396</v>
      </c>
      <c r="F30" s="25">
        <f t="shared" si="13"/>
        <v>-1242</v>
      </c>
      <c r="G30" s="25">
        <f t="shared" si="13"/>
        <v>-1020</v>
      </c>
      <c r="H30" s="25">
        <f t="shared" si="13"/>
        <v>-560</v>
      </c>
      <c r="I30" s="26">
        <f t="shared" si="13"/>
        <v>-660</v>
      </c>
      <c r="J30" s="26">
        <f t="shared" si="13"/>
        <v>-1252</v>
      </c>
      <c r="K30" s="25">
        <f t="shared" si="13"/>
        <v>-1252</v>
      </c>
      <c r="L30" s="25">
        <f t="shared" si="13"/>
        <v>-1252</v>
      </c>
      <c r="M30" s="27">
        <f t="shared" si="13"/>
        <v>-1050</v>
      </c>
    </row>
    <row r="31" spans="1:13" s="16" customFormat="1" thickBot="1">
      <c r="A31" s="18" t="s">
        <v>22</v>
      </c>
      <c r="B31" s="19">
        <f t="shared" ref="B31:M31" si="14">SUM(B30/B29)</f>
        <v>-9.4224924012158054E-2</v>
      </c>
      <c r="C31" s="19">
        <f t="shared" si="14"/>
        <v>-0.15017667844522969</v>
      </c>
      <c r="D31" s="19">
        <f t="shared" si="14"/>
        <v>-0.16207184628237259</v>
      </c>
      <c r="E31" s="19">
        <f t="shared" si="14"/>
        <v>-0.32142857142857145</v>
      </c>
      <c r="F31" s="19">
        <f t="shared" si="14"/>
        <v>-1</v>
      </c>
      <c r="G31" s="19">
        <f t="shared" si="14"/>
        <v>-1</v>
      </c>
      <c r="H31" s="28">
        <f t="shared" si="14"/>
        <v>-1</v>
      </c>
      <c r="I31" s="28">
        <f t="shared" si="14"/>
        <v>-1</v>
      </c>
      <c r="J31" s="28">
        <f t="shared" si="14"/>
        <v>-1</v>
      </c>
      <c r="K31" s="28">
        <f t="shared" si="14"/>
        <v>-1</v>
      </c>
      <c r="L31" s="19">
        <f t="shared" si="14"/>
        <v>-1</v>
      </c>
      <c r="M31" s="29">
        <f t="shared" si="14"/>
        <v>-1</v>
      </c>
    </row>
    <row r="32" spans="1:13" s="16" customFormat="1" thickBot="1">
      <c r="B32" s="21"/>
      <c r="C32" s="21"/>
      <c r="D32" s="21"/>
      <c r="E32" s="21"/>
      <c r="F32" s="21"/>
      <c r="G32" s="21"/>
      <c r="H32" s="22"/>
      <c r="I32" s="22"/>
      <c r="J32" s="22"/>
      <c r="K32" s="22"/>
      <c r="L32" s="21"/>
      <c r="M32" s="21"/>
    </row>
    <row r="33" spans="1:13" s="16" customFormat="1" ht="13.8">
      <c r="A33" s="14" t="s">
        <v>29</v>
      </c>
      <c r="B33" s="15" t="s">
        <v>4</v>
      </c>
      <c r="C33" s="15" t="s">
        <v>5</v>
      </c>
      <c r="D33" s="15" t="s">
        <v>6</v>
      </c>
      <c r="E33" s="15" t="s">
        <v>7</v>
      </c>
      <c r="F33" s="15" t="s">
        <v>8</v>
      </c>
      <c r="G33" s="15" t="s">
        <v>9</v>
      </c>
      <c r="H33" s="15" t="s">
        <v>10</v>
      </c>
      <c r="I33" s="15" t="s">
        <v>11</v>
      </c>
      <c r="J33" s="15" t="s">
        <v>12</v>
      </c>
      <c r="K33" s="15" t="s">
        <v>13</v>
      </c>
      <c r="L33" s="15" t="s">
        <v>14</v>
      </c>
      <c r="M33" s="23" t="s">
        <v>15</v>
      </c>
    </row>
    <row r="34" spans="1:13" s="16" customFormat="1" ht="13.8">
      <c r="A34" s="17" t="s">
        <v>19</v>
      </c>
      <c r="B34" s="30">
        <f>'Pedagogen Park'!B18</f>
        <v>478</v>
      </c>
      <c r="C34" s="30">
        <f>'Pedagogen Park'!C18</f>
        <v>532</v>
      </c>
      <c r="D34" s="30">
        <f>'Pedagogen Park'!D18</f>
        <v>789</v>
      </c>
      <c r="E34" s="30">
        <f>'Pedagogen Park'!E18</f>
        <v>680</v>
      </c>
      <c r="F34" s="30">
        <f>'Pedagogen Park'!F18</f>
        <v>0</v>
      </c>
      <c r="G34" s="30">
        <f>'Pedagogen Park'!G18</f>
        <v>0</v>
      </c>
      <c r="H34" s="30">
        <f>'Pedagogen Park'!H18</f>
        <v>0</v>
      </c>
      <c r="I34" s="30">
        <f>'Pedagogen Park'!I18</f>
        <v>0</v>
      </c>
      <c r="J34" s="30">
        <f>'Pedagogen Park'!J18</f>
        <v>0</v>
      </c>
      <c r="K34" s="30">
        <f>'Pedagogen Park'!K18</f>
        <v>0</v>
      </c>
      <c r="L34" s="30">
        <f>'Pedagogen Park'!L18</f>
        <v>0</v>
      </c>
      <c r="M34" s="30">
        <f>'Pedagogen Park'!M18</f>
        <v>0</v>
      </c>
    </row>
    <row r="35" spans="1:13" s="16" customFormat="1" ht="13.8">
      <c r="A35" s="17" t="s">
        <v>20</v>
      </c>
      <c r="B35" s="30">
        <f>'Pedagogen Park'!B39</f>
        <v>600</v>
      </c>
      <c r="C35" s="30">
        <f>'Pedagogen Park'!C39</f>
        <v>660</v>
      </c>
      <c r="D35" s="30">
        <f>'Pedagogen Park'!D39</f>
        <v>730</v>
      </c>
      <c r="E35" s="30">
        <f>'Pedagogen Park'!E39</f>
        <v>735</v>
      </c>
      <c r="F35" s="30">
        <f>'Pedagogen Park'!F39</f>
        <v>760</v>
      </c>
      <c r="G35" s="30">
        <f>'Pedagogen Park'!G39</f>
        <v>800</v>
      </c>
      <c r="H35" s="30">
        <f>'Pedagogen Park'!H39</f>
        <v>600</v>
      </c>
      <c r="I35" s="30">
        <f>'Pedagogen Park'!I39</f>
        <v>660</v>
      </c>
      <c r="J35" s="30">
        <f>'Pedagogen Park'!J39</f>
        <v>760</v>
      </c>
      <c r="K35" s="30">
        <f>'Pedagogen Park'!K39</f>
        <v>800</v>
      </c>
      <c r="L35" s="30">
        <f>'Pedagogen Park'!L39</f>
        <v>800</v>
      </c>
      <c r="M35" s="30">
        <f>'Pedagogen Park'!M39</f>
        <v>675</v>
      </c>
    </row>
    <row r="36" spans="1:13" s="16" customFormat="1" ht="13.8">
      <c r="A36" s="24" t="s">
        <v>21</v>
      </c>
      <c r="B36" s="25">
        <f>B34-B35</f>
        <v>-122</v>
      </c>
      <c r="C36" s="25">
        <f t="shared" ref="C36:M36" si="15">C34-C35</f>
        <v>-128</v>
      </c>
      <c r="D36" s="25">
        <f t="shared" si="15"/>
        <v>59</v>
      </c>
      <c r="E36" s="25">
        <f t="shared" si="15"/>
        <v>-55</v>
      </c>
      <c r="F36" s="25">
        <f t="shared" si="15"/>
        <v>-760</v>
      </c>
      <c r="G36" s="25">
        <f t="shared" si="15"/>
        <v>-800</v>
      </c>
      <c r="H36" s="25">
        <f t="shared" si="15"/>
        <v>-600</v>
      </c>
      <c r="I36" s="26">
        <f t="shared" si="15"/>
        <v>-660</v>
      </c>
      <c r="J36" s="26">
        <f t="shared" si="15"/>
        <v>-760</v>
      </c>
      <c r="K36" s="25">
        <f t="shared" si="15"/>
        <v>-800</v>
      </c>
      <c r="L36" s="25">
        <f t="shared" si="15"/>
        <v>-800</v>
      </c>
      <c r="M36" s="27">
        <f t="shared" si="15"/>
        <v>-675</v>
      </c>
    </row>
    <row r="37" spans="1:13" s="16" customFormat="1" thickBot="1">
      <c r="A37" s="18" t="s">
        <v>22</v>
      </c>
      <c r="B37" s="19">
        <f t="shared" ref="B37:M37" si="16">SUM(B36/B35)</f>
        <v>-0.20333333333333334</v>
      </c>
      <c r="C37" s="19">
        <f t="shared" si="16"/>
        <v>-0.19393939393939394</v>
      </c>
      <c r="D37" s="19">
        <f t="shared" si="16"/>
        <v>8.0821917808219179E-2</v>
      </c>
      <c r="E37" s="19">
        <f t="shared" si="16"/>
        <v>-7.4829931972789115E-2</v>
      </c>
      <c r="F37" s="19">
        <f t="shared" si="16"/>
        <v>-1</v>
      </c>
      <c r="G37" s="19">
        <f t="shared" si="16"/>
        <v>-1</v>
      </c>
      <c r="H37" s="28">
        <f t="shared" si="16"/>
        <v>-1</v>
      </c>
      <c r="I37" s="28">
        <f t="shared" si="16"/>
        <v>-1</v>
      </c>
      <c r="J37" s="28">
        <f t="shared" si="16"/>
        <v>-1</v>
      </c>
      <c r="K37" s="28">
        <f t="shared" si="16"/>
        <v>-1</v>
      </c>
      <c r="L37" s="19">
        <f t="shared" si="16"/>
        <v>-1</v>
      </c>
      <c r="M37" s="29">
        <f t="shared" si="16"/>
        <v>-1</v>
      </c>
    </row>
    <row r="38" spans="1:13" s="16" customFormat="1" thickBot="1"/>
    <row r="39" spans="1:13" s="16" customFormat="1" ht="13.8">
      <c r="A39" s="14" t="s">
        <v>30</v>
      </c>
      <c r="B39" s="15" t="s">
        <v>4</v>
      </c>
      <c r="C39" s="15" t="s">
        <v>5</v>
      </c>
      <c r="D39" s="15" t="s">
        <v>6</v>
      </c>
      <c r="E39" s="15" t="s">
        <v>7</v>
      </c>
      <c r="F39" s="15" t="s">
        <v>8</v>
      </c>
      <c r="G39" s="15" t="s">
        <v>9</v>
      </c>
      <c r="H39" s="15" t="s">
        <v>10</v>
      </c>
      <c r="I39" s="15" t="s">
        <v>11</v>
      </c>
      <c r="J39" s="15" t="s">
        <v>12</v>
      </c>
      <c r="K39" s="15" t="s">
        <v>13</v>
      </c>
      <c r="L39" s="15" t="s">
        <v>14</v>
      </c>
      <c r="M39" s="23" t="s">
        <v>15</v>
      </c>
    </row>
    <row r="40" spans="1:13" s="16" customFormat="1" ht="13.8">
      <c r="A40" s="17" t="s">
        <v>19</v>
      </c>
      <c r="B40" s="30">
        <f>SUM(Åby!B18)</f>
        <v>926</v>
      </c>
      <c r="C40" s="30">
        <f>SUM(Åby!C18)</f>
        <v>1054</v>
      </c>
      <c r="D40" s="30">
        <f>SUM(Åby!D18)</f>
        <v>1103</v>
      </c>
      <c r="E40" s="30">
        <f>SUM(Åby!E18)</f>
        <v>941</v>
      </c>
      <c r="F40" s="30">
        <f>SUM(Åby!F18)</f>
        <v>0</v>
      </c>
      <c r="G40" s="30">
        <f>SUM(Åby!G18)</f>
        <v>0</v>
      </c>
      <c r="H40" s="30">
        <f>SUM(Åby!H18)</f>
        <v>0</v>
      </c>
      <c r="I40" s="30">
        <f>SUM(Åby!I18)</f>
        <v>0</v>
      </c>
      <c r="J40" s="30">
        <f>SUM(Åby!J18)</f>
        <v>0</v>
      </c>
      <c r="K40" s="30">
        <f>SUM(Åby!K18)</f>
        <v>0</v>
      </c>
      <c r="L40" s="30">
        <f>SUM(Åby!L18)</f>
        <v>0</v>
      </c>
      <c r="M40" s="31">
        <f>SUM(Åby!M18)</f>
        <v>0</v>
      </c>
    </row>
    <row r="41" spans="1:13" s="16" customFormat="1" ht="13.8">
      <c r="A41" s="17" t="s">
        <v>20</v>
      </c>
      <c r="B41" s="30">
        <f>SUM(Åby!B39)</f>
        <v>890</v>
      </c>
      <c r="C41" s="30">
        <f>SUM(Åby!C39)</f>
        <v>1105</v>
      </c>
      <c r="D41" s="30">
        <f>SUM(Åby!D39)</f>
        <v>1295</v>
      </c>
      <c r="E41" s="30">
        <f>SUM(Åby!E39)</f>
        <v>1050</v>
      </c>
      <c r="F41" s="30">
        <f>SUM(Åby!F39)</f>
        <v>1180</v>
      </c>
      <c r="G41" s="30">
        <f>SUM(Åby!G39)</f>
        <v>890</v>
      </c>
      <c r="H41" s="30">
        <f>SUM(Åby!H39)</f>
        <v>240</v>
      </c>
      <c r="I41" s="30">
        <f>SUM(Åby!I39)</f>
        <v>1040</v>
      </c>
      <c r="J41" s="30">
        <f>SUM(Åby!J39)</f>
        <v>1285</v>
      </c>
      <c r="K41" s="30">
        <f>SUM(Åby!K39)</f>
        <v>1283</v>
      </c>
      <c r="L41" s="30">
        <f>SUM(Åby!L39)</f>
        <v>1188</v>
      </c>
      <c r="M41" s="31">
        <f>SUM(Åby!M39)</f>
        <v>1040</v>
      </c>
    </row>
    <row r="42" spans="1:13" s="16" customFormat="1" ht="13.8">
      <c r="A42" s="24" t="s">
        <v>21</v>
      </c>
      <c r="B42" s="25">
        <f>B40-B41</f>
        <v>36</v>
      </c>
      <c r="C42" s="25">
        <f t="shared" ref="C42:M42" si="17">C40-C41</f>
        <v>-51</v>
      </c>
      <c r="D42" s="25">
        <f t="shared" si="17"/>
        <v>-192</v>
      </c>
      <c r="E42" s="25">
        <f t="shared" si="17"/>
        <v>-109</v>
      </c>
      <c r="F42" s="25">
        <f t="shared" si="17"/>
        <v>-1180</v>
      </c>
      <c r="G42" s="25">
        <f t="shared" si="17"/>
        <v>-890</v>
      </c>
      <c r="H42" s="25">
        <f t="shared" si="17"/>
        <v>-240</v>
      </c>
      <c r="I42" s="26">
        <f t="shared" si="17"/>
        <v>-1040</v>
      </c>
      <c r="J42" s="26">
        <f t="shared" si="17"/>
        <v>-1285</v>
      </c>
      <c r="K42" s="25">
        <f t="shared" si="17"/>
        <v>-1283</v>
      </c>
      <c r="L42" s="25">
        <f t="shared" si="17"/>
        <v>-1188</v>
      </c>
      <c r="M42" s="27">
        <f t="shared" si="17"/>
        <v>-1040</v>
      </c>
    </row>
    <row r="43" spans="1:13" s="16" customFormat="1" thickBot="1">
      <c r="A43" s="18" t="s">
        <v>22</v>
      </c>
      <c r="B43" s="19">
        <f t="shared" ref="B43:M43" si="18">SUM(B42/B41)</f>
        <v>4.0449438202247189E-2</v>
      </c>
      <c r="C43" s="19">
        <f t="shared" si="18"/>
        <v>-4.6153846153846156E-2</v>
      </c>
      <c r="D43" s="19">
        <f t="shared" si="18"/>
        <v>-0.14826254826254825</v>
      </c>
      <c r="E43" s="19">
        <f t="shared" si="18"/>
        <v>-0.10380952380952381</v>
      </c>
      <c r="F43" s="19">
        <f t="shared" si="18"/>
        <v>-1</v>
      </c>
      <c r="G43" s="19">
        <f t="shared" si="18"/>
        <v>-1</v>
      </c>
      <c r="H43" s="28">
        <f t="shared" si="18"/>
        <v>-1</v>
      </c>
      <c r="I43" s="28">
        <f t="shared" si="18"/>
        <v>-1</v>
      </c>
      <c r="J43" s="28">
        <f t="shared" si="18"/>
        <v>-1</v>
      </c>
      <c r="K43" s="28">
        <f t="shared" si="18"/>
        <v>-1</v>
      </c>
      <c r="L43" s="19">
        <f t="shared" si="18"/>
        <v>-1</v>
      </c>
      <c r="M43" s="29">
        <f t="shared" si="18"/>
        <v>-1</v>
      </c>
    </row>
    <row r="44" spans="1:13" s="16" customFormat="1" thickBot="1"/>
    <row r="45" spans="1:13" s="16" customFormat="1" ht="13.8">
      <c r="A45" s="14" t="s">
        <v>31</v>
      </c>
      <c r="B45" s="15" t="s">
        <v>4</v>
      </c>
      <c r="C45" s="15" t="s">
        <v>5</v>
      </c>
      <c r="D45" s="15" t="s">
        <v>6</v>
      </c>
      <c r="E45" s="15" t="s">
        <v>7</v>
      </c>
      <c r="F45" s="15" t="s">
        <v>8</v>
      </c>
      <c r="G45" s="15" t="s">
        <v>9</v>
      </c>
      <c r="H45" s="15" t="s">
        <v>10</v>
      </c>
      <c r="I45" s="15" t="s">
        <v>11</v>
      </c>
      <c r="J45" s="15" t="s">
        <v>12</v>
      </c>
      <c r="K45" s="15" t="s">
        <v>13</v>
      </c>
      <c r="L45" s="15" t="s">
        <v>14</v>
      </c>
      <c r="M45" s="23" t="s">
        <v>15</v>
      </c>
    </row>
    <row r="46" spans="1:13" s="16" customFormat="1" ht="13.8">
      <c r="A46" s="17" t="s">
        <v>19</v>
      </c>
      <c r="B46" s="30">
        <f>SUM(Olskroken!B18)</f>
        <v>554</v>
      </c>
      <c r="C46" s="30">
        <f>SUM(Olskroken!C18)</f>
        <v>488</v>
      </c>
      <c r="D46" s="30">
        <f>SUM(Olskroken!D18)</f>
        <v>628</v>
      </c>
      <c r="E46" s="30">
        <f>SUM(Olskroken!E18)</f>
        <v>754</v>
      </c>
      <c r="F46" s="30">
        <f>SUM(Olskroken!F18)</f>
        <v>0</v>
      </c>
      <c r="G46" s="30">
        <f>SUM(Olskroken!G18)</f>
        <v>0</v>
      </c>
      <c r="H46" s="30">
        <f>SUM(Olskroken!H18)</f>
        <v>0</v>
      </c>
      <c r="I46" s="30">
        <f>SUM(Olskroken!I18)</f>
        <v>0</v>
      </c>
      <c r="J46" s="30">
        <f>SUM(Olskroken!J18)</f>
        <v>0</v>
      </c>
      <c r="K46" s="30">
        <f>SUM(Olskroken!K18)</f>
        <v>0</v>
      </c>
      <c r="L46" s="30">
        <f>SUM(Olskroken!L18)</f>
        <v>0</v>
      </c>
      <c r="M46" s="31">
        <f>SUM(Olskroken!M18)</f>
        <v>0</v>
      </c>
    </row>
    <row r="47" spans="1:13" s="16" customFormat="1" ht="13.8">
      <c r="A47" s="17" t="s">
        <v>20</v>
      </c>
      <c r="B47" s="30">
        <f>SUM(Olskroken!B39)</f>
        <v>625</v>
      </c>
      <c r="C47" s="30">
        <f>SUM(Olskroken!C39)</f>
        <v>710</v>
      </c>
      <c r="D47" s="30">
        <f>SUM(Olskroken!D39)</f>
        <v>795</v>
      </c>
      <c r="E47" s="30">
        <f>SUM(Olskroken!E39)</f>
        <v>805</v>
      </c>
      <c r="F47" s="30">
        <f>SUM(Olskroken!F39)</f>
        <v>875</v>
      </c>
      <c r="G47" s="30">
        <f>SUM(Olskroken!G39)</f>
        <v>845</v>
      </c>
      <c r="H47" s="30">
        <f>SUM(Olskroken!H39)</f>
        <v>380</v>
      </c>
      <c r="I47" s="30">
        <f>SUM(Olskroken!I39)</f>
        <v>545</v>
      </c>
      <c r="J47" s="30">
        <f>SUM(Olskroken!J39)</f>
        <v>800</v>
      </c>
      <c r="K47" s="30">
        <f>SUM(Olskroken!K39)</f>
        <v>860</v>
      </c>
      <c r="L47" s="30">
        <f>SUM(Olskroken!L39)</f>
        <v>860</v>
      </c>
      <c r="M47" s="31">
        <f>SUM(Olskroken!M39)</f>
        <v>660</v>
      </c>
    </row>
    <row r="48" spans="1:13" s="16" customFormat="1" ht="13.8">
      <c r="A48" s="24" t="s">
        <v>21</v>
      </c>
      <c r="B48" s="25">
        <f>B46-B47</f>
        <v>-71</v>
      </c>
      <c r="C48" s="25">
        <f t="shared" ref="C48:M48" si="19">C46-C47</f>
        <v>-222</v>
      </c>
      <c r="D48" s="25">
        <f t="shared" si="19"/>
        <v>-167</v>
      </c>
      <c r="E48" s="25">
        <f t="shared" si="19"/>
        <v>-51</v>
      </c>
      <c r="F48" s="25">
        <f t="shared" si="19"/>
        <v>-875</v>
      </c>
      <c r="G48" s="25">
        <f t="shared" si="19"/>
        <v>-845</v>
      </c>
      <c r="H48" s="25">
        <f t="shared" si="19"/>
        <v>-380</v>
      </c>
      <c r="I48" s="26">
        <f t="shared" si="19"/>
        <v>-545</v>
      </c>
      <c r="J48" s="26">
        <f t="shared" si="19"/>
        <v>-800</v>
      </c>
      <c r="K48" s="25">
        <f t="shared" si="19"/>
        <v>-860</v>
      </c>
      <c r="L48" s="25">
        <f t="shared" si="19"/>
        <v>-860</v>
      </c>
      <c r="M48" s="27">
        <f t="shared" si="19"/>
        <v>-660</v>
      </c>
    </row>
    <row r="49" spans="1:13" s="16" customFormat="1" thickBot="1">
      <c r="A49" s="18" t="s">
        <v>22</v>
      </c>
      <c r="B49" s="19">
        <f>SUM(B48/B47)</f>
        <v>-0.11360000000000001</v>
      </c>
      <c r="C49" s="19">
        <f t="shared" ref="C49:M49" si="20">SUM(C48/C47)</f>
        <v>-0.3126760563380282</v>
      </c>
      <c r="D49" s="19">
        <f t="shared" si="20"/>
        <v>-0.21006289308176102</v>
      </c>
      <c r="E49" s="19">
        <f t="shared" si="20"/>
        <v>-6.3354037267080748E-2</v>
      </c>
      <c r="F49" s="19">
        <f t="shared" si="20"/>
        <v>-1</v>
      </c>
      <c r="G49" s="19">
        <f t="shared" si="20"/>
        <v>-1</v>
      </c>
      <c r="H49" s="28">
        <f t="shared" si="20"/>
        <v>-1</v>
      </c>
      <c r="I49" s="28">
        <f t="shared" si="20"/>
        <v>-1</v>
      </c>
      <c r="J49" s="28">
        <f t="shared" si="20"/>
        <v>-1</v>
      </c>
      <c r="K49" s="28">
        <f t="shared" si="20"/>
        <v>-1</v>
      </c>
      <c r="L49" s="19">
        <f t="shared" si="20"/>
        <v>-1</v>
      </c>
      <c r="M49" s="29">
        <f t="shared" si="20"/>
        <v>-1</v>
      </c>
    </row>
    <row r="50" spans="1:13" ht="15" thickBot="1"/>
    <row r="51" spans="1:13">
      <c r="A51" s="14" t="s">
        <v>32</v>
      </c>
      <c r="B51" s="15" t="s">
        <v>4</v>
      </c>
      <c r="C51" s="15" t="s">
        <v>5</v>
      </c>
      <c r="D51" s="15" t="s">
        <v>6</v>
      </c>
      <c r="E51" s="15" t="s">
        <v>7</v>
      </c>
      <c r="F51" s="15" t="s">
        <v>8</v>
      </c>
      <c r="G51" s="15" t="s">
        <v>9</v>
      </c>
      <c r="H51" s="15" t="s">
        <v>10</v>
      </c>
      <c r="I51" s="15" t="s">
        <v>11</v>
      </c>
      <c r="J51" s="15" t="s">
        <v>12</v>
      </c>
      <c r="K51" s="15" t="s">
        <v>13</v>
      </c>
      <c r="L51" s="15" t="s">
        <v>14</v>
      </c>
      <c r="M51" s="23" t="s">
        <v>15</v>
      </c>
    </row>
    <row r="52" spans="1:13">
      <c r="A52" s="17" t="s">
        <v>19</v>
      </c>
      <c r="B52" s="30">
        <f>Avenyn!B18</f>
        <v>886</v>
      </c>
      <c r="C52" s="30">
        <f>Avenyn!C18</f>
        <v>910</v>
      </c>
      <c r="D52" s="30">
        <f>Avenyn!D18</f>
        <v>1253</v>
      </c>
      <c r="E52" s="30">
        <f>Avenyn!E18</f>
        <v>997</v>
      </c>
      <c r="F52" s="30">
        <f>Avenyn!F18</f>
        <v>0</v>
      </c>
      <c r="G52" s="30">
        <f>Avenyn!G18</f>
        <v>0</v>
      </c>
      <c r="H52" s="30">
        <f>Avenyn!H18</f>
        <v>0</v>
      </c>
      <c r="I52" s="30">
        <f>Avenyn!I18</f>
        <v>0</v>
      </c>
      <c r="J52" s="30">
        <f>Avenyn!J18</f>
        <v>0</v>
      </c>
      <c r="K52" s="30">
        <f>Avenyn!K18</f>
        <v>0</v>
      </c>
      <c r="L52" s="30">
        <f>Avenyn!L18</f>
        <v>0</v>
      </c>
      <c r="M52" s="31">
        <f>Avenyn!M18</f>
        <v>0</v>
      </c>
    </row>
    <row r="53" spans="1:13">
      <c r="A53" s="17" t="s">
        <v>20</v>
      </c>
      <c r="B53" s="30">
        <f>Avenyn!B39</f>
        <v>1170</v>
      </c>
      <c r="C53" s="30">
        <f>Avenyn!C39</f>
        <v>1175</v>
      </c>
      <c r="D53" s="30">
        <f>Avenyn!D39</f>
        <v>1280</v>
      </c>
      <c r="E53" s="30">
        <f>Avenyn!E39</f>
        <v>1180</v>
      </c>
      <c r="F53" s="30">
        <f>Avenyn!F39</f>
        <v>1290</v>
      </c>
      <c r="G53" s="30">
        <f>Avenyn!G39</f>
        <v>1300</v>
      </c>
      <c r="H53" s="30">
        <f>Avenyn!H39</f>
        <v>660</v>
      </c>
      <c r="I53" s="30">
        <f>Avenyn!I39</f>
        <v>860</v>
      </c>
      <c r="J53" s="30">
        <f>Avenyn!J39</f>
        <v>1470</v>
      </c>
      <c r="K53" s="30">
        <f>Avenyn!K39</f>
        <v>1480</v>
      </c>
      <c r="L53" s="30">
        <f>Avenyn!L39</f>
        <v>1490</v>
      </c>
      <c r="M53" s="31">
        <f>Avenyn!M39</f>
        <v>1140</v>
      </c>
    </row>
    <row r="54" spans="1:13">
      <c r="A54" s="24" t="s">
        <v>21</v>
      </c>
      <c r="B54" s="25">
        <f>B52-B53</f>
        <v>-284</v>
      </c>
      <c r="C54" s="25">
        <f t="shared" ref="C54:M54" si="21">C52-C53</f>
        <v>-265</v>
      </c>
      <c r="D54" s="25">
        <f t="shared" si="21"/>
        <v>-27</v>
      </c>
      <c r="E54" s="25">
        <f t="shared" si="21"/>
        <v>-183</v>
      </c>
      <c r="F54" s="25">
        <f t="shared" si="21"/>
        <v>-1290</v>
      </c>
      <c r="G54" s="25">
        <f t="shared" si="21"/>
        <v>-1300</v>
      </c>
      <c r="H54" s="25">
        <f t="shared" si="21"/>
        <v>-660</v>
      </c>
      <c r="I54" s="26">
        <f t="shared" si="21"/>
        <v>-860</v>
      </c>
      <c r="J54" s="26">
        <f t="shared" si="21"/>
        <v>-1470</v>
      </c>
      <c r="K54" s="25">
        <f t="shared" si="21"/>
        <v>-1480</v>
      </c>
      <c r="L54" s="25">
        <f t="shared" si="21"/>
        <v>-1490</v>
      </c>
      <c r="M54" s="27">
        <f t="shared" si="21"/>
        <v>-1140</v>
      </c>
    </row>
    <row r="55" spans="1:13" ht="15" thickBot="1">
      <c r="A55" s="18" t="s">
        <v>22</v>
      </c>
      <c r="B55" s="19">
        <f>SUM(B54/B53)</f>
        <v>-0.24273504273504273</v>
      </c>
      <c r="C55" s="19">
        <f t="shared" ref="C55:M55" si="22">SUM(C54/C53)</f>
        <v>-0.22553191489361701</v>
      </c>
      <c r="D55" s="19">
        <f t="shared" si="22"/>
        <v>-2.1093750000000001E-2</v>
      </c>
      <c r="E55" s="19">
        <f t="shared" si="22"/>
        <v>-0.15508474576271186</v>
      </c>
      <c r="F55" s="19">
        <f t="shared" si="22"/>
        <v>-1</v>
      </c>
      <c r="G55" s="19">
        <f t="shared" si="22"/>
        <v>-1</v>
      </c>
      <c r="H55" s="28">
        <f t="shared" si="22"/>
        <v>-1</v>
      </c>
      <c r="I55" s="28">
        <f t="shared" si="22"/>
        <v>-1</v>
      </c>
      <c r="J55" s="28">
        <f t="shared" si="22"/>
        <v>-1</v>
      </c>
      <c r="K55" s="28">
        <f t="shared" si="22"/>
        <v>-1</v>
      </c>
      <c r="L55" s="19">
        <f t="shared" si="22"/>
        <v>-1</v>
      </c>
      <c r="M55" s="29">
        <f t="shared" si="22"/>
        <v>-1</v>
      </c>
    </row>
    <row r="56" spans="1:13" ht="15" thickBot="1"/>
    <row r="57" spans="1:13">
      <c r="A57" s="14" t="s">
        <v>33</v>
      </c>
      <c r="B57" s="15" t="s">
        <v>4</v>
      </c>
      <c r="C57" s="15" t="s">
        <v>5</v>
      </c>
      <c r="D57" s="15" t="s">
        <v>6</v>
      </c>
      <c r="E57" s="15" t="s">
        <v>7</v>
      </c>
      <c r="F57" s="15" t="s">
        <v>8</v>
      </c>
      <c r="G57" s="15" t="s">
        <v>9</v>
      </c>
      <c r="H57" s="15" t="s">
        <v>10</v>
      </c>
      <c r="I57" s="15" t="s">
        <v>11</v>
      </c>
      <c r="J57" s="15" t="s">
        <v>12</v>
      </c>
      <c r="K57" s="15" t="s">
        <v>13</v>
      </c>
      <c r="L57" s="15" t="s">
        <v>14</v>
      </c>
      <c r="M57" s="23" t="s">
        <v>15</v>
      </c>
    </row>
    <row r="58" spans="1:13">
      <c r="A58" s="17" t="s">
        <v>19</v>
      </c>
      <c r="B58" s="30">
        <f>Karlastaden!B18</f>
        <v>226</v>
      </c>
      <c r="C58" s="30">
        <f>Karlastaden!C18</f>
        <v>244</v>
      </c>
      <c r="D58" s="30">
        <f>Karlastaden!D18</f>
        <v>312</v>
      </c>
      <c r="E58" s="30">
        <f>Karlastaden!E18</f>
        <v>325</v>
      </c>
      <c r="F58" s="30">
        <f>Karlastaden!F18</f>
        <v>0</v>
      </c>
      <c r="G58" s="30">
        <f>Karlastaden!G18</f>
        <v>0</v>
      </c>
      <c r="H58" s="30">
        <f>Karlastaden!H18</f>
        <v>0</v>
      </c>
      <c r="I58" s="30">
        <f>Karlastaden!I18</f>
        <v>0</v>
      </c>
      <c r="J58" s="30">
        <f>Karlastaden!J18</f>
        <v>0</v>
      </c>
      <c r="K58" s="30">
        <f>Karlastaden!K18</f>
        <v>0</v>
      </c>
      <c r="L58" s="30">
        <f>Karlastaden!L18</f>
        <v>0</v>
      </c>
      <c r="M58" s="31">
        <f>Karlastaden!M18</f>
        <v>0</v>
      </c>
    </row>
    <row r="59" spans="1:13">
      <c r="A59" s="17" t="s">
        <v>20</v>
      </c>
      <c r="B59" s="30">
        <f>Karlastaden!B39</f>
        <v>452</v>
      </c>
      <c r="C59" s="30">
        <f>Karlastaden!C39</f>
        <v>482</v>
      </c>
      <c r="D59" s="30">
        <f>Karlastaden!D39</f>
        <v>526</v>
      </c>
      <c r="E59" s="30">
        <f>Karlastaden!E39</f>
        <v>520</v>
      </c>
      <c r="F59" s="30">
        <f>Karlastaden!F39</f>
        <v>520</v>
      </c>
      <c r="G59" s="30">
        <f>Karlastaden!G39</f>
        <v>480</v>
      </c>
      <c r="H59" s="30">
        <f>Karlastaden!H39</f>
        <v>225</v>
      </c>
      <c r="I59" s="30">
        <f>Karlastaden!I39</f>
        <v>265</v>
      </c>
      <c r="J59" s="30">
        <f>Karlastaden!J39</f>
        <v>540</v>
      </c>
      <c r="K59" s="30">
        <f>Karlastaden!K39</f>
        <v>556</v>
      </c>
      <c r="L59" s="30">
        <f>Karlastaden!L39</f>
        <v>556</v>
      </c>
      <c r="M59" s="31">
        <f>Karlastaden!M39</f>
        <v>440</v>
      </c>
    </row>
    <row r="60" spans="1:13">
      <c r="A60" s="24" t="s">
        <v>21</v>
      </c>
      <c r="B60" s="25">
        <f>B58-B59</f>
        <v>-226</v>
      </c>
      <c r="C60" s="25">
        <f t="shared" ref="C60:M60" si="23">C58-C59</f>
        <v>-238</v>
      </c>
      <c r="D60" s="25">
        <f t="shared" si="23"/>
        <v>-214</v>
      </c>
      <c r="E60" s="25">
        <f t="shared" si="23"/>
        <v>-195</v>
      </c>
      <c r="F60" s="25">
        <f t="shared" si="23"/>
        <v>-520</v>
      </c>
      <c r="G60" s="25">
        <f t="shared" si="23"/>
        <v>-480</v>
      </c>
      <c r="H60" s="25">
        <f t="shared" si="23"/>
        <v>-225</v>
      </c>
      <c r="I60" s="26">
        <f t="shared" si="23"/>
        <v>-265</v>
      </c>
      <c r="J60" s="26">
        <f t="shared" si="23"/>
        <v>-540</v>
      </c>
      <c r="K60" s="25">
        <f t="shared" si="23"/>
        <v>-556</v>
      </c>
      <c r="L60" s="25">
        <f t="shared" si="23"/>
        <v>-556</v>
      </c>
      <c r="M60" s="27">
        <f t="shared" si="23"/>
        <v>-440</v>
      </c>
    </row>
    <row r="61" spans="1:13" ht="15" thickBot="1">
      <c r="A61" s="18" t="s">
        <v>22</v>
      </c>
      <c r="B61" s="19">
        <f>SUM(B60/B59)</f>
        <v>-0.5</v>
      </c>
      <c r="C61" s="19">
        <f t="shared" ref="C61:M61" si="24">SUM(C60/C59)</f>
        <v>-0.49377593360995853</v>
      </c>
      <c r="D61" s="19">
        <f t="shared" si="24"/>
        <v>-0.40684410646387831</v>
      </c>
      <c r="E61" s="19">
        <f t="shared" si="24"/>
        <v>-0.375</v>
      </c>
      <c r="F61" s="19">
        <f t="shared" si="24"/>
        <v>-1</v>
      </c>
      <c r="G61" s="19">
        <f t="shared" si="24"/>
        <v>-1</v>
      </c>
      <c r="H61" s="28">
        <f t="shared" si="24"/>
        <v>-1</v>
      </c>
      <c r="I61" s="28">
        <f t="shared" si="24"/>
        <v>-1</v>
      </c>
      <c r="J61" s="28">
        <f t="shared" si="24"/>
        <v>-1</v>
      </c>
      <c r="K61" s="28">
        <f t="shared" si="24"/>
        <v>-1</v>
      </c>
      <c r="L61" s="19">
        <f t="shared" si="24"/>
        <v>-1</v>
      </c>
      <c r="M61" s="29">
        <f t="shared" si="24"/>
        <v>-1</v>
      </c>
    </row>
    <row r="62" spans="1:13" ht="15" thickBot="1"/>
    <row r="63" spans="1:13" s="16" customFormat="1" ht="13.8">
      <c r="A63" s="14" t="s">
        <v>141</v>
      </c>
      <c r="B63" s="15" t="s">
        <v>4</v>
      </c>
      <c r="C63" s="15" t="s">
        <v>5</v>
      </c>
      <c r="D63" s="15" t="s">
        <v>6</v>
      </c>
      <c r="E63" s="15" t="s">
        <v>7</v>
      </c>
      <c r="F63" s="15" t="s">
        <v>8</v>
      </c>
      <c r="G63" s="15" t="s">
        <v>9</v>
      </c>
      <c r="H63" s="15" t="s">
        <v>10</v>
      </c>
      <c r="I63" s="15" t="s">
        <v>11</v>
      </c>
      <c r="J63" s="15" t="s">
        <v>12</v>
      </c>
      <c r="K63" s="15" t="s">
        <v>13</v>
      </c>
      <c r="L63" s="15" t="s">
        <v>14</v>
      </c>
      <c r="M63" s="23" t="s">
        <v>15</v>
      </c>
    </row>
    <row r="64" spans="1:13" s="16" customFormat="1" ht="13.8">
      <c r="A64" s="17" t="s">
        <v>19</v>
      </c>
      <c r="B64" s="30">
        <f>'Tanum och Fjällbacka'!B18</f>
        <v>1084</v>
      </c>
      <c r="C64" s="30">
        <f>'Tanum och Fjällbacka'!C18</f>
        <v>1229</v>
      </c>
      <c r="D64" s="30">
        <f>'Tanum och Fjällbacka'!D18</f>
        <v>1389</v>
      </c>
      <c r="E64" s="30">
        <f>'Tanum och Fjällbacka'!E18</f>
        <v>1281</v>
      </c>
      <c r="F64" s="30">
        <f>'Tanum och Fjällbacka'!F18</f>
        <v>0</v>
      </c>
      <c r="G64" s="30">
        <f>'Tanum och Fjällbacka'!G18</f>
        <v>0</v>
      </c>
      <c r="H64" s="30">
        <f>'Tanum och Fjällbacka'!H18</f>
        <v>0</v>
      </c>
      <c r="I64" s="30">
        <f>'Tanum och Fjällbacka'!I18</f>
        <v>0</v>
      </c>
      <c r="J64" s="30">
        <f>'Tanum och Fjällbacka'!J18</f>
        <v>0</v>
      </c>
      <c r="K64" s="30">
        <f>'Tanum och Fjällbacka'!K18</f>
        <v>0</v>
      </c>
      <c r="L64" s="30">
        <f>'Tanum och Fjällbacka'!L18</f>
        <v>0</v>
      </c>
      <c r="M64" s="31">
        <f>'Tanum och Fjällbacka'!M18</f>
        <v>0</v>
      </c>
    </row>
    <row r="65" spans="1:13" s="16" customFormat="1" ht="13.8">
      <c r="A65" s="17" t="s">
        <v>20</v>
      </c>
      <c r="B65" s="30">
        <f>'Tanum och Fjällbacka'!B39</f>
        <v>1040</v>
      </c>
      <c r="C65" s="30">
        <f>'Tanum och Fjällbacka'!C39</f>
        <v>1036</v>
      </c>
      <c r="D65" s="30">
        <f>'Tanum och Fjällbacka'!D39</f>
        <v>1192</v>
      </c>
      <c r="E65" s="30">
        <f>'Tanum och Fjällbacka'!E39</f>
        <v>1126</v>
      </c>
      <c r="F65" s="30">
        <f>'Tanum och Fjällbacka'!F39</f>
        <v>1144</v>
      </c>
      <c r="G65" s="30">
        <f>'Tanum och Fjällbacka'!G39</f>
        <v>977</v>
      </c>
      <c r="H65" s="30">
        <f>'Tanum och Fjällbacka'!H39</f>
        <v>707</v>
      </c>
      <c r="I65" s="30">
        <f>'Tanum och Fjällbacka'!I39</f>
        <v>1068</v>
      </c>
      <c r="J65" s="30">
        <f>'Tanum och Fjällbacka'!J39</f>
        <v>1192</v>
      </c>
      <c r="K65" s="30">
        <f>'Tanum och Fjällbacka'!K39</f>
        <v>1126</v>
      </c>
      <c r="L65" s="30">
        <f>'Tanum och Fjällbacka'!L39</f>
        <v>1144</v>
      </c>
      <c r="M65" s="31">
        <f>'Tanum och Fjällbacka'!M39</f>
        <v>1034</v>
      </c>
    </row>
    <row r="66" spans="1:13" s="16" customFormat="1" ht="13.8">
      <c r="A66" s="24" t="s">
        <v>21</v>
      </c>
      <c r="B66" s="25">
        <f>B64-B65</f>
        <v>44</v>
      </c>
      <c r="C66" s="25">
        <f t="shared" ref="C66:M66" si="25">C64-C65</f>
        <v>193</v>
      </c>
      <c r="D66" s="25">
        <f t="shared" si="25"/>
        <v>197</v>
      </c>
      <c r="E66" s="25">
        <f t="shared" si="25"/>
        <v>155</v>
      </c>
      <c r="F66" s="25">
        <f t="shared" si="25"/>
        <v>-1144</v>
      </c>
      <c r="G66" s="25">
        <f t="shared" si="25"/>
        <v>-977</v>
      </c>
      <c r="H66" s="25">
        <f t="shared" si="25"/>
        <v>-707</v>
      </c>
      <c r="I66" s="26">
        <f t="shared" si="25"/>
        <v>-1068</v>
      </c>
      <c r="J66" s="26">
        <f t="shared" si="25"/>
        <v>-1192</v>
      </c>
      <c r="K66" s="25">
        <f t="shared" si="25"/>
        <v>-1126</v>
      </c>
      <c r="L66" s="25">
        <f t="shared" si="25"/>
        <v>-1144</v>
      </c>
      <c r="M66" s="27">
        <f t="shared" si="25"/>
        <v>-1034</v>
      </c>
    </row>
    <row r="67" spans="1:13" s="16" customFormat="1" thickBot="1">
      <c r="A67" s="18" t="s">
        <v>22</v>
      </c>
      <c r="B67" s="19">
        <f t="shared" ref="B67:M67" si="26">SUM(B66/B65)</f>
        <v>4.230769230769231E-2</v>
      </c>
      <c r="C67" s="19">
        <f t="shared" si="26"/>
        <v>0.18629343629343628</v>
      </c>
      <c r="D67" s="19">
        <f t="shared" si="26"/>
        <v>0.16526845637583892</v>
      </c>
      <c r="E67" s="19">
        <f t="shared" si="26"/>
        <v>0.13765541740674955</v>
      </c>
      <c r="F67" s="19">
        <f t="shared" si="26"/>
        <v>-1</v>
      </c>
      <c r="G67" s="19">
        <f t="shared" si="26"/>
        <v>-1</v>
      </c>
      <c r="H67" s="28">
        <f t="shared" si="26"/>
        <v>-1</v>
      </c>
      <c r="I67" s="28">
        <f t="shared" si="26"/>
        <v>-1</v>
      </c>
      <c r="J67" s="28">
        <f t="shared" si="26"/>
        <v>-1</v>
      </c>
      <c r="K67" s="28">
        <f t="shared" si="26"/>
        <v>-1</v>
      </c>
      <c r="L67" s="19">
        <f t="shared" si="26"/>
        <v>-1</v>
      </c>
      <c r="M67" s="29">
        <f t="shared" si="26"/>
        <v>-1</v>
      </c>
    </row>
    <row r="68" spans="1:13" s="16" customFormat="1" thickBot="1">
      <c r="B68" s="21"/>
      <c r="C68" s="21"/>
      <c r="D68" s="21"/>
      <c r="E68" s="21"/>
      <c r="F68" s="21"/>
      <c r="G68" s="21"/>
      <c r="H68" s="22"/>
      <c r="I68" s="22"/>
      <c r="J68" s="22"/>
      <c r="K68" s="22"/>
      <c r="L68" s="21"/>
      <c r="M68" s="21"/>
    </row>
    <row r="69" spans="1:13" s="16" customFormat="1" ht="13.8">
      <c r="A69" s="14" t="s">
        <v>142</v>
      </c>
      <c r="B69" s="15" t="s">
        <v>4</v>
      </c>
      <c r="C69" s="15" t="s">
        <v>5</v>
      </c>
      <c r="D69" s="15" t="s">
        <v>6</v>
      </c>
      <c r="E69" s="15" t="s">
        <v>7</v>
      </c>
      <c r="F69" s="15" t="s">
        <v>8</v>
      </c>
      <c r="G69" s="15" t="s">
        <v>9</v>
      </c>
      <c r="H69" s="15" t="s">
        <v>10</v>
      </c>
      <c r="I69" s="15" t="s">
        <v>11</v>
      </c>
      <c r="J69" s="15" t="s">
        <v>12</v>
      </c>
      <c r="K69" s="15" t="s">
        <v>13</v>
      </c>
      <c r="L69" s="15" t="s">
        <v>14</v>
      </c>
      <c r="M69" s="23" t="s">
        <v>15</v>
      </c>
    </row>
    <row r="70" spans="1:13" s="16" customFormat="1" ht="13.8">
      <c r="A70" s="17" t="s">
        <v>19</v>
      </c>
      <c r="B70" s="30">
        <f>'Brålanda-Torpa'!B18</f>
        <v>958</v>
      </c>
      <c r="C70" s="30">
        <f>'Brålanda-Torpa'!C18</f>
        <v>1192</v>
      </c>
      <c r="D70" s="30">
        <f>'Brålanda-Torpa'!D18</f>
        <v>1076</v>
      </c>
      <c r="E70" s="30">
        <f>'Brålanda-Torpa'!E18</f>
        <v>1291</v>
      </c>
      <c r="F70" s="30">
        <f>'Brålanda-Torpa'!F18</f>
        <v>0</v>
      </c>
      <c r="G70" s="30">
        <f>'Brålanda-Torpa'!G18</f>
        <v>0</v>
      </c>
      <c r="H70" s="30">
        <f>'Brålanda-Torpa'!H18</f>
        <v>0</v>
      </c>
      <c r="I70" s="30">
        <f>'Brålanda-Torpa'!I18</f>
        <v>0</v>
      </c>
      <c r="J70" s="30">
        <f>'Brålanda-Torpa'!J18</f>
        <v>0</v>
      </c>
      <c r="K70" s="30">
        <f>'Brålanda-Torpa'!K18</f>
        <v>0</v>
      </c>
      <c r="L70" s="30">
        <f>'Brålanda-Torpa'!L18</f>
        <v>0</v>
      </c>
      <c r="M70" s="31">
        <f>'Brålanda-Torpa'!M18</f>
        <v>0</v>
      </c>
    </row>
    <row r="71" spans="1:13" s="16" customFormat="1" ht="13.8">
      <c r="A71" s="17" t="s">
        <v>20</v>
      </c>
      <c r="B71" s="30">
        <f>'Brålanda-Torpa'!B39</f>
        <v>1125</v>
      </c>
      <c r="C71" s="30">
        <f>'Brålanda-Torpa'!C39</f>
        <v>1325</v>
      </c>
      <c r="D71" s="30">
        <f>'Brålanda-Torpa'!D39</f>
        <v>1325</v>
      </c>
      <c r="E71" s="30">
        <f>'Brålanda-Torpa'!E39</f>
        <v>1210</v>
      </c>
      <c r="F71" s="30">
        <f>'Brålanda-Torpa'!F39</f>
        <v>1345</v>
      </c>
      <c r="G71" s="30">
        <f>'Brålanda-Torpa'!G39</f>
        <v>1230</v>
      </c>
      <c r="H71" s="30">
        <f>'Brålanda-Torpa'!H39</f>
        <v>1050</v>
      </c>
      <c r="I71" s="30">
        <f>'Brålanda-Torpa'!I39</f>
        <v>1030</v>
      </c>
      <c r="J71" s="30">
        <f>'Brålanda-Torpa'!J39</f>
        <v>1505</v>
      </c>
      <c r="K71" s="30">
        <f>'Brålanda-Torpa'!K39</f>
        <v>1545</v>
      </c>
      <c r="L71" s="30">
        <f>'Brålanda-Torpa'!L39</f>
        <v>1545</v>
      </c>
      <c r="M71" s="31">
        <f>'Brålanda-Torpa'!M39</f>
        <v>1420</v>
      </c>
    </row>
    <row r="72" spans="1:13" s="16" customFormat="1" ht="13.8">
      <c r="A72" s="24" t="s">
        <v>21</v>
      </c>
      <c r="B72" s="25">
        <f>B70-B71</f>
        <v>-167</v>
      </c>
      <c r="C72" s="25">
        <f t="shared" ref="C72:M72" si="27">C70-C71</f>
        <v>-133</v>
      </c>
      <c r="D72" s="25">
        <f t="shared" si="27"/>
        <v>-249</v>
      </c>
      <c r="E72" s="25">
        <f t="shared" si="27"/>
        <v>81</v>
      </c>
      <c r="F72" s="25">
        <f t="shared" si="27"/>
        <v>-1345</v>
      </c>
      <c r="G72" s="25">
        <f t="shared" si="27"/>
        <v>-1230</v>
      </c>
      <c r="H72" s="25">
        <f t="shared" si="27"/>
        <v>-1050</v>
      </c>
      <c r="I72" s="26">
        <f t="shared" si="27"/>
        <v>-1030</v>
      </c>
      <c r="J72" s="26">
        <f t="shared" si="27"/>
        <v>-1505</v>
      </c>
      <c r="K72" s="25">
        <f t="shared" si="27"/>
        <v>-1545</v>
      </c>
      <c r="L72" s="25">
        <f t="shared" si="27"/>
        <v>-1545</v>
      </c>
      <c r="M72" s="27">
        <f t="shared" si="27"/>
        <v>-1420</v>
      </c>
    </row>
    <row r="73" spans="1:13" s="16" customFormat="1" thickBot="1">
      <c r="A73" s="18" t="s">
        <v>22</v>
      </c>
      <c r="B73" s="19">
        <f t="shared" ref="B73:M73" si="28">SUM(B72/B71)</f>
        <v>-0.14844444444444443</v>
      </c>
      <c r="C73" s="19">
        <f t="shared" si="28"/>
        <v>-0.10037735849056603</v>
      </c>
      <c r="D73" s="19">
        <f t="shared" si="28"/>
        <v>-0.1879245283018868</v>
      </c>
      <c r="E73" s="19">
        <f t="shared" si="28"/>
        <v>6.6942148760330583E-2</v>
      </c>
      <c r="F73" s="19">
        <f t="shared" si="28"/>
        <v>-1</v>
      </c>
      <c r="G73" s="19">
        <f t="shared" si="28"/>
        <v>-1</v>
      </c>
      <c r="H73" s="28">
        <f t="shared" si="28"/>
        <v>-1</v>
      </c>
      <c r="I73" s="28">
        <f t="shared" si="28"/>
        <v>-1</v>
      </c>
      <c r="J73" s="28">
        <f t="shared" si="28"/>
        <v>-1</v>
      </c>
      <c r="K73" s="28">
        <f t="shared" si="28"/>
        <v>-1</v>
      </c>
      <c r="L73" s="19">
        <f t="shared" si="28"/>
        <v>-1</v>
      </c>
      <c r="M73" s="29">
        <f t="shared" si="28"/>
        <v>-1</v>
      </c>
    </row>
    <row r="74" spans="1:13" s="16" customFormat="1" thickBot="1">
      <c r="B74" s="21"/>
      <c r="C74" s="21"/>
      <c r="D74" s="21"/>
      <c r="E74" s="21"/>
      <c r="F74" s="21"/>
      <c r="G74" s="21"/>
      <c r="H74" s="22"/>
      <c r="I74" s="22"/>
      <c r="J74" s="22"/>
      <c r="K74" s="22"/>
      <c r="L74" s="21"/>
      <c r="M74" s="21"/>
    </row>
    <row r="75" spans="1:13" s="16" customFormat="1" ht="13.8">
      <c r="A75" s="14" t="s">
        <v>94</v>
      </c>
      <c r="B75" s="15" t="s">
        <v>4</v>
      </c>
      <c r="C75" s="15" t="s">
        <v>5</v>
      </c>
      <c r="D75" s="15" t="s">
        <v>6</v>
      </c>
      <c r="E75" s="15" t="s">
        <v>7</v>
      </c>
      <c r="F75" s="15" t="s">
        <v>8</v>
      </c>
      <c r="G75" s="15" t="s">
        <v>9</v>
      </c>
      <c r="H75" s="15" t="s">
        <v>10</v>
      </c>
      <c r="I75" s="15" t="s">
        <v>11</v>
      </c>
      <c r="J75" s="15" t="s">
        <v>12</v>
      </c>
      <c r="K75" s="15" t="s">
        <v>13</v>
      </c>
      <c r="L75" s="15" t="s">
        <v>14</v>
      </c>
      <c r="M75" s="23" t="s">
        <v>15</v>
      </c>
    </row>
    <row r="76" spans="1:13" s="16" customFormat="1" ht="13.8">
      <c r="A76" s="17" t="s">
        <v>19</v>
      </c>
      <c r="B76" s="30">
        <f>Noltrop!B20</f>
        <v>1371</v>
      </c>
      <c r="C76" s="30">
        <f>Noltrop!C20</f>
        <v>1606</v>
      </c>
      <c r="D76" s="30">
        <f>Noltrop!D20</f>
        <v>2057</v>
      </c>
      <c r="E76" s="30">
        <f>Noltrop!E20</f>
        <v>2018</v>
      </c>
      <c r="F76" s="30">
        <f>Noltrop!F20</f>
        <v>0</v>
      </c>
      <c r="G76" s="30">
        <f>Noltrop!G20</f>
        <v>0</v>
      </c>
      <c r="H76" s="30">
        <f>Noltrop!H20</f>
        <v>0</v>
      </c>
      <c r="I76" s="30">
        <f>Noltrop!I20</f>
        <v>0</v>
      </c>
      <c r="J76" s="30">
        <f>Noltrop!J20</f>
        <v>0</v>
      </c>
      <c r="K76" s="30">
        <f>Noltrop!K20</f>
        <v>0</v>
      </c>
      <c r="L76" s="30">
        <f>Noltrop!L20</f>
        <v>0</v>
      </c>
      <c r="M76" s="31">
        <f>Noltrop!M20</f>
        <v>0</v>
      </c>
    </row>
    <row r="77" spans="1:13" s="16" customFormat="1" ht="13.8">
      <c r="A77" s="17" t="s">
        <v>20</v>
      </c>
      <c r="B77" s="30">
        <f>Noltrop!B42</f>
        <v>1704</v>
      </c>
      <c r="C77" s="30">
        <f>Noltrop!C42</f>
        <v>1824</v>
      </c>
      <c r="D77" s="30">
        <f>Noltrop!D42</f>
        <v>1864</v>
      </c>
      <c r="E77" s="30">
        <f>Noltrop!E42</f>
        <v>1923</v>
      </c>
      <c r="F77" s="30">
        <f>Noltrop!F42</f>
        <v>1884</v>
      </c>
      <c r="G77" s="30">
        <f>Noltrop!G42</f>
        <v>1544</v>
      </c>
      <c r="H77" s="30">
        <f>Noltrop!H42</f>
        <v>682</v>
      </c>
      <c r="I77" s="30">
        <f>Noltrop!I42</f>
        <v>1241</v>
      </c>
      <c r="J77" s="30">
        <f>Noltrop!J42</f>
        <v>2348</v>
      </c>
      <c r="K77" s="30">
        <f>Noltrop!K42</f>
        <v>2348</v>
      </c>
      <c r="L77" s="30">
        <f>Noltrop!L42</f>
        <v>2415</v>
      </c>
      <c r="M77" s="31">
        <f>Noltrop!M42</f>
        <v>2178</v>
      </c>
    </row>
    <row r="78" spans="1:13" s="16" customFormat="1" ht="13.8">
      <c r="A78" s="24" t="s">
        <v>21</v>
      </c>
      <c r="B78" s="25">
        <f>B76-B77</f>
        <v>-333</v>
      </c>
      <c r="C78" s="25">
        <f t="shared" ref="C78:M78" si="29">C76-C77</f>
        <v>-218</v>
      </c>
      <c r="D78" s="25">
        <f t="shared" si="29"/>
        <v>193</v>
      </c>
      <c r="E78" s="25">
        <f t="shared" si="29"/>
        <v>95</v>
      </c>
      <c r="F78" s="25">
        <f t="shared" si="29"/>
        <v>-1884</v>
      </c>
      <c r="G78" s="25">
        <f t="shared" si="29"/>
        <v>-1544</v>
      </c>
      <c r="H78" s="25">
        <f t="shared" si="29"/>
        <v>-682</v>
      </c>
      <c r="I78" s="26">
        <f t="shared" si="29"/>
        <v>-1241</v>
      </c>
      <c r="J78" s="26">
        <f t="shared" si="29"/>
        <v>-2348</v>
      </c>
      <c r="K78" s="25">
        <f t="shared" si="29"/>
        <v>-2348</v>
      </c>
      <c r="L78" s="25">
        <f t="shared" si="29"/>
        <v>-2415</v>
      </c>
      <c r="M78" s="27">
        <f t="shared" si="29"/>
        <v>-2178</v>
      </c>
    </row>
    <row r="79" spans="1:13" s="16" customFormat="1" thickBot="1">
      <c r="A79" s="18" t="s">
        <v>22</v>
      </c>
      <c r="B79" s="19">
        <f t="shared" ref="B79:M79" si="30">SUM(B78/B77)</f>
        <v>-0.1954225352112676</v>
      </c>
      <c r="C79" s="19">
        <f t="shared" si="30"/>
        <v>-0.11951754385964912</v>
      </c>
      <c r="D79" s="19">
        <f t="shared" si="30"/>
        <v>0.10354077253218884</v>
      </c>
      <c r="E79" s="19">
        <f t="shared" si="30"/>
        <v>4.9401976079043161E-2</v>
      </c>
      <c r="F79" s="19">
        <f t="shared" si="30"/>
        <v>-1</v>
      </c>
      <c r="G79" s="19">
        <f t="shared" si="30"/>
        <v>-1</v>
      </c>
      <c r="H79" s="28">
        <f t="shared" si="30"/>
        <v>-1</v>
      </c>
      <c r="I79" s="28">
        <f t="shared" si="30"/>
        <v>-1</v>
      </c>
      <c r="J79" s="28">
        <f t="shared" si="30"/>
        <v>-1</v>
      </c>
      <c r="K79" s="28">
        <f t="shared" si="30"/>
        <v>-1</v>
      </c>
      <c r="L79" s="19">
        <f t="shared" si="30"/>
        <v>-1</v>
      </c>
      <c r="M79" s="29">
        <f t="shared" si="30"/>
        <v>-1</v>
      </c>
    </row>
    <row r="80" spans="1:13" s="16" customFormat="1" thickBot="1">
      <c r="B80" s="21"/>
      <c r="C80" s="21"/>
      <c r="D80" s="21"/>
      <c r="E80" s="21"/>
      <c r="F80" s="21"/>
      <c r="G80" s="21"/>
      <c r="H80" s="22"/>
      <c r="I80" s="22"/>
      <c r="J80" s="22"/>
      <c r="K80" s="22"/>
      <c r="L80" s="21"/>
      <c r="M80" s="21"/>
    </row>
    <row r="81" spans="1:13" s="16" customFormat="1" ht="13.8">
      <c r="A81" s="14" t="s">
        <v>95</v>
      </c>
      <c r="B81" s="15" t="s">
        <v>4</v>
      </c>
      <c r="C81" s="15" t="s">
        <v>5</v>
      </c>
      <c r="D81" s="15" t="s">
        <v>6</v>
      </c>
      <c r="E81" s="15" t="s">
        <v>7</v>
      </c>
      <c r="F81" s="15" t="s">
        <v>8</v>
      </c>
      <c r="G81" s="15" t="s">
        <v>9</v>
      </c>
      <c r="H81" s="15" t="s">
        <v>10</v>
      </c>
      <c r="I81" s="15" t="s">
        <v>11</v>
      </c>
      <c r="J81" s="15" t="s">
        <v>12</v>
      </c>
      <c r="K81" s="15" t="s">
        <v>13</v>
      </c>
      <c r="L81" s="15" t="s">
        <v>14</v>
      </c>
      <c r="M81" s="23" t="s">
        <v>15</v>
      </c>
    </row>
    <row r="82" spans="1:13" s="16" customFormat="1" ht="13.8">
      <c r="A82" s="17" t="s">
        <v>19</v>
      </c>
      <c r="B82" s="30">
        <f>'Lilla Edet'!B18</f>
        <v>718</v>
      </c>
      <c r="C82" s="30">
        <f>'Lilla Edet'!C18</f>
        <v>526</v>
      </c>
      <c r="D82" s="30">
        <f>'Lilla Edet'!D18</f>
        <v>528</v>
      </c>
      <c r="E82" s="30">
        <f>'Lilla Edet'!E18</f>
        <v>509</v>
      </c>
      <c r="F82" s="30">
        <f>'Lilla Edet'!F18</f>
        <v>0</v>
      </c>
      <c r="G82" s="30">
        <f>'Lilla Edet'!G18</f>
        <v>0</v>
      </c>
      <c r="H82" s="30">
        <f>'Lilla Edet'!H18</f>
        <v>0</v>
      </c>
      <c r="I82" s="30">
        <f>'Lilla Edet'!I18</f>
        <v>0</v>
      </c>
      <c r="J82" s="30">
        <f>'Lilla Edet'!J18</f>
        <v>0</v>
      </c>
      <c r="K82" s="30">
        <f>'Lilla Edet'!K18</f>
        <v>0</v>
      </c>
      <c r="L82" s="30">
        <f>'Lilla Edet'!L18</f>
        <v>0</v>
      </c>
      <c r="M82" s="31">
        <f>'Lilla Edet'!M18</f>
        <v>0</v>
      </c>
    </row>
    <row r="83" spans="1:13" s="16" customFormat="1" ht="13.8">
      <c r="A83" s="17" t="s">
        <v>20</v>
      </c>
      <c r="B83" s="30">
        <f>'Lilla Edet'!B39</f>
        <v>950</v>
      </c>
      <c r="C83" s="30">
        <f>'Lilla Edet'!C39</f>
        <v>840</v>
      </c>
      <c r="D83" s="30">
        <f>'Lilla Edet'!D39</f>
        <v>924</v>
      </c>
      <c r="E83" s="30">
        <f>'Lilla Edet'!E39</f>
        <v>924</v>
      </c>
      <c r="F83" s="30">
        <f>'Lilla Edet'!F39</f>
        <v>924</v>
      </c>
      <c r="G83" s="30">
        <f>'Lilla Edet'!G39</f>
        <v>740</v>
      </c>
      <c r="H83" s="30">
        <f>'Lilla Edet'!H39</f>
        <v>400</v>
      </c>
      <c r="I83" s="30">
        <f>'Lilla Edet'!I39</f>
        <v>740</v>
      </c>
      <c r="J83" s="30">
        <f>'Lilla Edet'!J39</f>
        <v>924</v>
      </c>
      <c r="K83" s="30">
        <f>'Lilla Edet'!K39</f>
        <v>840</v>
      </c>
      <c r="L83" s="30">
        <f>'Lilla Edet'!L39</f>
        <v>924</v>
      </c>
      <c r="M83" s="31">
        <f>'Lilla Edet'!M39</f>
        <v>740</v>
      </c>
    </row>
    <row r="84" spans="1:13" s="16" customFormat="1" ht="13.8">
      <c r="A84" s="24" t="s">
        <v>21</v>
      </c>
      <c r="B84" s="25">
        <f>B82-B83</f>
        <v>-232</v>
      </c>
      <c r="C84" s="25">
        <f t="shared" ref="C84:M84" si="31">C82-C83</f>
        <v>-314</v>
      </c>
      <c r="D84" s="25">
        <f t="shared" si="31"/>
        <v>-396</v>
      </c>
      <c r="E84" s="25">
        <f t="shared" si="31"/>
        <v>-415</v>
      </c>
      <c r="F84" s="25">
        <f t="shared" si="31"/>
        <v>-924</v>
      </c>
      <c r="G84" s="25">
        <f t="shared" si="31"/>
        <v>-740</v>
      </c>
      <c r="H84" s="25">
        <f t="shared" si="31"/>
        <v>-400</v>
      </c>
      <c r="I84" s="26">
        <f t="shared" si="31"/>
        <v>-740</v>
      </c>
      <c r="J84" s="26">
        <f t="shared" si="31"/>
        <v>-924</v>
      </c>
      <c r="K84" s="25">
        <f t="shared" si="31"/>
        <v>-840</v>
      </c>
      <c r="L84" s="25">
        <f t="shared" si="31"/>
        <v>-924</v>
      </c>
      <c r="M84" s="27">
        <f t="shared" si="31"/>
        <v>-740</v>
      </c>
    </row>
    <row r="85" spans="1:13" s="16" customFormat="1" thickBot="1">
      <c r="A85" s="18" t="s">
        <v>22</v>
      </c>
      <c r="B85" s="19">
        <f t="shared" ref="B85:M85" si="32">SUM(B84/B83)</f>
        <v>-0.24421052631578946</v>
      </c>
      <c r="C85" s="19">
        <f t="shared" si="32"/>
        <v>-0.37380952380952381</v>
      </c>
      <c r="D85" s="19">
        <f t="shared" si="32"/>
        <v>-0.42857142857142855</v>
      </c>
      <c r="E85" s="19">
        <f t="shared" si="32"/>
        <v>-0.44913419913419911</v>
      </c>
      <c r="F85" s="19">
        <f t="shared" si="32"/>
        <v>-1</v>
      </c>
      <c r="G85" s="19">
        <f t="shared" si="32"/>
        <v>-1</v>
      </c>
      <c r="H85" s="28">
        <f t="shared" si="32"/>
        <v>-1</v>
      </c>
      <c r="I85" s="28">
        <f t="shared" si="32"/>
        <v>-1</v>
      </c>
      <c r="J85" s="28">
        <f t="shared" si="32"/>
        <v>-1</v>
      </c>
      <c r="K85" s="28">
        <f t="shared" si="32"/>
        <v>-1</v>
      </c>
      <c r="L85" s="19">
        <f t="shared" si="32"/>
        <v>-1</v>
      </c>
      <c r="M85" s="29">
        <f t="shared" si="32"/>
        <v>-1</v>
      </c>
    </row>
    <row r="86" spans="1:13" s="16" customFormat="1" thickBot="1"/>
    <row r="87" spans="1:13" s="16" customFormat="1" ht="13.8">
      <c r="A87" s="14" t="s">
        <v>96</v>
      </c>
      <c r="B87" s="15" t="s">
        <v>4</v>
      </c>
      <c r="C87" s="15" t="s">
        <v>5</v>
      </c>
      <c r="D87" s="15" t="s">
        <v>6</v>
      </c>
      <c r="E87" s="15" t="s">
        <v>7</v>
      </c>
      <c r="F87" s="15" t="s">
        <v>8</v>
      </c>
      <c r="G87" s="15" t="s">
        <v>9</v>
      </c>
      <c r="H87" s="15" t="s">
        <v>10</v>
      </c>
      <c r="I87" s="15" t="s">
        <v>11</v>
      </c>
      <c r="J87" s="15" t="s">
        <v>12</v>
      </c>
      <c r="K87" s="15" t="s">
        <v>13</v>
      </c>
      <c r="L87" s="15" t="s">
        <v>14</v>
      </c>
      <c r="M87" s="23" t="s">
        <v>15</v>
      </c>
    </row>
    <row r="88" spans="1:13" s="16" customFormat="1" ht="13.8">
      <c r="A88" s="17" t="s">
        <v>19</v>
      </c>
      <c r="B88" s="30">
        <f>Stavre!B18</f>
        <v>924</v>
      </c>
      <c r="C88" s="30">
        <f>Stavre!C18</f>
        <v>959</v>
      </c>
      <c r="D88" s="30">
        <f>Stavre!D18</f>
        <v>1203</v>
      </c>
      <c r="E88" s="30">
        <f>Stavre!E18</f>
        <v>1146</v>
      </c>
      <c r="F88" s="30">
        <f>Stavre!F18</f>
        <v>0</v>
      </c>
      <c r="G88" s="30">
        <f>Stavre!G18</f>
        <v>0</v>
      </c>
      <c r="H88" s="30">
        <f>Stavre!H18</f>
        <v>0</v>
      </c>
      <c r="I88" s="30">
        <f>Stavre!I18</f>
        <v>0</v>
      </c>
      <c r="J88" s="30">
        <f>Stavre!J18</f>
        <v>0</v>
      </c>
      <c r="K88" s="30">
        <f>Stavre!K18</f>
        <v>0</v>
      </c>
      <c r="L88" s="30">
        <f>Stavre!L18</f>
        <v>0</v>
      </c>
      <c r="M88" s="31">
        <f>Stavre!M18</f>
        <v>0</v>
      </c>
    </row>
    <row r="89" spans="1:13" s="16" customFormat="1" ht="13.8">
      <c r="A89" s="17" t="s">
        <v>20</v>
      </c>
      <c r="B89" s="30">
        <f>Stavre!B39</f>
        <v>890</v>
      </c>
      <c r="C89" s="30">
        <f>Stavre!C39</f>
        <v>1105</v>
      </c>
      <c r="D89" s="30">
        <f>Stavre!D39</f>
        <v>1295</v>
      </c>
      <c r="E89" s="30">
        <f>Stavre!E39</f>
        <v>1050</v>
      </c>
      <c r="F89" s="30">
        <f>Stavre!F39</f>
        <v>1180</v>
      </c>
      <c r="G89" s="30">
        <f>Stavre!G39</f>
        <v>890</v>
      </c>
      <c r="H89" s="30">
        <f>Stavre!H39</f>
        <v>240</v>
      </c>
      <c r="I89" s="30">
        <f>Stavre!I39</f>
        <v>1040</v>
      </c>
      <c r="J89" s="30">
        <f>Stavre!J39</f>
        <v>1285</v>
      </c>
      <c r="K89" s="30">
        <f>Stavre!K39</f>
        <v>1283</v>
      </c>
      <c r="L89" s="30">
        <f>Stavre!L39</f>
        <v>1188</v>
      </c>
      <c r="M89" s="31">
        <f>Stavre!M39</f>
        <v>1040</v>
      </c>
    </row>
    <row r="90" spans="1:13" s="16" customFormat="1" ht="13.8">
      <c r="A90" s="24" t="s">
        <v>21</v>
      </c>
      <c r="B90" s="25">
        <f>B88-B89</f>
        <v>34</v>
      </c>
      <c r="C90" s="25">
        <f t="shared" ref="C90:M90" si="33">C88-C89</f>
        <v>-146</v>
      </c>
      <c r="D90" s="25">
        <f t="shared" si="33"/>
        <v>-92</v>
      </c>
      <c r="E90" s="25">
        <f t="shared" si="33"/>
        <v>96</v>
      </c>
      <c r="F90" s="25">
        <f t="shared" si="33"/>
        <v>-1180</v>
      </c>
      <c r="G90" s="25">
        <f t="shared" si="33"/>
        <v>-890</v>
      </c>
      <c r="H90" s="25">
        <f t="shared" si="33"/>
        <v>-240</v>
      </c>
      <c r="I90" s="26">
        <f t="shared" si="33"/>
        <v>-1040</v>
      </c>
      <c r="J90" s="26">
        <f t="shared" si="33"/>
        <v>-1285</v>
      </c>
      <c r="K90" s="25">
        <f t="shared" si="33"/>
        <v>-1283</v>
      </c>
      <c r="L90" s="25">
        <f t="shared" si="33"/>
        <v>-1188</v>
      </c>
      <c r="M90" s="27">
        <f t="shared" si="33"/>
        <v>-1040</v>
      </c>
    </row>
    <row r="91" spans="1:13" s="16" customFormat="1" thickBot="1">
      <c r="A91" s="18" t="s">
        <v>22</v>
      </c>
      <c r="B91" s="19">
        <f t="shared" ref="B91:M91" si="34">SUM(B90/B89)</f>
        <v>3.8202247191011236E-2</v>
      </c>
      <c r="C91" s="19">
        <f t="shared" si="34"/>
        <v>-0.13212669683257919</v>
      </c>
      <c r="D91" s="19">
        <f t="shared" si="34"/>
        <v>-7.1042471042471037E-2</v>
      </c>
      <c r="E91" s="19">
        <f t="shared" si="34"/>
        <v>9.1428571428571428E-2</v>
      </c>
      <c r="F91" s="19">
        <f t="shared" si="34"/>
        <v>-1</v>
      </c>
      <c r="G91" s="19">
        <f t="shared" si="34"/>
        <v>-1</v>
      </c>
      <c r="H91" s="28">
        <f t="shared" si="34"/>
        <v>-1</v>
      </c>
      <c r="I91" s="28">
        <f t="shared" si="34"/>
        <v>-1</v>
      </c>
      <c r="J91" s="28">
        <f t="shared" si="34"/>
        <v>-1</v>
      </c>
      <c r="K91" s="28">
        <f t="shared" si="34"/>
        <v>-1</v>
      </c>
      <c r="L91" s="19">
        <f t="shared" si="34"/>
        <v>-1</v>
      </c>
      <c r="M91" s="29">
        <f t="shared" si="34"/>
        <v>-1</v>
      </c>
    </row>
    <row r="92" spans="1:13" s="16" customFormat="1" thickBot="1"/>
    <row r="93" spans="1:13" s="16" customFormat="1" ht="13.8">
      <c r="A93" s="14" t="s">
        <v>97</v>
      </c>
      <c r="B93" s="15" t="s">
        <v>4</v>
      </c>
      <c r="C93" s="15" t="s">
        <v>5</v>
      </c>
      <c r="D93" s="15" t="s">
        <v>6</v>
      </c>
      <c r="E93" s="15" t="s">
        <v>7</v>
      </c>
      <c r="F93" s="15" t="s">
        <v>8</v>
      </c>
      <c r="G93" s="15" t="s">
        <v>9</v>
      </c>
      <c r="H93" s="15" t="s">
        <v>10</v>
      </c>
      <c r="I93" s="15" t="s">
        <v>11</v>
      </c>
      <c r="J93" s="15" t="s">
        <v>12</v>
      </c>
      <c r="K93" s="15" t="s">
        <v>13</v>
      </c>
      <c r="L93" s="15" t="s">
        <v>14</v>
      </c>
      <c r="M93" s="23" t="s">
        <v>15</v>
      </c>
    </row>
    <row r="94" spans="1:13" s="16" customFormat="1" ht="13.8">
      <c r="A94" s="17" t="s">
        <v>19</v>
      </c>
      <c r="B94" s="30">
        <f>Åmål!B18</f>
        <v>934</v>
      </c>
      <c r="C94" s="30">
        <f>Åmål!C18</f>
        <v>1058</v>
      </c>
      <c r="D94" s="30">
        <f>Åmål!D18</f>
        <v>1252</v>
      </c>
      <c r="E94" s="30">
        <f>Åmål!E18</f>
        <v>1187</v>
      </c>
      <c r="F94" s="30">
        <f>Åmål!F18</f>
        <v>0</v>
      </c>
      <c r="G94" s="30">
        <f>Åmål!G18</f>
        <v>0</v>
      </c>
      <c r="H94" s="30">
        <f>Åmål!H18</f>
        <v>0</v>
      </c>
      <c r="I94" s="30">
        <f>Åmål!I18</f>
        <v>0</v>
      </c>
      <c r="J94" s="30">
        <f>Åmål!J18</f>
        <v>0</v>
      </c>
      <c r="K94" s="30">
        <f>Åmål!K18</f>
        <v>0</v>
      </c>
      <c r="L94" s="30">
        <f>Åmål!L18</f>
        <v>0</v>
      </c>
      <c r="M94" s="31">
        <f>Åmål!M18</f>
        <v>0</v>
      </c>
    </row>
    <row r="95" spans="1:13" s="16" customFormat="1" ht="13.8">
      <c r="A95" s="17" t="s">
        <v>20</v>
      </c>
      <c r="B95" s="30">
        <f>Åmål!B39</f>
        <v>1483</v>
      </c>
      <c r="C95" s="30">
        <f>Åmål!C39</f>
        <v>1553</v>
      </c>
      <c r="D95" s="30">
        <f>Åmål!D39</f>
        <v>1618</v>
      </c>
      <c r="E95" s="30">
        <f>Åmål!E39</f>
        <v>1495</v>
      </c>
      <c r="F95" s="30">
        <f>Åmål!F39</f>
        <v>1483</v>
      </c>
      <c r="G95" s="30">
        <f>Åmål!G39</f>
        <v>1215</v>
      </c>
      <c r="H95" s="30">
        <f>Åmål!H39</f>
        <v>765</v>
      </c>
      <c r="I95" s="30">
        <f>Åmål!I39</f>
        <v>943</v>
      </c>
      <c r="J95" s="30">
        <f>Åmål!J39</f>
        <v>1598</v>
      </c>
      <c r="K95" s="30">
        <f>Åmål!K39</f>
        <v>1538</v>
      </c>
      <c r="L95" s="30">
        <f>Åmål!L39</f>
        <v>1608</v>
      </c>
      <c r="M95" s="31">
        <f>Åmål!M39</f>
        <v>1393</v>
      </c>
    </row>
    <row r="96" spans="1:13" s="16" customFormat="1" ht="13.8">
      <c r="A96" s="24" t="s">
        <v>21</v>
      </c>
      <c r="B96" s="25">
        <f>B94-B95</f>
        <v>-549</v>
      </c>
      <c r="C96" s="25">
        <f t="shared" ref="C96:M96" si="35">C94-C95</f>
        <v>-495</v>
      </c>
      <c r="D96" s="25">
        <f t="shared" si="35"/>
        <v>-366</v>
      </c>
      <c r="E96" s="25">
        <f t="shared" si="35"/>
        <v>-308</v>
      </c>
      <c r="F96" s="25">
        <f t="shared" si="35"/>
        <v>-1483</v>
      </c>
      <c r="G96" s="25">
        <f t="shared" si="35"/>
        <v>-1215</v>
      </c>
      <c r="H96" s="25">
        <f t="shared" si="35"/>
        <v>-765</v>
      </c>
      <c r="I96" s="26">
        <f t="shared" si="35"/>
        <v>-943</v>
      </c>
      <c r="J96" s="26">
        <f t="shared" si="35"/>
        <v>-1598</v>
      </c>
      <c r="K96" s="25">
        <f t="shared" si="35"/>
        <v>-1538</v>
      </c>
      <c r="L96" s="25">
        <f t="shared" si="35"/>
        <v>-1608</v>
      </c>
      <c r="M96" s="27">
        <f t="shared" si="35"/>
        <v>-1393</v>
      </c>
    </row>
    <row r="97" spans="1:13" s="16" customFormat="1" thickBot="1">
      <c r="A97" s="18" t="s">
        <v>22</v>
      </c>
      <c r="B97" s="19">
        <f>SUM(B96/B95)</f>
        <v>-0.37019554956169926</v>
      </c>
      <c r="C97" s="19">
        <f t="shared" ref="C97:M97" si="36">SUM(C96/C95)</f>
        <v>-0.31873792659368966</v>
      </c>
      <c r="D97" s="19">
        <f t="shared" si="36"/>
        <v>-0.22620519159456118</v>
      </c>
      <c r="E97" s="19">
        <f t="shared" si="36"/>
        <v>-0.20602006688963212</v>
      </c>
      <c r="F97" s="19">
        <f t="shared" si="36"/>
        <v>-1</v>
      </c>
      <c r="G97" s="19">
        <f t="shared" si="36"/>
        <v>-1</v>
      </c>
      <c r="H97" s="28">
        <f t="shared" si="36"/>
        <v>-1</v>
      </c>
      <c r="I97" s="28">
        <f t="shared" si="36"/>
        <v>-1</v>
      </c>
      <c r="J97" s="28">
        <f t="shared" si="36"/>
        <v>-1</v>
      </c>
      <c r="K97" s="28">
        <f t="shared" si="36"/>
        <v>-1</v>
      </c>
      <c r="L97" s="19">
        <f t="shared" si="36"/>
        <v>-1</v>
      </c>
      <c r="M97" s="29">
        <f t="shared" si="36"/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DA17-8295-4BF5-AE01-20C42C0E0817}">
  <dimension ref="A1:M46"/>
  <sheetViews>
    <sheetView zoomScaleNormal="100" workbookViewId="0">
      <selection activeCell="F6" sqref="F6:F11"/>
    </sheetView>
  </sheetViews>
  <sheetFormatPr defaultRowHeight="14.4"/>
  <cols>
    <col min="1" max="1" width="32.33203125" bestFit="1" customWidth="1"/>
    <col min="2" max="3" width="11" bestFit="1" customWidth="1"/>
  </cols>
  <sheetData>
    <row r="1" spans="1:13" s="2" customFormat="1">
      <c r="A1" s="5" t="s">
        <v>3</v>
      </c>
      <c r="B1" s="6">
        <v>46063</v>
      </c>
      <c r="C1" s="6">
        <v>46086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s="9" customFormat="1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 s="2" customFormat="1">
      <c r="A3" s="3"/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>
      <c r="A4" t="s">
        <v>39</v>
      </c>
      <c r="B4" s="10">
        <v>138</v>
      </c>
      <c r="C4" s="10">
        <v>82</v>
      </c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>
      <c r="A5" t="s">
        <v>40</v>
      </c>
      <c r="B5" s="10">
        <v>178</v>
      </c>
      <c r="C5" s="10">
        <v>156</v>
      </c>
      <c r="D5" s="10">
        <v>188</v>
      </c>
      <c r="E5" s="10">
        <v>181</v>
      </c>
      <c r="F5" s="10"/>
      <c r="G5" s="10"/>
      <c r="H5" s="10"/>
      <c r="I5" s="10"/>
      <c r="J5" s="10"/>
      <c r="K5" s="10"/>
      <c r="L5" s="10"/>
      <c r="M5" s="10"/>
    </row>
    <row r="6" spans="1:13">
      <c r="A6" t="s">
        <v>41</v>
      </c>
      <c r="B6" s="10">
        <v>112</v>
      </c>
      <c r="C6" s="10">
        <v>179</v>
      </c>
      <c r="D6" s="10">
        <v>184</v>
      </c>
      <c r="E6" s="10">
        <v>141</v>
      </c>
      <c r="F6" s="10"/>
      <c r="G6" s="10"/>
      <c r="H6" s="10"/>
      <c r="I6" s="10"/>
      <c r="J6" s="10"/>
      <c r="K6" s="10"/>
      <c r="L6" s="10"/>
      <c r="M6" s="10"/>
    </row>
    <row r="7" spans="1:13">
      <c r="A7" t="s">
        <v>42</v>
      </c>
      <c r="B7" s="10">
        <v>91</v>
      </c>
      <c r="C7" s="10">
        <v>164</v>
      </c>
      <c r="D7" s="10">
        <v>145</v>
      </c>
      <c r="E7" s="10">
        <v>154</v>
      </c>
      <c r="F7" s="10"/>
      <c r="G7" s="10"/>
      <c r="H7" s="10"/>
      <c r="I7" s="10"/>
      <c r="J7" s="10"/>
      <c r="K7" s="10"/>
      <c r="L7" s="10"/>
      <c r="M7" s="10"/>
    </row>
    <row r="8" spans="1:13">
      <c r="A8" t="s">
        <v>43</v>
      </c>
      <c r="B8" s="10">
        <v>139</v>
      </c>
      <c r="C8" s="10">
        <v>190</v>
      </c>
      <c r="D8" s="10">
        <v>194</v>
      </c>
      <c r="E8" s="10">
        <v>164</v>
      </c>
      <c r="F8" s="10"/>
      <c r="G8" s="10"/>
      <c r="H8" s="10"/>
      <c r="I8" s="10"/>
      <c r="J8" s="10"/>
      <c r="K8" s="10"/>
      <c r="L8" s="10"/>
      <c r="M8" s="10"/>
    </row>
    <row r="9" spans="1:13">
      <c r="A9" t="s">
        <v>44</v>
      </c>
      <c r="B9" s="10">
        <v>125</v>
      </c>
      <c r="C9" s="10">
        <v>52</v>
      </c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>
      <c r="A10" t="s">
        <v>45</v>
      </c>
      <c r="B10" s="10"/>
      <c r="C10" s="10">
        <v>77</v>
      </c>
      <c r="D10" s="10">
        <v>172</v>
      </c>
      <c r="E10" s="10">
        <v>188</v>
      </c>
      <c r="F10" s="10"/>
      <c r="G10" s="10"/>
      <c r="H10" s="10"/>
      <c r="I10" s="10"/>
      <c r="J10" s="10"/>
      <c r="K10" s="10"/>
      <c r="L10" s="10"/>
      <c r="M10" s="10"/>
    </row>
    <row r="11" spans="1:13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" thickBot="1">
      <c r="B18" s="11">
        <f t="shared" ref="B18:M18" si="0">SUM(B4:B17)</f>
        <v>783</v>
      </c>
      <c r="C18" s="11">
        <f t="shared" si="0"/>
        <v>900</v>
      </c>
      <c r="D18" s="11">
        <f t="shared" si="0"/>
        <v>883</v>
      </c>
      <c r="E18" s="11">
        <f t="shared" si="0"/>
        <v>828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3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3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>
      <c r="A22" t="s">
        <v>39</v>
      </c>
      <c r="B22" s="12">
        <f t="shared" ref="B22:M35" si="1">SUM(B4-B40)</f>
        <v>-82</v>
      </c>
      <c r="C22" s="12">
        <f t="shared" si="1"/>
        <v>-48</v>
      </c>
      <c r="D22" s="12">
        <f t="shared" si="1"/>
        <v>-140</v>
      </c>
      <c r="E22" s="12">
        <f t="shared" si="1"/>
        <v>-130</v>
      </c>
      <c r="F22" s="12">
        <f t="shared" si="1"/>
        <v>0</v>
      </c>
      <c r="G22" s="12">
        <f t="shared" si="1"/>
        <v>0</v>
      </c>
      <c r="H22" s="12">
        <f t="shared" si="1"/>
        <v>0</v>
      </c>
      <c r="I22" s="12">
        <f t="shared" si="1"/>
        <v>0</v>
      </c>
      <c r="J22" s="12">
        <f t="shared" si="1"/>
        <v>0</v>
      </c>
      <c r="K22" s="12">
        <f t="shared" si="1"/>
        <v>0</v>
      </c>
      <c r="L22" s="12">
        <f t="shared" si="1"/>
        <v>0</v>
      </c>
      <c r="M22" s="12">
        <f t="shared" si="1"/>
        <v>0</v>
      </c>
    </row>
    <row r="23" spans="1:13">
      <c r="A23" t="s">
        <v>40</v>
      </c>
      <c r="B23" s="12">
        <f t="shared" si="1"/>
        <v>-42</v>
      </c>
      <c r="C23" s="12">
        <f t="shared" si="1"/>
        <v>-74</v>
      </c>
      <c r="D23" s="12">
        <f t="shared" si="1"/>
        <v>-42</v>
      </c>
      <c r="E23" s="12">
        <f t="shared" si="1"/>
        <v>-49</v>
      </c>
      <c r="F23" s="12">
        <f t="shared" si="1"/>
        <v>-230</v>
      </c>
      <c r="G23" s="12">
        <f t="shared" si="1"/>
        <v>-120</v>
      </c>
      <c r="H23" s="12">
        <f t="shared" si="1"/>
        <v>-180</v>
      </c>
      <c r="I23" s="12">
        <f t="shared" si="1"/>
        <v>-120</v>
      </c>
      <c r="J23" s="12">
        <f t="shared" si="1"/>
        <v>-230</v>
      </c>
      <c r="K23" s="12">
        <f t="shared" si="1"/>
        <v>-230</v>
      </c>
      <c r="L23" s="12">
        <f t="shared" si="1"/>
        <v>-230</v>
      </c>
      <c r="M23" s="12">
        <f t="shared" si="1"/>
        <v>-200</v>
      </c>
    </row>
    <row r="24" spans="1:13">
      <c r="A24" t="s">
        <v>41</v>
      </c>
      <c r="B24" s="12">
        <f t="shared" si="1"/>
        <v>-98</v>
      </c>
      <c r="C24" s="12">
        <f t="shared" si="1"/>
        <v>-51</v>
      </c>
      <c r="D24" s="12">
        <f t="shared" si="1"/>
        <v>-46</v>
      </c>
      <c r="E24" s="12">
        <f t="shared" si="1"/>
        <v>-79</v>
      </c>
      <c r="F24" s="12">
        <f t="shared" si="1"/>
        <v>-220</v>
      </c>
      <c r="G24" s="12">
        <f t="shared" si="1"/>
        <v>-220</v>
      </c>
      <c r="H24" s="12">
        <f t="shared" si="1"/>
        <v>0</v>
      </c>
      <c r="I24" s="12">
        <f t="shared" si="1"/>
        <v>-220</v>
      </c>
      <c r="J24" s="12">
        <f t="shared" si="1"/>
        <v>-230</v>
      </c>
      <c r="K24" s="12">
        <f t="shared" si="1"/>
        <v>-230</v>
      </c>
      <c r="L24" s="12">
        <f t="shared" si="1"/>
        <v>-230</v>
      </c>
      <c r="M24" s="12">
        <f t="shared" si="1"/>
        <v>-190</v>
      </c>
    </row>
    <row r="25" spans="1:13">
      <c r="A25" t="s">
        <v>42</v>
      </c>
      <c r="B25" s="12">
        <f t="shared" si="1"/>
        <v>-99</v>
      </c>
      <c r="C25" s="12">
        <f t="shared" si="1"/>
        <v>-26</v>
      </c>
      <c r="D25" s="12">
        <f t="shared" si="1"/>
        <v>-65</v>
      </c>
      <c r="E25" s="12">
        <f t="shared" si="1"/>
        <v>-46</v>
      </c>
      <c r="F25" s="12">
        <f t="shared" si="1"/>
        <v>-210</v>
      </c>
      <c r="G25" s="12">
        <f t="shared" si="1"/>
        <v>-210</v>
      </c>
      <c r="H25" s="12">
        <f t="shared" si="1"/>
        <v>-180</v>
      </c>
      <c r="I25" s="12">
        <f t="shared" si="1"/>
        <v>0</v>
      </c>
      <c r="J25" s="12">
        <f t="shared" si="1"/>
        <v>-220</v>
      </c>
      <c r="K25" s="12">
        <f t="shared" si="1"/>
        <v>-230</v>
      </c>
      <c r="L25" s="12">
        <f t="shared" si="1"/>
        <v>-230</v>
      </c>
      <c r="M25" s="12">
        <f t="shared" si="1"/>
        <v>-200</v>
      </c>
    </row>
    <row r="26" spans="1:13">
      <c r="A26" t="s">
        <v>43</v>
      </c>
      <c r="B26" s="12">
        <f t="shared" si="1"/>
        <v>-51</v>
      </c>
      <c r="C26" s="12">
        <f t="shared" si="1"/>
        <v>-10</v>
      </c>
      <c r="D26" s="12">
        <f t="shared" si="1"/>
        <v>-6</v>
      </c>
      <c r="E26" s="12">
        <f t="shared" si="1"/>
        <v>-26</v>
      </c>
      <c r="F26" s="12">
        <f t="shared" si="1"/>
        <v>-200</v>
      </c>
      <c r="G26" s="12">
        <f t="shared" si="1"/>
        <v>-200</v>
      </c>
      <c r="H26" s="12">
        <f t="shared" si="1"/>
        <v>0</v>
      </c>
      <c r="I26" s="12">
        <f t="shared" si="1"/>
        <v>-200</v>
      </c>
      <c r="J26" s="12">
        <f t="shared" si="1"/>
        <v>-200</v>
      </c>
      <c r="K26" s="12">
        <f t="shared" si="1"/>
        <v>-200</v>
      </c>
      <c r="L26" s="12">
        <f t="shared" si="1"/>
        <v>-200</v>
      </c>
      <c r="M26" s="12">
        <f t="shared" si="1"/>
        <v>-190</v>
      </c>
    </row>
    <row r="27" spans="1:13">
      <c r="A27" t="s">
        <v>44</v>
      </c>
      <c r="B27" s="12">
        <f t="shared" si="1"/>
        <v>35</v>
      </c>
      <c r="C27" s="12">
        <f t="shared" si="1"/>
        <v>-44</v>
      </c>
      <c r="D27" s="12">
        <f t="shared" si="1"/>
        <v>-96</v>
      </c>
      <c r="E27" s="12">
        <f t="shared" si="1"/>
        <v>-96</v>
      </c>
      <c r="F27" s="12">
        <f t="shared" si="1"/>
        <v>-96</v>
      </c>
      <c r="G27" s="12">
        <f t="shared" si="1"/>
        <v>-80</v>
      </c>
      <c r="H27" s="12">
        <f t="shared" si="1"/>
        <v>-96</v>
      </c>
      <c r="I27" s="12">
        <f t="shared" si="1"/>
        <v>0</v>
      </c>
      <c r="J27" s="12">
        <f t="shared" si="1"/>
        <v>-96</v>
      </c>
      <c r="K27" s="12">
        <f t="shared" si="1"/>
        <v>-96</v>
      </c>
      <c r="L27" s="12">
        <f t="shared" si="1"/>
        <v>-96</v>
      </c>
      <c r="M27" s="12">
        <f t="shared" si="1"/>
        <v>-80</v>
      </c>
    </row>
    <row r="28" spans="1:13">
      <c r="A28" t="s">
        <v>45</v>
      </c>
      <c r="B28" s="12">
        <f t="shared" si="1"/>
        <v>0</v>
      </c>
      <c r="C28" s="12">
        <f t="shared" si="1"/>
        <v>77</v>
      </c>
      <c r="D28" s="12">
        <f t="shared" si="1"/>
        <v>172</v>
      </c>
      <c r="E28" s="12">
        <f t="shared" si="1"/>
        <v>188</v>
      </c>
      <c r="F28" s="12">
        <f t="shared" si="1"/>
        <v>-120</v>
      </c>
      <c r="G28" s="12">
        <f t="shared" si="1"/>
        <v>-180</v>
      </c>
      <c r="H28" s="12">
        <f t="shared" si="1"/>
        <v>0</v>
      </c>
      <c r="I28" s="12">
        <f t="shared" si="1"/>
        <v>-180</v>
      </c>
      <c r="J28" s="12">
        <f t="shared" si="1"/>
        <v>-200</v>
      </c>
      <c r="K28" s="12">
        <f t="shared" si="1"/>
        <v>-200</v>
      </c>
      <c r="L28" s="12">
        <f t="shared" si="1"/>
        <v>-200</v>
      </c>
      <c r="M28" s="12">
        <f t="shared" si="1"/>
        <v>-180</v>
      </c>
    </row>
    <row r="29" spans="1:13">
      <c r="B29" s="12">
        <f t="shared" si="1"/>
        <v>0</v>
      </c>
      <c r="C29" s="12">
        <f t="shared" si="1"/>
        <v>0</v>
      </c>
      <c r="D29" s="12">
        <f t="shared" si="1"/>
        <v>0</v>
      </c>
      <c r="E29" s="12">
        <f t="shared" si="1"/>
        <v>0</v>
      </c>
      <c r="F29" s="12">
        <f t="shared" si="1"/>
        <v>0</v>
      </c>
      <c r="G29" s="12">
        <f t="shared" si="1"/>
        <v>0</v>
      </c>
      <c r="H29" s="12">
        <f t="shared" si="1"/>
        <v>0</v>
      </c>
      <c r="I29" s="12">
        <f t="shared" si="1"/>
        <v>0</v>
      </c>
      <c r="J29" s="12">
        <f t="shared" si="1"/>
        <v>0</v>
      </c>
      <c r="K29" s="12">
        <f t="shared" si="1"/>
        <v>0</v>
      </c>
      <c r="L29" s="12">
        <f t="shared" si="1"/>
        <v>0</v>
      </c>
      <c r="M29" s="12">
        <f t="shared" si="1"/>
        <v>0</v>
      </c>
    </row>
    <row r="30" spans="1:13">
      <c r="B30" s="12">
        <f t="shared" si="1"/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2">
        <f t="shared" si="1"/>
        <v>0</v>
      </c>
      <c r="H30" s="12">
        <f t="shared" si="1"/>
        <v>0</v>
      </c>
      <c r="I30" s="12">
        <f t="shared" si="1"/>
        <v>0</v>
      </c>
      <c r="J30" s="12">
        <f t="shared" si="1"/>
        <v>0</v>
      </c>
      <c r="K30" s="12">
        <f t="shared" si="1"/>
        <v>0</v>
      </c>
      <c r="L30" s="12">
        <f t="shared" si="1"/>
        <v>0</v>
      </c>
      <c r="M30" s="12">
        <f t="shared" si="1"/>
        <v>0</v>
      </c>
    </row>
    <row r="31" spans="1:13">
      <c r="B31" s="12">
        <f t="shared" si="1"/>
        <v>0</v>
      </c>
      <c r="C31" s="12">
        <f t="shared" si="1"/>
        <v>0</v>
      </c>
      <c r="D31" s="12">
        <f t="shared" si="1"/>
        <v>0</v>
      </c>
      <c r="E31" s="12">
        <f t="shared" si="1"/>
        <v>0</v>
      </c>
      <c r="F31" s="12">
        <f t="shared" si="1"/>
        <v>0</v>
      </c>
      <c r="G31" s="12">
        <f t="shared" si="1"/>
        <v>0</v>
      </c>
      <c r="H31" s="12">
        <f t="shared" si="1"/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</row>
    <row r="32" spans="1:13">
      <c r="B32" s="12">
        <f t="shared" si="1"/>
        <v>0</v>
      </c>
      <c r="C32" s="12">
        <f t="shared" si="1"/>
        <v>0</v>
      </c>
      <c r="D32" s="12">
        <f t="shared" si="1"/>
        <v>0</v>
      </c>
      <c r="E32" s="12">
        <f t="shared" si="1"/>
        <v>0</v>
      </c>
      <c r="F32" s="12">
        <f t="shared" si="1"/>
        <v>0</v>
      </c>
      <c r="G32" s="12">
        <f t="shared" si="1"/>
        <v>0</v>
      </c>
      <c r="H32" s="12">
        <f t="shared" si="1"/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</row>
    <row r="33" spans="1:13">
      <c r="B33" s="12">
        <f t="shared" si="1"/>
        <v>0</v>
      </c>
      <c r="C33" s="12">
        <f t="shared" si="1"/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</row>
    <row r="34" spans="1:13">
      <c r="B34" s="12">
        <f t="shared" si="1"/>
        <v>0</v>
      </c>
      <c r="C34" s="12">
        <f t="shared" si="1"/>
        <v>0</v>
      </c>
      <c r="D34" s="12">
        <f t="shared" si="1"/>
        <v>0</v>
      </c>
      <c r="E34" s="12">
        <f t="shared" si="1"/>
        <v>0</v>
      </c>
      <c r="F34" s="12">
        <f t="shared" si="1"/>
        <v>0</v>
      </c>
      <c r="G34" s="12">
        <f t="shared" si="1"/>
        <v>0</v>
      </c>
      <c r="H34" s="12">
        <f t="shared" si="1"/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</row>
    <row r="35" spans="1:13" ht="15" thickBot="1">
      <c r="B35" s="12">
        <f t="shared" si="1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</row>
    <row r="36" spans="1:13" ht="15" thickBot="1">
      <c r="B36" s="11">
        <f t="shared" ref="B36:M36" si="2">SUM(B22:B35)</f>
        <v>-337</v>
      </c>
      <c r="C36" s="11">
        <f t="shared" si="2"/>
        <v>-176</v>
      </c>
      <c r="D36" s="11">
        <f t="shared" si="2"/>
        <v>-223</v>
      </c>
      <c r="E36" s="11">
        <f t="shared" si="2"/>
        <v>-238</v>
      </c>
      <c r="F36" s="11">
        <f t="shared" si="2"/>
        <v>-1076</v>
      </c>
      <c r="G36" s="11">
        <f t="shared" si="2"/>
        <v>-1010</v>
      </c>
      <c r="H36" s="11">
        <f t="shared" si="2"/>
        <v>-456</v>
      </c>
      <c r="I36" s="11">
        <f t="shared" si="2"/>
        <v>-720</v>
      </c>
      <c r="J36" s="11">
        <f t="shared" si="2"/>
        <v>-1176</v>
      </c>
      <c r="K36" s="11">
        <f t="shared" si="2"/>
        <v>-1186</v>
      </c>
      <c r="L36" s="11">
        <f t="shared" si="2"/>
        <v>-1186</v>
      </c>
      <c r="M36" s="11">
        <f t="shared" si="2"/>
        <v>-1040</v>
      </c>
    </row>
    <row r="38" spans="1:13" s="2" customFormat="1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2" t="s">
        <v>0</v>
      </c>
      <c r="M38" s="2" t="s">
        <v>0</v>
      </c>
    </row>
    <row r="39" spans="1:13">
      <c r="A39" s="1" t="s">
        <v>2</v>
      </c>
      <c r="B39" s="1">
        <f>SUM(B40:B46)</f>
        <v>1120</v>
      </c>
      <c r="C39" s="1">
        <f t="shared" ref="C39:M39" si="3">SUM(C40:C46)</f>
        <v>1076</v>
      </c>
      <c r="D39" s="1">
        <f t="shared" si="3"/>
        <v>1106</v>
      </c>
      <c r="E39" s="1">
        <f t="shared" si="3"/>
        <v>1066</v>
      </c>
      <c r="F39" s="1">
        <f t="shared" si="3"/>
        <v>1076</v>
      </c>
      <c r="G39" s="1">
        <f t="shared" si="3"/>
        <v>1010</v>
      </c>
      <c r="H39" s="1">
        <f t="shared" si="3"/>
        <v>456</v>
      </c>
      <c r="I39" s="1">
        <f t="shared" si="3"/>
        <v>720</v>
      </c>
      <c r="J39" s="1">
        <f t="shared" si="3"/>
        <v>1176</v>
      </c>
      <c r="K39" s="1">
        <f t="shared" si="3"/>
        <v>1186</v>
      </c>
      <c r="L39" s="1">
        <f t="shared" si="3"/>
        <v>1186</v>
      </c>
      <c r="M39" s="1">
        <f t="shared" si="3"/>
        <v>1040</v>
      </c>
    </row>
    <row r="40" spans="1:13">
      <c r="A40" t="s">
        <v>39</v>
      </c>
      <c r="B40">
        <v>220</v>
      </c>
      <c r="C40">
        <v>130</v>
      </c>
      <c r="D40">
        <v>140</v>
      </c>
      <c r="E40">
        <v>130</v>
      </c>
    </row>
    <row r="41" spans="1:13">
      <c r="A41" t="s">
        <v>40</v>
      </c>
      <c r="B41">
        <v>220</v>
      </c>
      <c r="C41">
        <v>230</v>
      </c>
      <c r="D41">
        <v>230</v>
      </c>
      <c r="E41">
        <v>230</v>
      </c>
      <c r="F41">
        <v>230</v>
      </c>
      <c r="G41">
        <v>120</v>
      </c>
      <c r="H41">
        <v>180</v>
      </c>
      <c r="I41">
        <v>120</v>
      </c>
      <c r="J41">
        <v>230</v>
      </c>
      <c r="K41">
        <v>230</v>
      </c>
      <c r="L41">
        <v>230</v>
      </c>
      <c r="M41">
        <v>200</v>
      </c>
    </row>
    <row r="42" spans="1:13">
      <c r="A42" t="s">
        <v>41</v>
      </c>
      <c r="B42">
        <v>210</v>
      </c>
      <c r="C42">
        <v>230</v>
      </c>
      <c r="D42">
        <v>230</v>
      </c>
      <c r="E42">
        <v>220</v>
      </c>
      <c r="F42">
        <v>220</v>
      </c>
      <c r="G42">
        <v>220</v>
      </c>
      <c r="H42">
        <v>0</v>
      </c>
      <c r="I42">
        <v>220</v>
      </c>
      <c r="J42">
        <v>230</v>
      </c>
      <c r="K42">
        <v>230</v>
      </c>
      <c r="L42">
        <v>230</v>
      </c>
      <c r="M42">
        <v>190</v>
      </c>
    </row>
    <row r="43" spans="1:13">
      <c r="A43" t="s">
        <v>42</v>
      </c>
      <c r="B43">
        <v>190</v>
      </c>
      <c r="C43">
        <v>190</v>
      </c>
      <c r="D43">
        <v>210</v>
      </c>
      <c r="E43">
        <v>200</v>
      </c>
      <c r="F43">
        <v>210</v>
      </c>
      <c r="G43">
        <v>210</v>
      </c>
      <c r="H43">
        <v>180</v>
      </c>
      <c r="I43">
        <v>0</v>
      </c>
      <c r="J43">
        <v>220</v>
      </c>
      <c r="K43">
        <v>230</v>
      </c>
      <c r="L43">
        <v>230</v>
      </c>
      <c r="M43">
        <v>200</v>
      </c>
    </row>
    <row r="44" spans="1:13">
      <c r="A44" t="s">
        <v>43</v>
      </c>
      <c r="B44">
        <v>190</v>
      </c>
      <c r="C44">
        <v>200</v>
      </c>
      <c r="D44">
        <v>200</v>
      </c>
      <c r="E44">
        <v>190</v>
      </c>
      <c r="F44">
        <v>200</v>
      </c>
      <c r="G44">
        <v>200</v>
      </c>
      <c r="H44">
        <v>0</v>
      </c>
      <c r="I44">
        <v>200</v>
      </c>
      <c r="J44">
        <v>200</v>
      </c>
      <c r="K44">
        <v>200</v>
      </c>
      <c r="L44">
        <v>200</v>
      </c>
      <c r="M44">
        <v>190</v>
      </c>
    </row>
    <row r="45" spans="1:13">
      <c r="A45" t="s">
        <v>44</v>
      </c>
      <c r="B45">
        <v>90</v>
      </c>
      <c r="C45">
        <v>96</v>
      </c>
      <c r="D45">
        <v>96</v>
      </c>
      <c r="E45">
        <v>96</v>
      </c>
      <c r="F45">
        <v>96</v>
      </c>
      <c r="G45">
        <v>80</v>
      </c>
      <c r="H45">
        <v>96</v>
      </c>
      <c r="I45">
        <v>0</v>
      </c>
      <c r="J45">
        <v>96</v>
      </c>
      <c r="K45">
        <v>96</v>
      </c>
      <c r="L45">
        <v>96</v>
      </c>
      <c r="M45">
        <v>80</v>
      </c>
    </row>
    <row r="46" spans="1:13">
      <c r="A46" t="s">
        <v>45</v>
      </c>
      <c r="F46">
        <v>120</v>
      </c>
      <c r="G46">
        <v>180</v>
      </c>
      <c r="H46">
        <v>0</v>
      </c>
      <c r="I46">
        <v>180</v>
      </c>
      <c r="J46">
        <v>200</v>
      </c>
      <c r="K46">
        <v>200</v>
      </c>
      <c r="L46">
        <v>200</v>
      </c>
      <c r="M46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5972-B11A-4C0D-898E-D5644FAEA3CD}">
  <dimension ref="A1:M47"/>
  <sheetViews>
    <sheetView topLeftCell="A43" zoomScaleNormal="100" workbookViewId="0">
      <selection activeCell="E10" sqref="E10"/>
    </sheetView>
  </sheetViews>
  <sheetFormatPr defaultRowHeight="14.4"/>
  <cols>
    <col min="1" max="1" width="32.33203125" bestFit="1" customWidth="1"/>
    <col min="2" max="4" width="11" bestFit="1" customWidth="1"/>
  </cols>
  <sheetData>
    <row r="1" spans="1:13" s="2" customFormat="1">
      <c r="A1" s="5" t="s">
        <v>3</v>
      </c>
      <c r="B1" s="6">
        <v>46081</v>
      </c>
      <c r="C1" s="6">
        <v>46086</v>
      </c>
      <c r="D1" s="6">
        <v>46106</v>
      </c>
      <c r="E1" s="6"/>
      <c r="F1" s="6"/>
      <c r="G1" s="6"/>
      <c r="H1" s="6"/>
      <c r="I1" s="6"/>
      <c r="J1" s="6"/>
      <c r="K1" s="6"/>
      <c r="L1" s="6"/>
      <c r="M1" s="6"/>
    </row>
    <row r="2" spans="1:13" s="9" customFormat="1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 s="2" customFormat="1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>
      <c r="A4" t="s">
        <v>85</v>
      </c>
      <c r="B4" s="10">
        <v>83</v>
      </c>
      <c r="C4" s="10">
        <v>157</v>
      </c>
      <c r="D4" s="10">
        <v>164</v>
      </c>
      <c r="E4" s="10">
        <v>159</v>
      </c>
      <c r="F4" s="10"/>
      <c r="G4" s="10"/>
      <c r="H4" s="10"/>
      <c r="I4" s="10"/>
      <c r="J4" s="10"/>
      <c r="K4" s="10"/>
      <c r="L4" s="10"/>
      <c r="M4" s="10"/>
    </row>
    <row r="5" spans="1:13">
      <c r="A5" t="s">
        <v>84</v>
      </c>
      <c r="B5" s="10">
        <v>179</v>
      </c>
      <c r="C5" s="10">
        <v>199</v>
      </c>
      <c r="D5" s="10">
        <v>250</v>
      </c>
      <c r="E5" s="10">
        <v>283</v>
      </c>
      <c r="F5" s="10"/>
      <c r="G5" s="10"/>
      <c r="H5" s="10"/>
      <c r="I5" s="10"/>
      <c r="J5" s="10"/>
      <c r="K5" s="10"/>
      <c r="L5" s="10"/>
      <c r="M5" s="10"/>
    </row>
    <row r="6" spans="1:13">
      <c r="A6" t="s">
        <v>83</v>
      </c>
      <c r="B6" s="10">
        <v>195</v>
      </c>
      <c r="C6" s="10">
        <v>261</v>
      </c>
      <c r="D6" s="10">
        <v>217</v>
      </c>
      <c r="E6" s="10">
        <v>227</v>
      </c>
      <c r="F6" s="10"/>
      <c r="G6" s="10"/>
      <c r="H6" s="10"/>
      <c r="I6" s="10"/>
      <c r="J6" s="10"/>
      <c r="K6" s="10"/>
      <c r="L6" s="10"/>
      <c r="M6" s="10"/>
    </row>
    <row r="7" spans="1:13">
      <c r="A7" t="s">
        <v>82</v>
      </c>
      <c r="B7" s="10">
        <v>114</v>
      </c>
      <c r="C7" s="10">
        <v>97</v>
      </c>
      <c r="D7" s="10">
        <v>179</v>
      </c>
      <c r="E7" s="10">
        <v>170</v>
      </c>
      <c r="F7" s="10"/>
      <c r="G7" s="10"/>
      <c r="H7" s="10"/>
      <c r="I7" s="10"/>
      <c r="J7" s="10"/>
      <c r="K7" s="10"/>
      <c r="L7" s="10"/>
      <c r="M7" s="10"/>
    </row>
    <row r="8" spans="1:13">
      <c r="A8" t="s">
        <v>81</v>
      </c>
      <c r="B8" s="10">
        <v>183</v>
      </c>
      <c r="C8" s="10">
        <v>170</v>
      </c>
      <c r="D8" s="10">
        <v>254</v>
      </c>
      <c r="E8" s="10">
        <v>166</v>
      </c>
      <c r="F8" s="10"/>
      <c r="G8" s="10"/>
      <c r="H8" s="10"/>
      <c r="I8" s="10"/>
      <c r="J8" s="10"/>
      <c r="K8" s="10"/>
      <c r="L8" s="10"/>
      <c r="M8" s="10"/>
    </row>
    <row r="9" spans="1:13">
      <c r="A9" t="s">
        <v>39</v>
      </c>
      <c r="B9" s="10"/>
      <c r="C9" s="10"/>
      <c r="D9" s="10"/>
      <c r="E9" s="10">
        <v>67</v>
      </c>
      <c r="F9" s="10"/>
      <c r="G9" s="10"/>
      <c r="H9" s="10"/>
      <c r="I9" s="10"/>
      <c r="J9" s="10"/>
      <c r="K9" s="10"/>
      <c r="L9" s="10"/>
      <c r="M9" s="10"/>
    </row>
    <row r="10" spans="1:13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" thickBot="1">
      <c r="B18" s="11">
        <f t="shared" ref="B18:M18" si="0">SUM(B4:B17)</f>
        <v>754</v>
      </c>
      <c r="C18" s="11">
        <f t="shared" si="0"/>
        <v>884</v>
      </c>
      <c r="D18" s="11">
        <f t="shared" si="0"/>
        <v>1064</v>
      </c>
      <c r="E18" s="11">
        <f t="shared" si="0"/>
        <v>1072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3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3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>
      <c r="A22" t="s">
        <v>46</v>
      </c>
      <c r="B22" s="12">
        <f t="shared" ref="B22:M35" si="1">SUM(B4-B40)</f>
        <v>-107</v>
      </c>
      <c r="C22" s="36">
        <f t="shared" si="1"/>
        <v>-33</v>
      </c>
      <c r="D22" s="36">
        <f t="shared" si="1"/>
        <v>-26</v>
      </c>
      <c r="E22" s="36">
        <f t="shared" si="1"/>
        <v>-31</v>
      </c>
      <c r="F22" s="36">
        <f t="shared" si="1"/>
        <v>-190</v>
      </c>
      <c r="G22" s="36">
        <f t="shared" si="1"/>
        <v>-190</v>
      </c>
      <c r="H22" s="36">
        <f t="shared" si="1"/>
        <v>0</v>
      </c>
      <c r="I22" s="36">
        <f t="shared" si="1"/>
        <v>-190</v>
      </c>
      <c r="J22" s="36">
        <f t="shared" si="1"/>
        <v>-190</v>
      </c>
      <c r="K22" s="36">
        <f t="shared" si="1"/>
        <v>-190</v>
      </c>
      <c r="L22" s="36">
        <f t="shared" si="1"/>
        <v>-190</v>
      </c>
      <c r="M22" s="36">
        <f t="shared" si="1"/>
        <v>-190</v>
      </c>
    </row>
    <row r="23" spans="1:13">
      <c r="A23" t="s">
        <v>47</v>
      </c>
      <c r="B23" s="12">
        <f t="shared" si="1"/>
        <v>-41</v>
      </c>
      <c r="C23" s="36">
        <f t="shared" si="1"/>
        <v>-31</v>
      </c>
      <c r="D23" s="36">
        <f t="shared" si="1"/>
        <v>20</v>
      </c>
      <c r="E23" s="36">
        <f t="shared" si="1"/>
        <v>63</v>
      </c>
      <c r="F23" s="36">
        <f t="shared" si="1"/>
        <v>-220</v>
      </c>
      <c r="G23" s="36">
        <f t="shared" si="1"/>
        <v>-230</v>
      </c>
      <c r="H23" s="36">
        <f t="shared" si="1"/>
        <v>-210</v>
      </c>
      <c r="I23" s="36">
        <f t="shared" si="1"/>
        <v>0</v>
      </c>
      <c r="J23" s="36">
        <f t="shared" si="1"/>
        <v>-230</v>
      </c>
      <c r="K23" s="36">
        <f t="shared" si="1"/>
        <v>-230</v>
      </c>
      <c r="L23" s="36">
        <f t="shared" si="1"/>
        <v>-230</v>
      </c>
      <c r="M23" s="36">
        <f t="shared" si="1"/>
        <v>-190</v>
      </c>
    </row>
    <row r="24" spans="1:13">
      <c r="A24" t="s">
        <v>48</v>
      </c>
      <c r="B24" s="12">
        <f t="shared" si="1"/>
        <v>-25</v>
      </c>
      <c r="C24" s="36">
        <f t="shared" si="1"/>
        <v>31</v>
      </c>
      <c r="D24" s="36">
        <f t="shared" si="1"/>
        <v>-13</v>
      </c>
      <c r="E24" s="36">
        <f t="shared" si="1"/>
        <v>7</v>
      </c>
      <c r="F24" s="36">
        <f t="shared" si="1"/>
        <v>-220</v>
      </c>
      <c r="G24" s="36">
        <f t="shared" si="1"/>
        <v>-230</v>
      </c>
      <c r="H24" s="36">
        <f t="shared" si="1"/>
        <v>0</v>
      </c>
      <c r="I24" s="36">
        <f t="shared" si="1"/>
        <v>-230</v>
      </c>
      <c r="J24" s="36">
        <f t="shared" si="1"/>
        <v>-230</v>
      </c>
      <c r="K24" s="36">
        <f t="shared" si="1"/>
        <v>-230</v>
      </c>
      <c r="L24" s="36">
        <f t="shared" si="1"/>
        <v>-230</v>
      </c>
      <c r="M24" s="36">
        <f t="shared" si="1"/>
        <v>-200</v>
      </c>
    </row>
    <row r="25" spans="1:13">
      <c r="A25" t="s">
        <v>49</v>
      </c>
      <c r="B25" s="12">
        <f t="shared" si="1"/>
        <v>-61</v>
      </c>
      <c r="C25" s="36">
        <f t="shared" si="1"/>
        <v>-98</v>
      </c>
      <c r="D25" s="36">
        <f t="shared" si="1"/>
        <v>-16</v>
      </c>
      <c r="E25" s="36">
        <f t="shared" si="1"/>
        <v>-20</v>
      </c>
      <c r="F25" s="36">
        <f t="shared" si="1"/>
        <v>-195</v>
      </c>
      <c r="G25" s="36">
        <f t="shared" si="1"/>
        <v>-195</v>
      </c>
      <c r="H25" s="36">
        <f t="shared" si="1"/>
        <v>-180</v>
      </c>
      <c r="I25" s="36">
        <f t="shared" si="1"/>
        <v>0</v>
      </c>
      <c r="J25" s="36">
        <f t="shared" si="1"/>
        <v>-190</v>
      </c>
      <c r="K25" s="36">
        <f t="shared" si="1"/>
        <v>-190</v>
      </c>
      <c r="L25" s="36">
        <f t="shared" si="1"/>
        <v>-190</v>
      </c>
      <c r="M25" s="36">
        <f t="shared" si="1"/>
        <v>-180</v>
      </c>
    </row>
    <row r="26" spans="1:13">
      <c r="A26" t="s">
        <v>1</v>
      </c>
      <c r="B26" s="12">
        <f t="shared" si="1"/>
        <v>-17</v>
      </c>
      <c r="C26" s="36">
        <f t="shared" si="1"/>
        <v>-30</v>
      </c>
      <c r="D26" s="36">
        <f t="shared" si="1"/>
        <v>54</v>
      </c>
      <c r="E26" s="36">
        <f t="shared" si="1"/>
        <v>-34</v>
      </c>
      <c r="F26" s="36">
        <f t="shared" si="1"/>
        <v>-200</v>
      </c>
      <c r="G26" s="36">
        <f t="shared" si="1"/>
        <v>-200</v>
      </c>
      <c r="H26" s="36">
        <f t="shared" si="1"/>
        <v>-110</v>
      </c>
      <c r="I26" s="36">
        <f t="shared" si="1"/>
        <v>-110</v>
      </c>
      <c r="J26" s="36">
        <f t="shared" si="1"/>
        <v>-200</v>
      </c>
      <c r="K26" s="36">
        <f t="shared" si="1"/>
        <v>-200</v>
      </c>
      <c r="L26" s="36">
        <f t="shared" si="1"/>
        <v>-200</v>
      </c>
      <c r="M26" s="36">
        <f t="shared" si="1"/>
        <v>-200</v>
      </c>
    </row>
    <row r="27" spans="1:13">
      <c r="B27" s="12">
        <f t="shared" si="1"/>
        <v>0</v>
      </c>
      <c r="C27" s="12">
        <f t="shared" si="1"/>
        <v>0</v>
      </c>
      <c r="D27" s="12">
        <f t="shared" si="1"/>
        <v>0</v>
      </c>
      <c r="E27" s="12">
        <f t="shared" si="1"/>
        <v>67</v>
      </c>
      <c r="F27" s="12">
        <f t="shared" si="1"/>
        <v>0</v>
      </c>
      <c r="G27" s="12">
        <f t="shared" si="1"/>
        <v>0</v>
      </c>
      <c r="H27" s="12">
        <f t="shared" si="1"/>
        <v>0</v>
      </c>
      <c r="I27" s="12">
        <f t="shared" si="1"/>
        <v>0</v>
      </c>
      <c r="J27" s="12">
        <f t="shared" si="1"/>
        <v>0</v>
      </c>
      <c r="K27" s="12">
        <f t="shared" si="1"/>
        <v>0</v>
      </c>
      <c r="L27" s="12">
        <f t="shared" si="1"/>
        <v>0</v>
      </c>
      <c r="M27" s="12">
        <f t="shared" si="1"/>
        <v>0</v>
      </c>
    </row>
    <row r="28" spans="1:13">
      <c r="B28" s="12">
        <f t="shared" si="1"/>
        <v>0</v>
      </c>
      <c r="C28" s="12">
        <f t="shared" si="1"/>
        <v>0</v>
      </c>
      <c r="D28" s="12">
        <f t="shared" si="1"/>
        <v>0</v>
      </c>
      <c r="E28" s="12">
        <f t="shared" si="1"/>
        <v>0</v>
      </c>
      <c r="F28" s="12">
        <f t="shared" si="1"/>
        <v>0</v>
      </c>
      <c r="G28" s="12">
        <f t="shared" si="1"/>
        <v>0</v>
      </c>
      <c r="H28" s="12">
        <f t="shared" si="1"/>
        <v>0</v>
      </c>
      <c r="I28" s="12">
        <f t="shared" si="1"/>
        <v>0</v>
      </c>
      <c r="J28" s="12">
        <f t="shared" si="1"/>
        <v>0</v>
      </c>
      <c r="K28" s="12">
        <f t="shared" si="1"/>
        <v>0</v>
      </c>
      <c r="L28" s="12">
        <f t="shared" si="1"/>
        <v>0</v>
      </c>
      <c r="M28" s="12">
        <f t="shared" si="1"/>
        <v>0</v>
      </c>
    </row>
    <row r="29" spans="1:13">
      <c r="B29" s="12">
        <f t="shared" si="1"/>
        <v>0</v>
      </c>
      <c r="C29" s="12">
        <f t="shared" si="1"/>
        <v>0</v>
      </c>
      <c r="D29" s="12">
        <f t="shared" si="1"/>
        <v>0</v>
      </c>
      <c r="E29" s="12">
        <f t="shared" si="1"/>
        <v>0</v>
      </c>
      <c r="F29" s="12">
        <f t="shared" si="1"/>
        <v>0</v>
      </c>
      <c r="G29" s="12">
        <f t="shared" si="1"/>
        <v>0</v>
      </c>
      <c r="H29" s="12">
        <f t="shared" si="1"/>
        <v>0</v>
      </c>
      <c r="I29" s="12">
        <f t="shared" si="1"/>
        <v>0</v>
      </c>
      <c r="J29" s="12">
        <f t="shared" si="1"/>
        <v>0</v>
      </c>
      <c r="K29" s="12">
        <f t="shared" si="1"/>
        <v>0</v>
      </c>
      <c r="L29" s="12">
        <f t="shared" si="1"/>
        <v>0</v>
      </c>
      <c r="M29" s="12">
        <f t="shared" si="1"/>
        <v>0</v>
      </c>
    </row>
    <row r="30" spans="1:13">
      <c r="B30" s="12">
        <f t="shared" si="1"/>
        <v>0</v>
      </c>
      <c r="C30" s="12">
        <f t="shared" si="1"/>
        <v>0</v>
      </c>
      <c r="D30" s="12">
        <f t="shared" si="1"/>
        <v>0</v>
      </c>
      <c r="E30" s="12">
        <v>0</v>
      </c>
      <c r="F30" s="12">
        <f t="shared" si="1"/>
        <v>0</v>
      </c>
      <c r="G30" s="12">
        <f t="shared" si="1"/>
        <v>0</v>
      </c>
      <c r="H30" s="12">
        <f t="shared" si="1"/>
        <v>0</v>
      </c>
      <c r="I30" s="12">
        <f t="shared" si="1"/>
        <v>0</v>
      </c>
      <c r="J30" s="12">
        <f t="shared" si="1"/>
        <v>0</v>
      </c>
      <c r="K30" s="12">
        <f t="shared" si="1"/>
        <v>0</v>
      </c>
      <c r="L30" s="12">
        <f t="shared" si="1"/>
        <v>0</v>
      </c>
      <c r="M30" s="12">
        <f t="shared" si="1"/>
        <v>0</v>
      </c>
    </row>
    <row r="31" spans="1:13">
      <c r="B31" s="12">
        <f t="shared" si="1"/>
        <v>0</v>
      </c>
      <c r="C31" s="12">
        <f t="shared" si="1"/>
        <v>0</v>
      </c>
      <c r="D31" s="12">
        <f t="shared" si="1"/>
        <v>0</v>
      </c>
      <c r="E31" s="12">
        <f t="shared" si="1"/>
        <v>0</v>
      </c>
      <c r="F31" s="12">
        <f t="shared" si="1"/>
        <v>0</v>
      </c>
      <c r="G31" s="12">
        <f t="shared" si="1"/>
        <v>0</v>
      </c>
      <c r="H31" s="12">
        <f t="shared" si="1"/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</row>
    <row r="32" spans="1:13">
      <c r="B32" s="12">
        <f t="shared" si="1"/>
        <v>0</v>
      </c>
      <c r="C32" s="12">
        <f t="shared" si="1"/>
        <v>0</v>
      </c>
      <c r="D32" s="12">
        <f t="shared" si="1"/>
        <v>0</v>
      </c>
      <c r="E32" s="12">
        <f t="shared" si="1"/>
        <v>0</v>
      </c>
      <c r="F32" s="12">
        <f t="shared" si="1"/>
        <v>0</v>
      </c>
      <c r="G32" s="12">
        <f t="shared" si="1"/>
        <v>0</v>
      </c>
      <c r="H32" s="12">
        <f t="shared" si="1"/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</row>
    <row r="33" spans="1:13">
      <c r="B33" s="12">
        <f t="shared" si="1"/>
        <v>0</v>
      </c>
      <c r="C33" s="12">
        <f t="shared" si="1"/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</row>
    <row r="34" spans="1:13">
      <c r="B34" s="12">
        <f t="shared" si="1"/>
        <v>0</v>
      </c>
      <c r="C34" s="12">
        <f t="shared" si="1"/>
        <v>0</v>
      </c>
      <c r="D34" s="12">
        <f t="shared" si="1"/>
        <v>0</v>
      </c>
      <c r="E34" s="12">
        <f t="shared" si="1"/>
        <v>0</v>
      </c>
      <c r="F34" s="12">
        <f t="shared" si="1"/>
        <v>0</v>
      </c>
      <c r="G34" s="12">
        <f t="shared" si="1"/>
        <v>0</v>
      </c>
      <c r="H34" s="12">
        <f t="shared" si="1"/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</row>
    <row r="35" spans="1:13" ht="15" thickBot="1">
      <c r="B35" s="12">
        <f t="shared" si="1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</row>
    <row r="36" spans="1:13" ht="15" thickBot="1">
      <c r="B36" s="11">
        <f t="shared" ref="B36:M36" si="2">SUM(B22:B35)</f>
        <v>-251</v>
      </c>
      <c r="C36" s="11">
        <f t="shared" si="2"/>
        <v>-161</v>
      </c>
      <c r="D36" s="11">
        <f t="shared" si="2"/>
        <v>19</v>
      </c>
      <c r="E36" s="11">
        <f t="shared" si="2"/>
        <v>52</v>
      </c>
      <c r="F36" s="11">
        <f t="shared" si="2"/>
        <v>-1025</v>
      </c>
      <c r="G36" s="11">
        <f t="shared" si="2"/>
        <v>-1045</v>
      </c>
      <c r="H36" s="11">
        <f t="shared" si="2"/>
        <v>-500</v>
      </c>
      <c r="I36" s="11">
        <f t="shared" si="2"/>
        <v>-530</v>
      </c>
      <c r="J36" s="11">
        <f t="shared" si="2"/>
        <v>-1040</v>
      </c>
      <c r="K36" s="11">
        <f t="shared" si="2"/>
        <v>-1040</v>
      </c>
      <c r="L36" s="11">
        <f t="shared" si="2"/>
        <v>-1040</v>
      </c>
      <c r="M36" s="11">
        <f t="shared" si="2"/>
        <v>-960</v>
      </c>
    </row>
    <row r="37" spans="1:13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s="2" customFormat="1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</row>
    <row r="39" spans="1:13">
      <c r="A39" s="1" t="s">
        <v>2</v>
      </c>
      <c r="B39" s="1">
        <f>SUM(B40:B47)</f>
        <v>1005</v>
      </c>
      <c r="C39" s="1">
        <f t="shared" ref="C39:M39" si="3">SUM(C40:C47)</f>
        <v>1045</v>
      </c>
      <c r="D39" s="1">
        <f t="shared" si="3"/>
        <v>1045</v>
      </c>
      <c r="E39" s="1">
        <f t="shared" si="3"/>
        <v>1020</v>
      </c>
      <c r="F39" s="1">
        <f t="shared" si="3"/>
        <v>1025</v>
      </c>
      <c r="G39" s="1">
        <f t="shared" si="3"/>
        <v>1045</v>
      </c>
      <c r="H39" s="1">
        <f t="shared" si="3"/>
        <v>500</v>
      </c>
      <c r="I39" s="1">
        <f t="shared" si="3"/>
        <v>530</v>
      </c>
      <c r="J39" s="1">
        <f t="shared" si="3"/>
        <v>1040</v>
      </c>
      <c r="K39" s="1">
        <f t="shared" si="3"/>
        <v>1040</v>
      </c>
      <c r="L39" s="1">
        <f t="shared" si="3"/>
        <v>1040</v>
      </c>
      <c r="M39" s="1">
        <f t="shared" si="3"/>
        <v>960</v>
      </c>
    </row>
    <row r="40" spans="1:13">
      <c r="A40" s="4" t="s">
        <v>46</v>
      </c>
      <c r="B40" s="4">
        <v>190</v>
      </c>
      <c r="C40" s="4">
        <v>190</v>
      </c>
      <c r="D40" s="4">
        <v>190</v>
      </c>
      <c r="E40" s="4">
        <v>190</v>
      </c>
      <c r="F40" s="4">
        <v>190</v>
      </c>
      <c r="G40" s="4">
        <v>190</v>
      </c>
      <c r="H40" s="4">
        <v>0</v>
      </c>
      <c r="I40" s="4">
        <v>190</v>
      </c>
      <c r="J40" s="4">
        <v>190</v>
      </c>
      <c r="K40" s="4">
        <v>190</v>
      </c>
      <c r="L40" s="4">
        <v>190</v>
      </c>
      <c r="M40" s="4">
        <v>190</v>
      </c>
    </row>
    <row r="41" spans="1:13">
      <c r="A41" s="4" t="s">
        <v>47</v>
      </c>
      <c r="B41" s="4">
        <v>220</v>
      </c>
      <c r="C41" s="4">
        <v>230</v>
      </c>
      <c r="D41" s="4">
        <v>230</v>
      </c>
      <c r="E41" s="4">
        <v>220</v>
      </c>
      <c r="F41" s="4">
        <v>220</v>
      </c>
      <c r="G41" s="4">
        <v>230</v>
      </c>
      <c r="H41" s="4">
        <v>210</v>
      </c>
      <c r="I41" s="4">
        <v>0</v>
      </c>
      <c r="J41" s="4">
        <v>230</v>
      </c>
      <c r="K41" s="4">
        <v>230</v>
      </c>
      <c r="L41" s="4">
        <v>230</v>
      </c>
      <c r="M41" s="4">
        <v>190</v>
      </c>
    </row>
    <row r="42" spans="1:13">
      <c r="A42" s="4" t="s">
        <v>48</v>
      </c>
      <c r="B42" s="4">
        <v>220</v>
      </c>
      <c r="C42" s="4">
        <v>230</v>
      </c>
      <c r="D42" s="4">
        <v>230</v>
      </c>
      <c r="E42" s="4">
        <v>220</v>
      </c>
      <c r="F42" s="4">
        <v>220</v>
      </c>
      <c r="G42" s="4">
        <v>230</v>
      </c>
      <c r="H42" s="4">
        <v>0</v>
      </c>
      <c r="I42" s="4">
        <v>230</v>
      </c>
      <c r="J42" s="4">
        <v>230</v>
      </c>
      <c r="K42" s="4">
        <v>230</v>
      </c>
      <c r="L42" s="4">
        <v>230</v>
      </c>
      <c r="M42" s="4">
        <v>200</v>
      </c>
    </row>
    <row r="43" spans="1:13">
      <c r="A43" s="4" t="s">
        <v>49</v>
      </c>
      <c r="B43" s="4">
        <v>175</v>
      </c>
      <c r="C43" s="4">
        <v>195</v>
      </c>
      <c r="D43" s="4">
        <v>195</v>
      </c>
      <c r="E43" s="4">
        <v>190</v>
      </c>
      <c r="F43" s="4">
        <v>195</v>
      </c>
      <c r="G43" s="4">
        <v>195</v>
      </c>
      <c r="H43" s="4">
        <v>180</v>
      </c>
      <c r="I43" s="4">
        <v>0</v>
      </c>
      <c r="J43" s="4">
        <v>190</v>
      </c>
      <c r="K43" s="4">
        <v>190</v>
      </c>
      <c r="L43" s="4">
        <v>190</v>
      </c>
      <c r="M43" s="4">
        <v>180</v>
      </c>
    </row>
    <row r="44" spans="1:13">
      <c r="A44" s="4" t="s">
        <v>1</v>
      </c>
      <c r="B44" s="4">
        <v>200</v>
      </c>
      <c r="C44" s="4">
        <v>200</v>
      </c>
      <c r="D44" s="4">
        <v>200</v>
      </c>
      <c r="E44" s="4">
        <v>200</v>
      </c>
      <c r="F44" s="4">
        <v>200</v>
      </c>
      <c r="G44" s="4">
        <v>200</v>
      </c>
      <c r="H44" s="4">
        <v>110</v>
      </c>
      <c r="I44" s="4">
        <v>110</v>
      </c>
      <c r="J44" s="4">
        <v>200</v>
      </c>
      <c r="K44" s="4">
        <v>200</v>
      </c>
      <c r="L44" s="4">
        <v>200</v>
      </c>
      <c r="M44" s="4">
        <v>200</v>
      </c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B783-2E34-4C01-848E-CF889B0D887D}">
  <dimension ref="A1:M53"/>
  <sheetViews>
    <sheetView topLeftCell="A15" zoomScaleNormal="100" workbookViewId="0">
      <selection activeCell="E11" sqref="E11"/>
    </sheetView>
  </sheetViews>
  <sheetFormatPr defaultColWidth="9.33203125" defaultRowHeight="14.4"/>
  <cols>
    <col min="1" max="1" width="31.5546875" style="2" bestFit="1" customWidth="1"/>
    <col min="2" max="3" width="11.6640625" style="2" bestFit="1" customWidth="1"/>
    <col min="4" max="7" width="9.44140625" style="2" bestFit="1" customWidth="1"/>
    <col min="8" max="8" width="9.33203125" style="2" bestFit="1" customWidth="1"/>
    <col min="9" max="12" width="9.44140625" style="2" bestFit="1" customWidth="1"/>
    <col min="13" max="13" width="11.33203125" style="2" bestFit="1" customWidth="1"/>
    <col min="14" max="16384" width="9.33203125" style="2"/>
  </cols>
  <sheetData>
    <row r="1" spans="1:13">
      <c r="A1" s="5" t="s">
        <v>3</v>
      </c>
      <c r="B1" s="6">
        <v>46063</v>
      </c>
      <c r="C1" s="6">
        <v>46086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s="9" customFormat="1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>
      <c r="A4" s="2" t="s">
        <v>50</v>
      </c>
      <c r="B4" s="10">
        <v>186</v>
      </c>
      <c r="C4" s="10">
        <v>206</v>
      </c>
      <c r="D4" s="10">
        <v>165</v>
      </c>
      <c r="E4" s="10">
        <v>168</v>
      </c>
      <c r="F4" s="10"/>
      <c r="G4" s="10"/>
      <c r="H4" s="10"/>
      <c r="I4" s="10"/>
      <c r="J4" s="10"/>
      <c r="K4" s="10"/>
      <c r="L4" s="10"/>
      <c r="M4" s="10"/>
    </row>
    <row r="5" spans="1:13">
      <c r="A5" s="2" t="s">
        <v>49</v>
      </c>
      <c r="B5" s="10">
        <v>170</v>
      </c>
      <c r="C5" s="10">
        <v>144</v>
      </c>
      <c r="D5" s="10">
        <v>186</v>
      </c>
      <c r="E5" s="10">
        <v>67</v>
      </c>
      <c r="F5" s="10"/>
      <c r="G5" s="10"/>
      <c r="H5" s="10"/>
      <c r="I5" s="10"/>
      <c r="J5" s="10"/>
      <c r="K5" s="10"/>
      <c r="L5" s="10"/>
      <c r="M5" s="10"/>
    </row>
    <row r="6" spans="1:13">
      <c r="A6" s="2" t="s">
        <v>51</v>
      </c>
      <c r="B6" s="10">
        <v>151</v>
      </c>
      <c r="C6" s="10">
        <v>163</v>
      </c>
      <c r="D6" s="10">
        <v>216</v>
      </c>
      <c r="E6" s="10">
        <v>169</v>
      </c>
      <c r="F6" s="10"/>
      <c r="G6" s="10"/>
      <c r="H6" s="10"/>
      <c r="I6" s="10"/>
      <c r="J6" s="10"/>
      <c r="K6" s="10"/>
      <c r="L6" s="10"/>
      <c r="M6" s="10"/>
    </row>
    <row r="7" spans="1:13">
      <c r="A7" s="2" t="s">
        <v>52</v>
      </c>
      <c r="B7" s="10">
        <v>211</v>
      </c>
      <c r="C7" s="10">
        <v>232</v>
      </c>
      <c r="D7" s="10">
        <v>202</v>
      </c>
      <c r="E7" s="10">
        <v>224</v>
      </c>
      <c r="F7" s="10"/>
      <c r="G7" s="10"/>
      <c r="H7" s="10"/>
      <c r="I7" s="10"/>
      <c r="J7" s="10"/>
      <c r="K7" s="10"/>
      <c r="L7" s="10"/>
      <c r="M7" s="10"/>
    </row>
    <row r="8" spans="1:13">
      <c r="A8" s="2" t="s">
        <v>53</v>
      </c>
      <c r="B8" s="10">
        <v>88</v>
      </c>
      <c r="C8" s="10">
        <v>103</v>
      </c>
      <c r="D8" s="10">
        <v>110</v>
      </c>
      <c r="E8" s="10">
        <v>108</v>
      </c>
      <c r="F8" s="10"/>
      <c r="G8" s="10"/>
      <c r="H8" s="10"/>
      <c r="I8" s="10"/>
      <c r="J8" s="10"/>
      <c r="K8" s="10"/>
      <c r="L8" s="10"/>
      <c r="M8" s="10"/>
    </row>
    <row r="9" spans="1:13">
      <c r="A9" s="2" t="s">
        <v>54</v>
      </c>
      <c r="B9" s="10">
        <v>88</v>
      </c>
      <c r="C9" s="10">
        <v>114</v>
      </c>
      <c r="D9" s="10">
        <v>124</v>
      </c>
      <c r="E9" s="10">
        <v>34</v>
      </c>
      <c r="F9" s="10"/>
      <c r="G9" s="10"/>
      <c r="H9" s="10"/>
      <c r="I9" s="10"/>
      <c r="J9" s="10"/>
      <c r="K9" s="10"/>
      <c r="L9" s="10"/>
      <c r="M9" s="10"/>
    </row>
    <row r="10" spans="1:13">
      <c r="A10" s="2" t="s">
        <v>194</v>
      </c>
      <c r="B10" s="10"/>
      <c r="C10" s="10"/>
      <c r="D10" s="10"/>
      <c r="E10" s="10">
        <v>61</v>
      </c>
      <c r="F10" s="10"/>
      <c r="G10" s="10"/>
      <c r="H10" s="10"/>
      <c r="I10" s="10"/>
      <c r="J10" s="10"/>
      <c r="K10" s="10"/>
      <c r="L10" s="10"/>
      <c r="M10" s="10"/>
    </row>
    <row r="11" spans="1:13">
      <c r="A11" s="2" t="s">
        <v>195</v>
      </c>
      <c r="B11" s="10"/>
      <c r="C11" s="10"/>
      <c r="D11" s="10"/>
      <c r="E11" s="10">
        <v>5</v>
      </c>
      <c r="F11" s="10"/>
      <c r="G11" s="10"/>
      <c r="H11" s="10"/>
      <c r="I11" s="10"/>
      <c r="J11" s="10"/>
      <c r="K11" s="10"/>
      <c r="L11" s="10"/>
      <c r="M11" s="10"/>
    </row>
    <row r="12" spans="1:13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" thickBot="1">
      <c r="B18" s="11">
        <f t="shared" ref="B18:M18" si="0">SUM(B4:B17)</f>
        <v>894</v>
      </c>
      <c r="C18" s="11">
        <f t="shared" si="0"/>
        <v>962</v>
      </c>
      <c r="D18" s="11">
        <f t="shared" si="0"/>
        <v>1003</v>
      </c>
      <c r="E18" s="11">
        <f t="shared" si="0"/>
        <v>836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19" spans="1:13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3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>
      <c r="A22" s="2" t="s">
        <v>50</v>
      </c>
      <c r="B22" s="12">
        <f t="shared" ref="B22:M22" si="1">SUM(B4-B40)</f>
        <v>-6</v>
      </c>
      <c r="C22" s="12">
        <f t="shared" si="1"/>
        <v>14</v>
      </c>
      <c r="D22" s="12">
        <f t="shared" si="1"/>
        <v>-27</v>
      </c>
      <c r="E22" s="12">
        <f t="shared" si="1"/>
        <v>-24</v>
      </c>
      <c r="F22" s="12">
        <f t="shared" si="1"/>
        <v>-192</v>
      </c>
      <c r="G22" s="12">
        <f t="shared" si="1"/>
        <v>-150</v>
      </c>
      <c r="H22" s="12">
        <f t="shared" si="1"/>
        <v>-100</v>
      </c>
      <c r="I22" s="12">
        <f t="shared" si="1"/>
        <v>-100</v>
      </c>
      <c r="J22" s="12">
        <f t="shared" si="1"/>
        <v>-192</v>
      </c>
      <c r="K22" s="12">
        <f t="shared" si="1"/>
        <v>-192</v>
      </c>
      <c r="L22" s="12">
        <f t="shared" si="1"/>
        <v>-192</v>
      </c>
      <c r="M22" s="12">
        <f t="shared" si="1"/>
        <v>-165</v>
      </c>
    </row>
    <row r="23" spans="1:13">
      <c r="A23" s="2" t="s">
        <v>49</v>
      </c>
      <c r="B23" s="12">
        <f t="shared" ref="B23:M35" si="2">SUM(B5-B41)</f>
        <v>0</v>
      </c>
      <c r="C23" s="12">
        <f t="shared" si="2"/>
        <v>-46</v>
      </c>
      <c r="D23" s="12">
        <f t="shared" si="2"/>
        <v>-9</v>
      </c>
      <c r="E23" s="12">
        <f t="shared" si="2"/>
        <v>-123</v>
      </c>
      <c r="F23" s="12">
        <f t="shared" si="2"/>
        <v>-190</v>
      </c>
      <c r="G23" s="12">
        <f t="shared" si="2"/>
        <v>-190</v>
      </c>
      <c r="H23" s="12">
        <f t="shared" si="2"/>
        <v>-90</v>
      </c>
      <c r="I23" s="12">
        <f t="shared" si="2"/>
        <v>-90</v>
      </c>
      <c r="J23" s="12">
        <f t="shared" si="2"/>
        <v>-190</v>
      </c>
      <c r="K23" s="12">
        <f t="shared" si="2"/>
        <v>-190</v>
      </c>
      <c r="L23" s="12">
        <f t="shared" si="2"/>
        <v>-190</v>
      </c>
      <c r="M23" s="12">
        <f t="shared" si="2"/>
        <v>-165</v>
      </c>
    </row>
    <row r="24" spans="1:13">
      <c r="A24" s="2" t="s">
        <v>51</v>
      </c>
      <c r="B24" s="12">
        <f t="shared" si="2"/>
        <v>-64</v>
      </c>
      <c r="C24" s="12">
        <f t="shared" si="2"/>
        <v>-57</v>
      </c>
      <c r="D24" s="12">
        <f t="shared" si="2"/>
        <v>-24</v>
      </c>
      <c r="E24" s="12">
        <f t="shared" si="2"/>
        <v>-71</v>
      </c>
      <c r="F24" s="12">
        <f t="shared" si="2"/>
        <v>-240</v>
      </c>
      <c r="G24" s="12">
        <f t="shared" si="2"/>
        <v>-230</v>
      </c>
      <c r="H24" s="12">
        <f t="shared" si="2"/>
        <v>-60</v>
      </c>
      <c r="I24" s="12">
        <f t="shared" si="2"/>
        <v>-120</v>
      </c>
      <c r="J24" s="12">
        <f t="shared" si="2"/>
        <v>-240</v>
      </c>
      <c r="K24" s="12">
        <f t="shared" si="2"/>
        <v>-240</v>
      </c>
      <c r="L24" s="12">
        <f t="shared" si="2"/>
        <v>-240</v>
      </c>
      <c r="M24" s="12">
        <f t="shared" si="2"/>
        <v>-200</v>
      </c>
    </row>
    <row r="25" spans="1:13">
      <c r="A25" s="2" t="s">
        <v>52</v>
      </c>
      <c r="B25" s="12">
        <f t="shared" si="2"/>
        <v>51</v>
      </c>
      <c r="C25" s="12">
        <f t="shared" si="2"/>
        <v>-8</v>
      </c>
      <c r="D25" s="12">
        <f t="shared" si="2"/>
        <v>-38</v>
      </c>
      <c r="E25" s="12">
        <f t="shared" si="2"/>
        <v>-16</v>
      </c>
      <c r="F25" s="12">
        <f t="shared" si="2"/>
        <v>-240</v>
      </c>
      <c r="G25" s="12">
        <f t="shared" si="2"/>
        <v>-120</v>
      </c>
      <c r="H25" s="12">
        <f t="shared" si="2"/>
        <v>-120</v>
      </c>
      <c r="I25" s="12">
        <f t="shared" si="2"/>
        <v>-120</v>
      </c>
      <c r="J25" s="12">
        <f t="shared" si="2"/>
        <v>-240</v>
      </c>
      <c r="K25" s="12">
        <f t="shared" si="2"/>
        <v>-240</v>
      </c>
      <c r="L25" s="12">
        <f t="shared" si="2"/>
        <v>-240</v>
      </c>
      <c r="M25" s="12">
        <f t="shared" si="2"/>
        <v>-190</v>
      </c>
    </row>
    <row r="26" spans="1:13">
      <c r="A26" s="2" t="s">
        <v>53</v>
      </c>
      <c r="B26" s="12">
        <f t="shared" si="2"/>
        <v>-72</v>
      </c>
      <c r="C26" s="12">
        <f t="shared" si="2"/>
        <v>-67</v>
      </c>
      <c r="D26" s="12">
        <f t="shared" si="2"/>
        <v>-70</v>
      </c>
      <c r="E26" s="12">
        <f t="shared" si="2"/>
        <v>-72</v>
      </c>
      <c r="F26" s="12">
        <f t="shared" si="2"/>
        <v>-180</v>
      </c>
      <c r="G26" s="12">
        <f t="shared" si="2"/>
        <v>-130</v>
      </c>
      <c r="H26" s="12">
        <f t="shared" si="2"/>
        <v>-90</v>
      </c>
      <c r="I26" s="12">
        <f t="shared" si="2"/>
        <v>-130</v>
      </c>
      <c r="J26" s="12">
        <f t="shared" si="2"/>
        <v>-180</v>
      </c>
      <c r="K26" s="12">
        <f t="shared" si="2"/>
        <v>-180</v>
      </c>
      <c r="L26" s="12">
        <f t="shared" si="2"/>
        <v>-180</v>
      </c>
      <c r="M26" s="12">
        <f t="shared" si="2"/>
        <v>-150</v>
      </c>
    </row>
    <row r="27" spans="1:13">
      <c r="A27" s="2" t="s">
        <v>54</v>
      </c>
      <c r="B27" s="12">
        <f t="shared" si="2"/>
        <v>-2</v>
      </c>
      <c r="C27" s="12">
        <f t="shared" si="2"/>
        <v>-6</v>
      </c>
      <c r="D27" s="12">
        <f t="shared" si="2"/>
        <v>-26</v>
      </c>
      <c r="E27" s="12">
        <f t="shared" si="2"/>
        <v>-156</v>
      </c>
      <c r="F27" s="12">
        <f t="shared" si="2"/>
        <v>-200</v>
      </c>
      <c r="G27" s="12">
        <f t="shared" si="2"/>
        <v>-200</v>
      </c>
      <c r="H27" s="12">
        <f t="shared" si="2"/>
        <v>-100</v>
      </c>
      <c r="I27" s="12">
        <f t="shared" si="2"/>
        <v>-100</v>
      </c>
      <c r="J27" s="12">
        <f t="shared" si="2"/>
        <v>-210</v>
      </c>
      <c r="K27" s="12">
        <f t="shared" si="2"/>
        <v>-210</v>
      </c>
      <c r="L27" s="12">
        <f t="shared" si="2"/>
        <v>-210</v>
      </c>
      <c r="M27" s="12">
        <f t="shared" si="2"/>
        <v>-180</v>
      </c>
    </row>
    <row r="28" spans="1:13">
      <c r="B28" s="12">
        <f t="shared" si="2"/>
        <v>0</v>
      </c>
      <c r="C28" s="12">
        <f t="shared" si="2"/>
        <v>0</v>
      </c>
      <c r="D28" s="12">
        <f t="shared" si="2"/>
        <v>0</v>
      </c>
      <c r="E28" s="12">
        <f t="shared" si="2"/>
        <v>61</v>
      </c>
      <c r="F28" s="12">
        <f t="shared" si="2"/>
        <v>0</v>
      </c>
      <c r="G28" s="12">
        <f t="shared" si="2"/>
        <v>0</v>
      </c>
      <c r="H28" s="12">
        <f t="shared" si="2"/>
        <v>0</v>
      </c>
      <c r="I28" s="12">
        <f t="shared" si="2"/>
        <v>0</v>
      </c>
      <c r="J28" s="12">
        <f t="shared" si="2"/>
        <v>0</v>
      </c>
      <c r="K28" s="12">
        <f t="shared" si="2"/>
        <v>0</v>
      </c>
      <c r="L28" s="12">
        <f t="shared" si="2"/>
        <v>0</v>
      </c>
      <c r="M28" s="12">
        <f t="shared" si="2"/>
        <v>0</v>
      </c>
    </row>
    <row r="29" spans="1:13">
      <c r="B29" s="12">
        <f t="shared" si="2"/>
        <v>0</v>
      </c>
      <c r="C29" s="12">
        <f t="shared" si="2"/>
        <v>0</v>
      </c>
      <c r="D29" s="12">
        <f t="shared" si="2"/>
        <v>0</v>
      </c>
      <c r="E29" s="12">
        <f t="shared" si="2"/>
        <v>5</v>
      </c>
      <c r="F29" s="12">
        <f t="shared" si="2"/>
        <v>0</v>
      </c>
      <c r="G29" s="12">
        <f t="shared" si="2"/>
        <v>0</v>
      </c>
      <c r="H29" s="12">
        <f t="shared" si="2"/>
        <v>0</v>
      </c>
      <c r="I29" s="12">
        <f t="shared" si="2"/>
        <v>0</v>
      </c>
      <c r="J29" s="12">
        <f t="shared" si="2"/>
        <v>0</v>
      </c>
      <c r="K29" s="12">
        <f t="shared" si="2"/>
        <v>0</v>
      </c>
      <c r="L29" s="12">
        <f t="shared" si="2"/>
        <v>0</v>
      </c>
      <c r="M29" s="12">
        <f t="shared" si="2"/>
        <v>0</v>
      </c>
    </row>
    <row r="30" spans="1:13">
      <c r="B30" s="12">
        <f t="shared" si="2"/>
        <v>0</v>
      </c>
      <c r="C30" s="12">
        <f t="shared" si="2"/>
        <v>0</v>
      </c>
      <c r="D30" s="12">
        <f t="shared" si="2"/>
        <v>0</v>
      </c>
      <c r="E30" s="12">
        <f t="shared" si="2"/>
        <v>0</v>
      </c>
      <c r="F30" s="12">
        <f t="shared" si="2"/>
        <v>0</v>
      </c>
      <c r="G30" s="12">
        <f t="shared" si="2"/>
        <v>0</v>
      </c>
      <c r="H30" s="12">
        <f t="shared" si="2"/>
        <v>0</v>
      </c>
      <c r="I30" s="12">
        <f t="shared" si="2"/>
        <v>0</v>
      </c>
      <c r="J30" s="12">
        <f t="shared" si="2"/>
        <v>0</v>
      </c>
      <c r="K30" s="12">
        <f t="shared" si="2"/>
        <v>0</v>
      </c>
      <c r="L30" s="12">
        <f t="shared" si="2"/>
        <v>0</v>
      </c>
      <c r="M30" s="12">
        <f t="shared" si="2"/>
        <v>0</v>
      </c>
    </row>
    <row r="31" spans="1:13">
      <c r="B31" s="12">
        <f t="shared" si="2"/>
        <v>0</v>
      </c>
      <c r="C31" s="12">
        <f t="shared" si="2"/>
        <v>0</v>
      </c>
      <c r="D31" s="12">
        <f t="shared" si="2"/>
        <v>0</v>
      </c>
      <c r="E31" s="12">
        <f t="shared" si="2"/>
        <v>0</v>
      </c>
      <c r="F31" s="12">
        <f t="shared" si="2"/>
        <v>0</v>
      </c>
      <c r="G31" s="12">
        <f t="shared" si="2"/>
        <v>0</v>
      </c>
      <c r="H31" s="12">
        <f t="shared" si="2"/>
        <v>0</v>
      </c>
      <c r="I31" s="12">
        <f t="shared" si="2"/>
        <v>0</v>
      </c>
      <c r="J31" s="12">
        <f t="shared" si="2"/>
        <v>0</v>
      </c>
      <c r="K31" s="12">
        <f t="shared" si="2"/>
        <v>0</v>
      </c>
      <c r="L31" s="12">
        <f t="shared" si="2"/>
        <v>0</v>
      </c>
      <c r="M31" s="12">
        <f t="shared" si="2"/>
        <v>0</v>
      </c>
    </row>
    <row r="32" spans="1:13">
      <c r="B32" s="12">
        <f t="shared" si="2"/>
        <v>0</v>
      </c>
      <c r="C32" s="12">
        <f t="shared" si="2"/>
        <v>0</v>
      </c>
      <c r="D32" s="12">
        <f t="shared" si="2"/>
        <v>0</v>
      </c>
      <c r="E32" s="12">
        <f t="shared" si="2"/>
        <v>0</v>
      </c>
      <c r="F32" s="12">
        <f t="shared" si="2"/>
        <v>0</v>
      </c>
      <c r="G32" s="12">
        <f t="shared" si="2"/>
        <v>0</v>
      </c>
      <c r="H32" s="12">
        <f t="shared" si="2"/>
        <v>0</v>
      </c>
      <c r="I32" s="12">
        <f t="shared" si="2"/>
        <v>0</v>
      </c>
      <c r="J32" s="12">
        <f t="shared" si="2"/>
        <v>0</v>
      </c>
      <c r="K32" s="12">
        <f t="shared" si="2"/>
        <v>0</v>
      </c>
      <c r="L32" s="12">
        <f t="shared" si="2"/>
        <v>0</v>
      </c>
      <c r="M32" s="12">
        <f t="shared" si="2"/>
        <v>0</v>
      </c>
    </row>
    <row r="33" spans="1:13">
      <c r="B33" s="12">
        <f t="shared" si="2"/>
        <v>0</v>
      </c>
      <c r="C33" s="12">
        <f t="shared" si="2"/>
        <v>0</v>
      </c>
      <c r="D33" s="12">
        <f t="shared" si="2"/>
        <v>0</v>
      </c>
      <c r="E33" s="12">
        <f t="shared" si="2"/>
        <v>0</v>
      </c>
      <c r="F33" s="12">
        <f t="shared" si="2"/>
        <v>0</v>
      </c>
      <c r="G33" s="12">
        <f t="shared" si="2"/>
        <v>0</v>
      </c>
      <c r="H33" s="12">
        <f t="shared" si="2"/>
        <v>0</v>
      </c>
      <c r="I33" s="12">
        <f t="shared" si="2"/>
        <v>0</v>
      </c>
      <c r="J33" s="12">
        <f t="shared" si="2"/>
        <v>0</v>
      </c>
      <c r="K33" s="12">
        <f t="shared" si="2"/>
        <v>0</v>
      </c>
      <c r="L33" s="12">
        <f t="shared" si="2"/>
        <v>0</v>
      </c>
      <c r="M33" s="12">
        <f t="shared" si="2"/>
        <v>0</v>
      </c>
    </row>
    <row r="34" spans="1:13">
      <c r="B34" s="12">
        <f t="shared" si="2"/>
        <v>0</v>
      </c>
      <c r="C34" s="12">
        <f t="shared" si="2"/>
        <v>0</v>
      </c>
      <c r="D34" s="12">
        <f t="shared" si="2"/>
        <v>0</v>
      </c>
      <c r="E34" s="12">
        <f t="shared" si="2"/>
        <v>0</v>
      </c>
      <c r="F34" s="12">
        <f t="shared" si="2"/>
        <v>0</v>
      </c>
      <c r="G34" s="12">
        <f t="shared" si="2"/>
        <v>0</v>
      </c>
      <c r="H34" s="12">
        <f t="shared" si="2"/>
        <v>0</v>
      </c>
      <c r="I34" s="12">
        <f t="shared" si="2"/>
        <v>0</v>
      </c>
      <c r="J34" s="12">
        <f t="shared" si="2"/>
        <v>0</v>
      </c>
      <c r="K34" s="12">
        <f t="shared" si="2"/>
        <v>0</v>
      </c>
      <c r="L34" s="12">
        <f t="shared" si="2"/>
        <v>0</v>
      </c>
      <c r="M34" s="12">
        <f t="shared" si="2"/>
        <v>0</v>
      </c>
    </row>
    <row r="35" spans="1:13" ht="15" thickBot="1">
      <c r="B35" s="12">
        <f t="shared" si="2"/>
        <v>0</v>
      </c>
      <c r="C35" s="12">
        <f t="shared" si="2"/>
        <v>0</v>
      </c>
      <c r="D35" s="12">
        <f t="shared" si="2"/>
        <v>0</v>
      </c>
      <c r="E35" s="12">
        <f t="shared" si="2"/>
        <v>0</v>
      </c>
      <c r="F35" s="12">
        <f t="shared" si="2"/>
        <v>0</v>
      </c>
      <c r="G35" s="12">
        <f t="shared" si="2"/>
        <v>0</v>
      </c>
      <c r="H35" s="12">
        <f t="shared" si="2"/>
        <v>0</v>
      </c>
      <c r="I35" s="12">
        <f t="shared" si="2"/>
        <v>0</v>
      </c>
      <c r="J35" s="12">
        <f t="shared" si="2"/>
        <v>0</v>
      </c>
      <c r="K35" s="12">
        <f t="shared" si="2"/>
        <v>0</v>
      </c>
      <c r="L35" s="12">
        <f t="shared" si="2"/>
        <v>0</v>
      </c>
      <c r="M35" s="12">
        <f t="shared" si="2"/>
        <v>0</v>
      </c>
    </row>
    <row r="36" spans="1:13" ht="15" thickBot="1">
      <c r="B36" s="11">
        <f t="shared" ref="B36" si="3">SUM(B22:B35)</f>
        <v>-93</v>
      </c>
      <c r="C36" s="11">
        <f t="shared" ref="C36:M36" si="4">SUM(C22:C35)</f>
        <v>-170</v>
      </c>
      <c r="D36" s="11">
        <f t="shared" si="4"/>
        <v>-194</v>
      </c>
      <c r="E36" s="11">
        <f t="shared" si="4"/>
        <v>-396</v>
      </c>
      <c r="F36" s="11">
        <f t="shared" si="4"/>
        <v>-1242</v>
      </c>
      <c r="G36" s="11">
        <f t="shared" si="4"/>
        <v>-1020</v>
      </c>
      <c r="H36" s="11">
        <f t="shared" si="4"/>
        <v>-560</v>
      </c>
      <c r="I36" s="11">
        <f t="shared" si="4"/>
        <v>-660</v>
      </c>
      <c r="J36" s="11">
        <f t="shared" si="4"/>
        <v>-1252</v>
      </c>
      <c r="K36" s="11">
        <f t="shared" si="4"/>
        <v>-1252</v>
      </c>
      <c r="L36" s="11">
        <f t="shared" si="4"/>
        <v>-1252</v>
      </c>
      <c r="M36" s="11">
        <f t="shared" si="4"/>
        <v>-1050</v>
      </c>
    </row>
    <row r="37" spans="1:13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</row>
    <row r="39" spans="1:13">
      <c r="A39" s="1" t="s">
        <v>2</v>
      </c>
      <c r="B39" s="1">
        <f>SUM(B40:B53)</f>
        <v>987</v>
      </c>
      <c r="C39" s="1">
        <f t="shared" ref="C39:M39" si="5">SUM(C40:C53)</f>
        <v>1132</v>
      </c>
      <c r="D39" s="1">
        <f t="shared" si="5"/>
        <v>1197</v>
      </c>
      <c r="E39" s="1">
        <f t="shared" si="5"/>
        <v>1232</v>
      </c>
      <c r="F39" s="1">
        <f t="shared" si="5"/>
        <v>1242</v>
      </c>
      <c r="G39" s="1">
        <f t="shared" si="5"/>
        <v>1020</v>
      </c>
      <c r="H39" s="1">
        <f t="shared" si="5"/>
        <v>560</v>
      </c>
      <c r="I39" s="1">
        <f t="shared" si="5"/>
        <v>660</v>
      </c>
      <c r="J39" s="1">
        <f t="shared" si="5"/>
        <v>1252</v>
      </c>
      <c r="K39" s="1">
        <f t="shared" si="5"/>
        <v>1252</v>
      </c>
      <c r="L39" s="1">
        <f t="shared" si="5"/>
        <v>1252</v>
      </c>
      <c r="M39" s="1">
        <f t="shared" si="5"/>
        <v>1050</v>
      </c>
    </row>
    <row r="40" spans="1:13">
      <c r="A40" s="4" t="s">
        <v>50</v>
      </c>
      <c r="B40" s="4">
        <v>192</v>
      </c>
      <c r="C40" s="4">
        <v>192</v>
      </c>
      <c r="D40" s="4">
        <v>192</v>
      </c>
      <c r="E40" s="4">
        <v>192</v>
      </c>
      <c r="F40" s="4">
        <v>192</v>
      </c>
      <c r="G40" s="4">
        <v>150</v>
      </c>
      <c r="H40" s="4">
        <v>100</v>
      </c>
      <c r="I40" s="4">
        <v>100</v>
      </c>
      <c r="J40" s="4">
        <v>192</v>
      </c>
      <c r="K40" s="4">
        <v>192</v>
      </c>
      <c r="L40" s="4">
        <v>192</v>
      </c>
      <c r="M40" s="4">
        <v>165</v>
      </c>
    </row>
    <row r="41" spans="1:13">
      <c r="A41" s="4" t="s">
        <v>49</v>
      </c>
      <c r="B41" s="4">
        <v>170</v>
      </c>
      <c r="C41" s="4">
        <v>190</v>
      </c>
      <c r="D41" s="4">
        <v>195</v>
      </c>
      <c r="E41" s="4">
        <v>190</v>
      </c>
      <c r="F41" s="4">
        <v>190</v>
      </c>
      <c r="G41" s="4">
        <v>190</v>
      </c>
      <c r="H41" s="4">
        <v>90</v>
      </c>
      <c r="I41" s="4">
        <v>90</v>
      </c>
      <c r="J41" s="4">
        <v>190</v>
      </c>
      <c r="K41" s="4">
        <v>190</v>
      </c>
      <c r="L41" s="4">
        <v>190</v>
      </c>
      <c r="M41" s="4">
        <v>165</v>
      </c>
    </row>
    <row r="42" spans="1:13">
      <c r="A42" s="4" t="s">
        <v>51</v>
      </c>
      <c r="B42" s="4">
        <v>215</v>
      </c>
      <c r="C42" s="4">
        <v>220</v>
      </c>
      <c r="D42" s="4">
        <v>240</v>
      </c>
      <c r="E42" s="4">
        <v>240</v>
      </c>
      <c r="F42" s="4">
        <v>240</v>
      </c>
      <c r="G42" s="4">
        <v>230</v>
      </c>
      <c r="H42" s="4">
        <v>60</v>
      </c>
      <c r="I42" s="4">
        <v>120</v>
      </c>
      <c r="J42" s="4">
        <v>240</v>
      </c>
      <c r="K42" s="4">
        <v>240</v>
      </c>
      <c r="L42" s="4">
        <v>240</v>
      </c>
      <c r="M42" s="4">
        <v>200</v>
      </c>
    </row>
    <row r="43" spans="1:13">
      <c r="A43" s="4" t="s">
        <v>52</v>
      </c>
      <c r="B43" s="4">
        <v>160</v>
      </c>
      <c r="C43" s="4">
        <v>240</v>
      </c>
      <c r="D43" s="4">
        <v>240</v>
      </c>
      <c r="E43" s="4">
        <v>240</v>
      </c>
      <c r="F43" s="4">
        <v>240</v>
      </c>
      <c r="G43" s="4">
        <v>120</v>
      </c>
      <c r="H43" s="4">
        <v>120</v>
      </c>
      <c r="I43" s="4">
        <v>120</v>
      </c>
      <c r="J43" s="4">
        <v>240</v>
      </c>
      <c r="K43" s="4">
        <v>240</v>
      </c>
      <c r="L43" s="4">
        <v>240</v>
      </c>
      <c r="M43" s="4">
        <v>190</v>
      </c>
    </row>
    <row r="44" spans="1:13">
      <c r="A44" s="4" t="s">
        <v>53</v>
      </c>
      <c r="B44" s="4">
        <v>160</v>
      </c>
      <c r="C44" s="4">
        <v>170</v>
      </c>
      <c r="D44" s="4">
        <v>180</v>
      </c>
      <c r="E44" s="4">
        <v>180</v>
      </c>
      <c r="F44" s="4">
        <v>180</v>
      </c>
      <c r="G44" s="4">
        <v>130</v>
      </c>
      <c r="H44" s="4">
        <v>90</v>
      </c>
      <c r="I44" s="4">
        <v>130</v>
      </c>
      <c r="J44" s="4">
        <v>180</v>
      </c>
      <c r="K44" s="4">
        <v>180</v>
      </c>
      <c r="L44" s="4">
        <v>180</v>
      </c>
      <c r="M44" s="4">
        <v>150</v>
      </c>
    </row>
    <row r="45" spans="1:13">
      <c r="A45" s="4" t="s">
        <v>54</v>
      </c>
      <c r="B45" s="4">
        <v>90</v>
      </c>
      <c r="C45" s="4">
        <v>120</v>
      </c>
      <c r="D45" s="4">
        <v>150</v>
      </c>
      <c r="E45" s="4">
        <v>190</v>
      </c>
      <c r="F45" s="4">
        <v>200</v>
      </c>
      <c r="G45" s="4">
        <v>200</v>
      </c>
      <c r="H45" s="4">
        <v>100</v>
      </c>
      <c r="I45" s="4">
        <v>100</v>
      </c>
      <c r="J45" s="4">
        <v>210</v>
      </c>
      <c r="K45" s="4">
        <v>210</v>
      </c>
      <c r="L45" s="4">
        <v>210</v>
      </c>
      <c r="M45" s="4">
        <v>180</v>
      </c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opLeftCell="A3" zoomScaleNormal="100" workbookViewId="0">
      <selection activeCell="E12" sqref="E12"/>
    </sheetView>
  </sheetViews>
  <sheetFormatPr defaultRowHeight="14.4"/>
  <cols>
    <col min="1" max="1" width="32.33203125" bestFit="1" customWidth="1"/>
    <col min="2" max="4" width="11" bestFit="1" customWidth="1"/>
    <col min="14" max="14" width="58.33203125" customWidth="1"/>
  </cols>
  <sheetData>
    <row r="1" spans="1:14" s="2" customFormat="1">
      <c r="A1" s="5" t="s">
        <v>3</v>
      </c>
      <c r="B1" s="6">
        <v>46081</v>
      </c>
      <c r="C1" s="6">
        <v>46086</v>
      </c>
      <c r="D1" s="6">
        <v>46106</v>
      </c>
      <c r="E1" s="6"/>
      <c r="F1" s="6"/>
      <c r="G1" s="6"/>
      <c r="H1" s="6"/>
      <c r="I1" s="6"/>
      <c r="J1" s="6"/>
      <c r="K1" s="6"/>
      <c r="L1" s="6"/>
      <c r="M1" s="6"/>
    </row>
    <row r="2" spans="1:14" s="9" customFormat="1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4" s="2" customFormat="1" ht="16.2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  <c r="N3" s="33" t="s">
        <v>24</v>
      </c>
    </row>
    <row r="4" spans="1:14">
      <c r="A4" t="s">
        <v>34</v>
      </c>
      <c r="B4" s="10">
        <v>101</v>
      </c>
      <c r="C4" s="10">
        <v>140</v>
      </c>
      <c r="D4" s="10">
        <v>145</v>
      </c>
      <c r="E4" s="10">
        <v>186</v>
      </c>
      <c r="F4" s="10"/>
      <c r="G4" s="10"/>
      <c r="H4" s="10"/>
      <c r="I4" s="10"/>
      <c r="J4" s="10"/>
      <c r="K4" s="10"/>
      <c r="L4" s="10"/>
      <c r="M4" s="10"/>
      <c r="N4" s="34"/>
    </row>
    <row r="5" spans="1:14">
      <c r="A5" t="s">
        <v>35</v>
      </c>
      <c r="B5" s="10">
        <v>167</v>
      </c>
      <c r="C5" s="10">
        <v>171</v>
      </c>
      <c r="D5" s="10">
        <v>187</v>
      </c>
      <c r="E5" s="10">
        <v>209</v>
      </c>
      <c r="F5" s="10"/>
      <c r="G5" s="10"/>
      <c r="H5" s="10"/>
      <c r="I5" s="10"/>
      <c r="J5" s="10"/>
      <c r="K5" s="10"/>
      <c r="L5" s="10"/>
      <c r="M5" s="10"/>
      <c r="N5" s="34"/>
    </row>
    <row r="6" spans="1:14">
      <c r="A6" t="s">
        <v>36</v>
      </c>
      <c r="B6" s="10">
        <v>111</v>
      </c>
      <c r="C6" s="10">
        <v>54</v>
      </c>
      <c r="D6" s="10">
        <v>202</v>
      </c>
      <c r="E6" s="10">
        <v>142</v>
      </c>
      <c r="F6" s="10"/>
      <c r="G6" s="10"/>
      <c r="H6" s="10"/>
      <c r="I6" s="10"/>
      <c r="J6" s="10"/>
      <c r="K6" s="10"/>
      <c r="L6" s="10"/>
      <c r="M6" s="10"/>
    </row>
    <row r="7" spans="1:14">
      <c r="A7" t="s">
        <v>37</v>
      </c>
      <c r="B7" s="10">
        <v>99</v>
      </c>
      <c r="C7" s="10">
        <v>167</v>
      </c>
      <c r="D7" s="10">
        <v>255</v>
      </c>
      <c r="E7" s="10">
        <v>143</v>
      </c>
      <c r="F7" s="10"/>
      <c r="G7" s="10"/>
      <c r="H7" s="10"/>
      <c r="I7" s="10"/>
      <c r="J7" s="10"/>
      <c r="K7" s="10"/>
      <c r="L7" s="10"/>
      <c r="M7" s="10"/>
    </row>
    <row r="8" spans="1:14">
      <c r="A8" t="s">
        <v>38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4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4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4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4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4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4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4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4" ht="15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4" ht="15" thickBot="1">
      <c r="B18" s="11">
        <f t="shared" ref="B18:M18" si="0">SUM(B4:B17)</f>
        <v>478</v>
      </c>
      <c r="C18" s="11">
        <f t="shared" si="0"/>
        <v>532</v>
      </c>
      <c r="D18" s="11">
        <f t="shared" si="0"/>
        <v>789</v>
      </c>
      <c r="E18" s="11">
        <f t="shared" si="0"/>
        <v>680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4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4" ht="16.2">
      <c r="B21" s="35" t="s">
        <v>25</v>
      </c>
      <c r="C21" s="35" t="s">
        <v>25</v>
      </c>
      <c r="D21" s="35" t="s">
        <v>25</v>
      </c>
      <c r="E21" s="35" t="s">
        <v>25</v>
      </c>
      <c r="F21" s="35" t="s">
        <v>25</v>
      </c>
      <c r="G21" s="35" t="s">
        <v>25</v>
      </c>
      <c r="H21" s="35" t="s">
        <v>25</v>
      </c>
      <c r="I21" s="35" t="s">
        <v>25</v>
      </c>
      <c r="J21" s="35" t="s">
        <v>25</v>
      </c>
      <c r="K21" s="35" t="s">
        <v>25</v>
      </c>
      <c r="L21" s="35" t="s">
        <v>25</v>
      </c>
      <c r="M21" s="35" t="s">
        <v>25</v>
      </c>
      <c r="N21" s="33" t="s">
        <v>24</v>
      </c>
    </row>
    <row r="22" spans="1:14">
      <c r="A22" t="s">
        <v>34</v>
      </c>
      <c r="B22" s="12">
        <f t="shared" ref="B22:M35" si="1">SUM(B4-B40)</f>
        <v>1</v>
      </c>
      <c r="C22" s="12">
        <f t="shared" si="1"/>
        <v>40</v>
      </c>
      <c r="D22" s="12">
        <f t="shared" si="1"/>
        <v>95</v>
      </c>
      <c r="E22" s="12">
        <f t="shared" si="1"/>
        <v>146</v>
      </c>
      <c r="F22" s="12">
        <f t="shared" si="1"/>
        <v>-50</v>
      </c>
      <c r="G22" s="12">
        <f t="shared" si="1"/>
        <v>-140</v>
      </c>
      <c r="H22" s="12">
        <f t="shared" si="1"/>
        <v>-200</v>
      </c>
      <c r="I22" s="12">
        <f t="shared" si="1"/>
        <v>-200</v>
      </c>
      <c r="J22" s="12">
        <f t="shared" si="1"/>
        <v>-100</v>
      </c>
      <c r="K22" s="12">
        <f t="shared" si="1"/>
        <v>-100</v>
      </c>
      <c r="L22" s="12">
        <f t="shared" si="1"/>
        <v>-100</v>
      </c>
      <c r="M22" s="12">
        <f t="shared" si="1"/>
        <v>-70</v>
      </c>
    </row>
    <row r="23" spans="1:14">
      <c r="A23" t="s">
        <v>35</v>
      </c>
      <c r="B23" s="12">
        <f t="shared" si="1"/>
        <v>-43</v>
      </c>
      <c r="C23" s="12">
        <f t="shared" si="1"/>
        <v>-69</v>
      </c>
      <c r="D23" s="12">
        <f t="shared" si="1"/>
        <v>-53</v>
      </c>
      <c r="E23" s="12">
        <f t="shared" si="1"/>
        <v>-11</v>
      </c>
      <c r="F23" s="12">
        <f t="shared" si="1"/>
        <v>-220</v>
      </c>
      <c r="G23" s="12">
        <f t="shared" si="1"/>
        <v>-220</v>
      </c>
      <c r="H23" s="12">
        <f t="shared" si="1"/>
        <v>-240</v>
      </c>
      <c r="I23" s="12">
        <f t="shared" si="1"/>
        <v>0</v>
      </c>
      <c r="J23" s="12">
        <f t="shared" si="1"/>
        <v>-200</v>
      </c>
      <c r="K23" s="12">
        <f t="shared" si="1"/>
        <v>-200</v>
      </c>
      <c r="L23" s="12">
        <f t="shared" si="1"/>
        <v>-200</v>
      </c>
      <c r="M23" s="12">
        <f t="shared" si="1"/>
        <v>-170</v>
      </c>
    </row>
    <row r="24" spans="1:14">
      <c r="A24" t="s">
        <v>36</v>
      </c>
      <c r="B24" s="12">
        <f t="shared" si="1"/>
        <v>11</v>
      </c>
      <c r="C24" s="12">
        <f t="shared" si="1"/>
        <v>-66</v>
      </c>
      <c r="D24" s="12">
        <f t="shared" si="1"/>
        <v>-38</v>
      </c>
      <c r="E24" s="12">
        <f t="shared" si="1"/>
        <v>-68</v>
      </c>
      <c r="F24" s="12">
        <f t="shared" si="1"/>
        <v>-210</v>
      </c>
      <c r="G24" s="12">
        <f t="shared" si="1"/>
        <v>-200</v>
      </c>
      <c r="H24" s="12">
        <f t="shared" si="1"/>
        <v>-160</v>
      </c>
      <c r="I24" s="12">
        <f t="shared" si="1"/>
        <v>-220</v>
      </c>
      <c r="J24" s="12">
        <f t="shared" si="1"/>
        <v>-220</v>
      </c>
      <c r="K24" s="12">
        <f t="shared" si="1"/>
        <v>-220</v>
      </c>
      <c r="L24" s="12">
        <f t="shared" si="1"/>
        <v>-220</v>
      </c>
      <c r="M24" s="12">
        <f t="shared" si="1"/>
        <v>-200</v>
      </c>
    </row>
    <row r="25" spans="1:14">
      <c r="A25" t="s">
        <v>37</v>
      </c>
      <c r="B25" s="12">
        <f t="shared" si="1"/>
        <v>-91</v>
      </c>
      <c r="C25" s="12">
        <f t="shared" si="1"/>
        <v>-33</v>
      </c>
      <c r="D25" s="12">
        <f t="shared" si="1"/>
        <v>55</v>
      </c>
      <c r="E25" s="12">
        <f t="shared" si="1"/>
        <v>-57</v>
      </c>
      <c r="F25" s="12">
        <f t="shared" si="1"/>
        <v>-200</v>
      </c>
      <c r="G25" s="12">
        <f t="shared" si="1"/>
        <v>-200</v>
      </c>
      <c r="H25" s="12">
        <f t="shared" si="1"/>
        <v>0</v>
      </c>
      <c r="I25" s="12">
        <f t="shared" si="1"/>
        <v>-200</v>
      </c>
      <c r="J25" s="12">
        <f t="shared" si="1"/>
        <v>-200</v>
      </c>
      <c r="K25" s="12">
        <f t="shared" si="1"/>
        <v>-200</v>
      </c>
      <c r="L25" s="12">
        <f t="shared" si="1"/>
        <v>-200</v>
      </c>
      <c r="M25" s="12">
        <f t="shared" si="1"/>
        <v>-170</v>
      </c>
    </row>
    <row r="26" spans="1:14">
      <c r="A26" t="s">
        <v>38</v>
      </c>
      <c r="B26" s="12">
        <f t="shared" si="1"/>
        <v>0</v>
      </c>
      <c r="C26" s="12">
        <f t="shared" si="1"/>
        <v>0</v>
      </c>
      <c r="D26" s="12">
        <f t="shared" si="1"/>
        <v>0</v>
      </c>
      <c r="E26" s="12">
        <f t="shared" si="1"/>
        <v>-65</v>
      </c>
      <c r="F26" s="12">
        <f t="shared" si="1"/>
        <v>-80</v>
      </c>
      <c r="G26" s="12">
        <f t="shared" si="1"/>
        <v>-40</v>
      </c>
      <c r="H26" s="12">
        <f t="shared" si="1"/>
        <v>0</v>
      </c>
      <c r="I26" s="12">
        <f t="shared" si="1"/>
        <v>-40</v>
      </c>
      <c r="J26" s="12">
        <f t="shared" si="1"/>
        <v>-40</v>
      </c>
      <c r="K26" s="12">
        <f t="shared" si="1"/>
        <v>-80</v>
      </c>
      <c r="L26" s="12">
        <f t="shared" si="1"/>
        <v>-80</v>
      </c>
      <c r="M26" s="12">
        <f t="shared" si="1"/>
        <v>-65</v>
      </c>
    </row>
    <row r="27" spans="1:14">
      <c r="B27" s="12">
        <f t="shared" si="1"/>
        <v>0</v>
      </c>
      <c r="C27" s="12">
        <f t="shared" si="1"/>
        <v>0</v>
      </c>
      <c r="D27" s="12">
        <f t="shared" si="1"/>
        <v>0</v>
      </c>
      <c r="E27" s="12">
        <f t="shared" si="1"/>
        <v>0</v>
      </c>
      <c r="F27" s="12">
        <f t="shared" si="1"/>
        <v>0</v>
      </c>
      <c r="G27" s="12">
        <f t="shared" si="1"/>
        <v>0</v>
      </c>
      <c r="H27" s="12">
        <f t="shared" si="1"/>
        <v>0</v>
      </c>
      <c r="I27" s="12">
        <f t="shared" si="1"/>
        <v>0</v>
      </c>
      <c r="J27" s="12">
        <f t="shared" si="1"/>
        <v>0</v>
      </c>
      <c r="K27" s="12">
        <f t="shared" si="1"/>
        <v>0</v>
      </c>
      <c r="L27" s="12">
        <f t="shared" si="1"/>
        <v>0</v>
      </c>
      <c r="M27" s="12">
        <f t="shared" si="1"/>
        <v>0</v>
      </c>
    </row>
    <row r="28" spans="1:14">
      <c r="B28" s="12">
        <f t="shared" si="1"/>
        <v>0</v>
      </c>
      <c r="C28" s="12">
        <f t="shared" si="1"/>
        <v>0</v>
      </c>
      <c r="D28" s="12">
        <f t="shared" si="1"/>
        <v>0</v>
      </c>
      <c r="E28" s="12">
        <f t="shared" si="1"/>
        <v>0</v>
      </c>
      <c r="F28" s="12">
        <f t="shared" si="1"/>
        <v>0</v>
      </c>
      <c r="G28" s="12">
        <f t="shared" si="1"/>
        <v>0</v>
      </c>
      <c r="H28" s="12">
        <f t="shared" si="1"/>
        <v>0</v>
      </c>
      <c r="I28" s="12">
        <f t="shared" si="1"/>
        <v>0</v>
      </c>
      <c r="J28" s="12">
        <f t="shared" si="1"/>
        <v>0</v>
      </c>
      <c r="K28" s="12">
        <f t="shared" si="1"/>
        <v>0</v>
      </c>
      <c r="L28" s="12">
        <f t="shared" si="1"/>
        <v>0</v>
      </c>
      <c r="M28" s="12">
        <f t="shared" si="1"/>
        <v>0</v>
      </c>
    </row>
    <row r="29" spans="1:14">
      <c r="B29" s="12">
        <f t="shared" si="1"/>
        <v>0</v>
      </c>
      <c r="C29" s="12">
        <f t="shared" si="1"/>
        <v>0</v>
      </c>
      <c r="D29" s="12">
        <f t="shared" si="1"/>
        <v>0</v>
      </c>
      <c r="E29" s="12">
        <f t="shared" si="1"/>
        <v>0</v>
      </c>
      <c r="F29" s="12">
        <f t="shared" si="1"/>
        <v>0</v>
      </c>
      <c r="G29" s="12">
        <f t="shared" si="1"/>
        <v>0</v>
      </c>
      <c r="H29" s="12">
        <f t="shared" si="1"/>
        <v>0</v>
      </c>
      <c r="I29" s="12">
        <f t="shared" si="1"/>
        <v>0</v>
      </c>
      <c r="J29" s="12">
        <f t="shared" si="1"/>
        <v>0</v>
      </c>
      <c r="K29" s="12">
        <f t="shared" si="1"/>
        <v>0</v>
      </c>
      <c r="L29" s="12">
        <f t="shared" si="1"/>
        <v>0</v>
      </c>
      <c r="M29" s="12">
        <f t="shared" si="1"/>
        <v>0</v>
      </c>
    </row>
    <row r="30" spans="1:14">
      <c r="B30" s="12">
        <f t="shared" si="1"/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2">
        <f t="shared" si="1"/>
        <v>0</v>
      </c>
      <c r="H30" s="12">
        <f t="shared" si="1"/>
        <v>0</v>
      </c>
      <c r="I30" s="12">
        <f t="shared" si="1"/>
        <v>0</v>
      </c>
      <c r="J30" s="12">
        <f t="shared" si="1"/>
        <v>0</v>
      </c>
      <c r="K30" s="12">
        <f t="shared" si="1"/>
        <v>0</v>
      </c>
      <c r="L30" s="12">
        <f t="shared" si="1"/>
        <v>0</v>
      </c>
      <c r="M30" s="12">
        <f t="shared" si="1"/>
        <v>0</v>
      </c>
    </row>
    <row r="31" spans="1:14">
      <c r="B31" s="12">
        <f t="shared" si="1"/>
        <v>0</v>
      </c>
      <c r="C31" s="12">
        <f t="shared" si="1"/>
        <v>0</v>
      </c>
      <c r="D31" s="12">
        <f t="shared" si="1"/>
        <v>0</v>
      </c>
      <c r="E31" s="12">
        <f t="shared" si="1"/>
        <v>0</v>
      </c>
      <c r="F31" s="12">
        <f t="shared" si="1"/>
        <v>0</v>
      </c>
      <c r="G31" s="12">
        <f t="shared" si="1"/>
        <v>0</v>
      </c>
      <c r="H31" s="12">
        <f t="shared" si="1"/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</row>
    <row r="32" spans="1:14">
      <c r="B32" s="12">
        <f t="shared" si="1"/>
        <v>0</v>
      </c>
      <c r="C32" s="12">
        <f t="shared" si="1"/>
        <v>0</v>
      </c>
      <c r="D32" s="12">
        <f t="shared" si="1"/>
        <v>0</v>
      </c>
      <c r="E32" s="12">
        <f t="shared" si="1"/>
        <v>0</v>
      </c>
      <c r="F32" s="12">
        <f t="shared" si="1"/>
        <v>0</v>
      </c>
      <c r="G32" s="12">
        <f t="shared" si="1"/>
        <v>0</v>
      </c>
      <c r="H32" s="12">
        <f t="shared" si="1"/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</row>
    <row r="33" spans="1:13">
      <c r="B33" s="12">
        <f t="shared" si="1"/>
        <v>0</v>
      </c>
      <c r="C33" s="12">
        <f t="shared" si="1"/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</row>
    <row r="34" spans="1:13">
      <c r="B34" s="12">
        <f t="shared" si="1"/>
        <v>0</v>
      </c>
      <c r="C34" s="12">
        <f t="shared" si="1"/>
        <v>0</v>
      </c>
      <c r="D34" s="12">
        <f t="shared" si="1"/>
        <v>0</v>
      </c>
      <c r="E34" s="12">
        <f t="shared" si="1"/>
        <v>0</v>
      </c>
      <c r="F34" s="12">
        <f t="shared" si="1"/>
        <v>0</v>
      </c>
      <c r="G34" s="12">
        <f t="shared" si="1"/>
        <v>0</v>
      </c>
      <c r="H34" s="12">
        <f t="shared" si="1"/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</row>
    <row r="35" spans="1:13" ht="15" thickBot="1">
      <c r="B35" s="12">
        <f t="shared" si="1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</row>
    <row r="36" spans="1:13" ht="15" thickBot="1">
      <c r="B36" s="11">
        <f t="shared" ref="B36:M36" si="2">SUM(B22:B35)</f>
        <v>-122</v>
      </c>
      <c r="C36" s="11">
        <f t="shared" si="2"/>
        <v>-128</v>
      </c>
      <c r="D36" s="11">
        <f t="shared" si="2"/>
        <v>59</v>
      </c>
      <c r="E36" s="11">
        <f t="shared" si="2"/>
        <v>-55</v>
      </c>
      <c r="F36" s="11">
        <f t="shared" si="2"/>
        <v>-760</v>
      </c>
      <c r="G36" s="11">
        <f t="shared" si="2"/>
        <v>-800</v>
      </c>
      <c r="H36" s="11">
        <f t="shared" si="2"/>
        <v>-600</v>
      </c>
      <c r="I36" s="11">
        <f t="shared" si="2"/>
        <v>-660</v>
      </c>
      <c r="J36" s="11">
        <f t="shared" si="2"/>
        <v>-760</v>
      </c>
      <c r="K36" s="11">
        <f t="shared" si="2"/>
        <v>-800</v>
      </c>
      <c r="L36" s="11">
        <f t="shared" si="2"/>
        <v>-800</v>
      </c>
      <c r="M36" s="11">
        <f t="shared" si="2"/>
        <v>-675</v>
      </c>
    </row>
    <row r="38" spans="1:13" s="2" customFormat="1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</row>
    <row r="39" spans="1:13">
      <c r="A39" s="1" t="s">
        <v>2</v>
      </c>
      <c r="B39" s="1">
        <f>SUM(B40:B44)</f>
        <v>600</v>
      </c>
      <c r="C39" s="1">
        <f t="shared" ref="C39:M39" si="3">SUM(C40:C44)</f>
        <v>660</v>
      </c>
      <c r="D39" s="1">
        <f t="shared" si="3"/>
        <v>730</v>
      </c>
      <c r="E39" s="1">
        <f t="shared" si="3"/>
        <v>735</v>
      </c>
      <c r="F39" s="1">
        <f t="shared" si="3"/>
        <v>760</v>
      </c>
      <c r="G39" s="1">
        <f t="shared" si="3"/>
        <v>800</v>
      </c>
      <c r="H39" s="1">
        <f t="shared" si="3"/>
        <v>600</v>
      </c>
      <c r="I39" s="1">
        <f t="shared" si="3"/>
        <v>660</v>
      </c>
      <c r="J39" s="1">
        <f t="shared" si="3"/>
        <v>760</v>
      </c>
      <c r="K39" s="1">
        <f t="shared" si="3"/>
        <v>800</v>
      </c>
      <c r="L39" s="1">
        <f t="shared" si="3"/>
        <v>800</v>
      </c>
      <c r="M39" s="1">
        <f t="shared" si="3"/>
        <v>675</v>
      </c>
    </row>
    <row r="40" spans="1:13">
      <c r="A40" s="4" t="s">
        <v>34</v>
      </c>
      <c r="B40" s="4">
        <v>100</v>
      </c>
      <c r="C40" s="4">
        <v>100</v>
      </c>
      <c r="D40" s="4">
        <v>50</v>
      </c>
      <c r="E40" s="4">
        <v>40</v>
      </c>
      <c r="F40" s="4">
        <v>50</v>
      </c>
      <c r="G40" s="4">
        <v>140</v>
      </c>
      <c r="H40" s="4">
        <v>200</v>
      </c>
      <c r="I40" s="4">
        <v>200</v>
      </c>
      <c r="J40" s="4">
        <v>100</v>
      </c>
      <c r="K40" s="4">
        <v>100</v>
      </c>
      <c r="L40" s="4">
        <v>100</v>
      </c>
      <c r="M40" s="4">
        <v>70</v>
      </c>
    </row>
    <row r="41" spans="1:13">
      <c r="A41" s="4" t="s">
        <v>35</v>
      </c>
      <c r="B41" s="4">
        <v>210</v>
      </c>
      <c r="C41" s="4">
        <v>240</v>
      </c>
      <c r="D41" s="4">
        <v>240</v>
      </c>
      <c r="E41" s="4">
        <v>220</v>
      </c>
      <c r="F41" s="4">
        <v>220</v>
      </c>
      <c r="G41" s="4">
        <v>220</v>
      </c>
      <c r="H41" s="4">
        <v>240</v>
      </c>
      <c r="I41" s="4">
        <v>0</v>
      </c>
      <c r="J41" s="4">
        <v>200</v>
      </c>
      <c r="K41" s="4">
        <v>200</v>
      </c>
      <c r="L41" s="4">
        <v>200</v>
      </c>
      <c r="M41" s="4">
        <v>170</v>
      </c>
    </row>
    <row r="42" spans="1:13">
      <c r="A42" s="4" t="s">
        <v>36</v>
      </c>
      <c r="B42" s="4">
        <v>100</v>
      </c>
      <c r="C42" s="4">
        <v>120</v>
      </c>
      <c r="D42" s="4">
        <v>240</v>
      </c>
      <c r="E42" s="4">
        <v>210</v>
      </c>
      <c r="F42" s="4">
        <v>210</v>
      </c>
      <c r="G42" s="4">
        <v>200</v>
      </c>
      <c r="H42" s="4">
        <v>160</v>
      </c>
      <c r="I42" s="4">
        <v>220</v>
      </c>
      <c r="J42" s="4">
        <v>220</v>
      </c>
      <c r="K42" s="4">
        <v>220</v>
      </c>
      <c r="L42" s="4">
        <v>220</v>
      </c>
      <c r="M42" s="4">
        <v>200</v>
      </c>
    </row>
    <row r="43" spans="1:13">
      <c r="A43" s="4" t="s">
        <v>37</v>
      </c>
      <c r="B43" s="4">
        <v>190</v>
      </c>
      <c r="C43" s="4">
        <v>200</v>
      </c>
      <c r="D43" s="4">
        <v>200</v>
      </c>
      <c r="E43" s="4">
        <v>200</v>
      </c>
      <c r="F43" s="4">
        <v>200</v>
      </c>
      <c r="G43" s="4">
        <v>200</v>
      </c>
      <c r="H43" s="4">
        <v>0</v>
      </c>
      <c r="I43" s="4">
        <v>200</v>
      </c>
      <c r="J43" s="4">
        <v>200</v>
      </c>
      <c r="K43" s="4">
        <v>200</v>
      </c>
      <c r="L43" s="4">
        <v>200</v>
      </c>
      <c r="M43" s="4">
        <v>170</v>
      </c>
    </row>
    <row r="44" spans="1:13">
      <c r="A44" s="4" t="s">
        <v>38</v>
      </c>
      <c r="B44" s="4"/>
      <c r="C44" s="4"/>
      <c r="D44" s="4"/>
      <c r="E44" s="4">
        <v>65</v>
      </c>
      <c r="F44" s="4">
        <v>80</v>
      </c>
      <c r="G44" s="4">
        <v>40</v>
      </c>
      <c r="H44" s="4">
        <v>0</v>
      </c>
      <c r="I44" s="4">
        <v>40</v>
      </c>
      <c r="J44" s="4">
        <v>40</v>
      </c>
      <c r="K44" s="4">
        <v>80</v>
      </c>
      <c r="L44" s="4">
        <v>80</v>
      </c>
      <c r="M44" s="4">
        <v>65</v>
      </c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93B5-2D7D-47D6-8857-1B8DEE759EAC}">
  <dimension ref="A1:M46"/>
  <sheetViews>
    <sheetView topLeftCell="A8" zoomScaleNormal="100" workbookViewId="0">
      <selection activeCell="Q26" sqref="Q26"/>
    </sheetView>
  </sheetViews>
  <sheetFormatPr defaultRowHeight="14.4"/>
  <cols>
    <col min="1" max="1" width="32.33203125" bestFit="1" customWidth="1"/>
    <col min="2" max="3" width="11" bestFit="1" customWidth="1"/>
  </cols>
  <sheetData>
    <row r="1" spans="1:13" s="2" customFormat="1">
      <c r="A1" s="5" t="s">
        <v>3</v>
      </c>
      <c r="B1" s="6">
        <v>46063</v>
      </c>
      <c r="C1" s="6">
        <v>46086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s="9" customFormat="1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 s="2" customFormat="1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>
      <c r="A4" t="s">
        <v>55</v>
      </c>
      <c r="B4" s="10">
        <v>176</v>
      </c>
      <c r="C4" s="10">
        <v>133</v>
      </c>
      <c r="D4" s="10">
        <v>180</v>
      </c>
      <c r="E4" s="10">
        <v>208</v>
      </c>
      <c r="F4" s="10"/>
      <c r="G4" s="10"/>
      <c r="H4" s="10"/>
      <c r="I4" s="10"/>
      <c r="J4" s="10"/>
      <c r="K4" s="10"/>
      <c r="L4" s="10"/>
      <c r="M4" s="10"/>
    </row>
    <row r="5" spans="1:13">
      <c r="A5" t="s">
        <v>56</v>
      </c>
      <c r="B5" s="10">
        <v>204</v>
      </c>
      <c r="C5" s="10">
        <v>199</v>
      </c>
      <c r="D5" s="10">
        <v>219</v>
      </c>
      <c r="E5" s="10">
        <v>154</v>
      </c>
      <c r="F5" s="10"/>
      <c r="G5" s="10"/>
      <c r="H5" s="10"/>
      <c r="I5" s="10"/>
      <c r="J5" s="10"/>
      <c r="K5" s="10"/>
      <c r="L5" s="10"/>
      <c r="M5" s="10"/>
    </row>
    <row r="6" spans="1:13">
      <c r="A6" t="s">
        <v>57</v>
      </c>
      <c r="B6" s="10">
        <v>190</v>
      </c>
      <c r="C6" s="10">
        <v>251</v>
      </c>
      <c r="D6" s="10">
        <v>278</v>
      </c>
      <c r="E6" s="10">
        <v>169</v>
      </c>
      <c r="F6" s="10"/>
      <c r="G6" s="10"/>
      <c r="H6" s="10"/>
      <c r="I6" s="10"/>
      <c r="J6" s="10"/>
      <c r="K6" s="10"/>
      <c r="L6" s="10"/>
      <c r="M6" s="10"/>
    </row>
    <row r="7" spans="1:13">
      <c r="A7" t="s">
        <v>58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>
      <c r="A8" t="s">
        <v>59</v>
      </c>
      <c r="B8" s="10">
        <v>204</v>
      </c>
      <c r="C8" s="10">
        <v>207</v>
      </c>
      <c r="D8" s="10">
        <v>178</v>
      </c>
      <c r="E8" s="10">
        <v>219</v>
      </c>
      <c r="F8" s="10"/>
      <c r="G8" s="10"/>
      <c r="H8" s="10"/>
      <c r="I8" s="10"/>
      <c r="J8" s="10"/>
      <c r="K8" s="10"/>
      <c r="L8" s="10"/>
      <c r="M8" s="10"/>
    </row>
    <row r="9" spans="1:13">
      <c r="A9" t="s">
        <v>60</v>
      </c>
      <c r="B9" s="10">
        <v>147</v>
      </c>
      <c r="C9" s="10">
        <v>264</v>
      </c>
      <c r="D9" s="10">
        <v>248</v>
      </c>
      <c r="E9" s="10">
        <v>191</v>
      </c>
      <c r="F9" s="10"/>
      <c r="G9" s="10"/>
      <c r="H9" s="10"/>
      <c r="I9" s="10"/>
      <c r="J9" s="10"/>
      <c r="K9" s="10"/>
      <c r="L9" s="10"/>
      <c r="M9" s="10"/>
    </row>
    <row r="10" spans="1:13">
      <c r="A10" t="s">
        <v>61</v>
      </c>
      <c r="B10" s="10">
        <v>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" thickBot="1">
      <c r="B18" s="11">
        <f t="shared" ref="B18:M18" si="0">SUM(B4:B17)</f>
        <v>926</v>
      </c>
      <c r="C18" s="11">
        <f t="shared" si="0"/>
        <v>1054</v>
      </c>
      <c r="D18" s="11">
        <f t="shared" si="0"/>
        <v>1103</v>
      </c>
      <c r="E18" s="11">
        <f t="shared" si="0"/>
        <v>941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3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3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>
      <c r="A22" t="s">
        <v>55</v>
      </c>
      <c r="B22" s="12">
        <f t="shared" ref="B22:M35" si="1">SUM(B4-B40)</f>
        <v>-14</v>
      </c>
      <c r="C22" s="12">
        <f t="shared" si="1"/>
        <v>-71</v>
      </c>
      <c r="D22" s="12">
        <f t="shared" si="1"/>
        <v>26</v>
      </c>
      <c r="E22" s="12">
        <f t="shared" si="1"/>
        <v>16</v>
      </c>
      <c r="F22" s="12">
        <f t="shared" si="1"/>
        <v>-192</v>
      </c>
      <c r="G22" s="12">
        <f t="shared" si="1"/>
        <v>-143</v>
      </c>
      <c r="H22" s="12">
        <f t="shared" si="1"/>
        <v>-102</v>
      </c>
      <c r="I22" s="12">
        <f t="shared" si="1"/>
        <v>-153</v>
      </c>
      <c r="J22" s="12">
        <f t="shared" si="1"/>
        <v>-204</v>
      </c>
      <c r="K22" s="12">
        <f t="shared" si="1"/>
        <v>-204</v>
      </c>
      <c r="L22" s="12">
        <f t="shared" si="1"/>
        <v>-153</v>
      </c>
      <c r="M22" s="12">
        <f t="shared" si="1"/>
        <v>-144</v>
      </c>
    </row>
    <row r="23" spans="1:13">
      <c r="A23" t="s">
        <v>56</v>
      </c>
      <c r="B23" s="12">
        <f t="shared" si="1"/>
        <v>41</v>
      </c>
      <c r="C23" s="12">
        <f t="shared" si="1"/>
        <v>55</v>
      </c>
      <c r="D23" s="12">
        <f t="shared" si="1"/>
        <v>27</v>
      </c>
      <c r="E23" s="12">
        <f t="shared" si="1"/>
        <v>0</v>
      </c>
      <c r="F23" s="12">
        <f t="shared" si="1"/>
        <v>-190</v>
      </c>
      <c r="G23" s="12">
        <f t="shared" si="1"/>
        <v>-170</v>
      </c>
      <c r="H23" s="12">
        <f t="shared" si="1"/>
        <v>-48</v>
      </c>
      <c r="I23" s="12">
        <f t="shared" si="1"/>
        <v>-96</v>
      </c>
      <c r="J23" s="12">
        <f t="shared" si="1"/>
        <v>-192</v>
      </c>
      <c r="K23" s="12">
        <f t="shared" si="1"/>
        <v>-173</v>
      </c>
      <c r="L23" s="12">
        <f t="shared" si="1"/>
        <v>-192</v>
      </c>
      <c r="M23" s="12">
        <f t="shared" si="1"/>
        <v>-144</v>
      </c>
    </row>
    <row r="24" spans="1:13">
      <c r="A24" t="s">
        <v>57</v>
      </c>
      <c r="B24" s="12">
        <f t="shared" si="1"/>
        <v>-2</v>
      </c>
      <c r="C24" s="12">
        <f t="shared" si="1"/>
        <v>131</v>
      </c>
      <c r="D24" s="12">
        <f t="shared" si="1"/>
        <v>62</v>
      </c>
      <c r="E24" s="12">
        <f t="shared" si="1"/>
        <v>-6</v>
      </c>
      <c r="F24" s="12">
        <f t="shared" si="1"/>
        <v>-192</v>
      </c>
      <c r="G24" s="12">
        <f t="shared" si="1"/>
        <v>-156</v>
      </c>
      <c r="H24" s="12">
        <f t="shared" si="1"/>
        <v>-120</v>
      </c>
      <c r="I24" s="12">
        <f t="shared" si="1"/>
        <v>-160</v>
      </c>
      <c r="J24" s="12">
        <f t="shared" si="1"/>
        <v>-150</v>
      </c>
      <c r="K24" s="12">
        <f t="shared" si="1"/>
        <v>-180</v>
      </c>
      <c r="L24" s="12">
        <f t="shared" si="1"/>
        <v>-220</v>
      </c>
      <c r="M24" s="12">
        <f t="shared" si="1"/>
        <v>-168</v>
      </c>
    </row>
    <row r="25" spans="1:13">
      <c r="A25" t="s">
        <v>58</v>
      </c>
      <c r="B25" s="12">
        <f t="shared" si="1"/>
        <v>0</v>
      </c>
      <c r="C25" s="12">
        <f t="shared" si="1"/>
        <v>0</v>
      </c>
      <c r="D25" s="12">
        <f t="shared" si="1"/>
        <v>-100</v>
      </c>
      <c r="E25" s="12">
        <f t="shared" si="1"/>
        <v>-90</v>
      </c>
      <c r="F25" s="12">
        <f t="shared" si="1"/>
        <v>-120</v>
      </c>
      <c r="G25" s="12">
        <f t="shared" si="1"/>
        <v>-100</v>
      </c>
      <c r="H25" s="12">
        <f t="shared" si="1"/>
        <v>-30</v>
      </c>
      <c r="I25" s="12">
        <f t="shared" si="1"/>
        <v>-60</v>
      </c>
      <c r="J25" s="12">
        <f t="shared" si="1"/>
        <v>-100</v>
      </c>
      <c r="K25" s="12">
        <f t="shared" si="1"/>
        <v>-100</v>
      </c>
      <c r="L25" s="12">
        <f t="shared" si="1"/>
        <v>-100</v>
      </c>
      <c r="M25" s="12">
        <f t="shared" si="1"/>
        <v>-90</v>
      </c>
    </row>
    <row r="26" spans="1:13">
      <c r="A26" t="s">
        <v>59</v>
      </c>
      <c r="B26" s="12">
        <f t="shared" si="1"/>
        <v>9</v>
      </c>
      <c r="C26" s="12">
        <f t="shared" si="1"/>
        <v>52</v>
      </c>
      <c r="D26" s="12">
        <f t="shared" si="1"/>
        <v>-26</v>
      </c>
      <c r="E26" s="12">
        <f t="shared" si="1"/>
        <v>24</v>
      </c>
      <c r="F26" s="12">
        <f t="shared" si="1"/>
        <v>-195</v>
      </c>
      <c r="G26" s="12">
        <f t="shared" si="1"/>
        <v>-195</v>
      </c>
      <c r="H26" s="12">
        <f t="shared" si="1"/>
        <v>-100</v>
      </c>
      <c r="I26" s="12">
        <f t="shared" si="1"/>
        <v>-154</v>
      </c>
      <c r="J26" s="12">
        <f t="shared" si="1"/>
        <v>-204</v>
      </c>
      <c r="K26" s="12">
        <f t="shared" si="1"/>
        <v>-204</v>
      </c>
      <c r="L26" s="12">
        <f t="shared" si="1"/>
        <v>-204</v>
      </c>
      <c r="M26" s="12">
        <f t="shared" si="1"/>
        <v>-144</v>
      </c>
    </row>
    <row r="27" spans="1:13">
      <c r="A27" t="s">
        <v>60</v>
      </c>
      <c r="B27" s="12">
        <f t="shared" si="1"/>
        <v>3</v>
      </c>
      <c r="C27" s="12">
        <f t="shared" si="1"/>
        <v>74</v>
      </c>
      <c r="D27" s="12">
        <f t="shared" si="1"/>
        <v>48</v>
      </c>
      <c r="E27" s="12">
        <f t="shared" si="1"/>
        <v>-9</v>
      </c>
      <c r="F27" s="12">
        <f t="shared" si="1"/>
        <v>-156</v>
      </c>
      <c r="G27" s="12">
        <f t="shared" si="1"/>
        <v>-200</v>
      </c>
      <c r="H27" s="12">
        <f t="shared" si="1"/>
        <v>-120</v>
      </c>
      <c r="I27" s="12">
        <f t="shared" si="1"/>
        <v>-120</v>
      </c>
      <c r="J27" s="12">
        <f t="shared" si="1"/>
        <v>-220</v>
      </c>
      <c r="K27" s="12">
        <f t="shared" si="1"/>
        <v>-228</v>
      </c>
      <c r="L27" s="12">
        <f t="shared" si="1"/>
        <v>-228</v>
      </c>
      <c r="M27" s="12">
        <f t="shared" si="1"/>
        <v>-180</v>
      </c>
    </row>
    <row r="28" spans="1:13">
      <c r="A28" t="s">
        <v>61</v>
      </c>
      <c r="B28" s="12">
        <f t="shared" si="1"/>
        <v>5</v>
      </c>
      <c r="C28" s="12">
        <f t="shared" si="1"/>
        <v>0</v>
      </c>
      <c r="D28" s="12">
        <f t="shared" si="1"/>
        <v>0</v>
      </c>
      <c r="E28" s="12">
        <f t="shared" si="1"/>
        <v>0</v>
      </c>
      <c r="F28" s="12">
        <f t="shared" si="1"/>
        <v>0</v>
      </c>
      <c r="G28" s="12">
        <f t="shared" si="1"/>
        <v>0</v>
      </c>
      <c r="H28" s="12">
        <f t="shared" si="1"/>
        <v>0</v>
      </c>
      <c r="I28" s="12">
        <f t="shared" si="1"/>
        <v>0</v>
      </c>
      <c r="J28" s="12">
        <f t="shared" si="1"/>
        <v>0</v>
      </c>
      <c r="K28" s="12">
        <f t="shared" si="1"/>
        <v>0</v>
      </c>
      <c r="L28" s="12">
        <f t="shared" si="1"/>
        <v>0</v>
      </c>
      <c r="M28" s="12">
        <f t="shared" si="1"/>
        <v>0</v>
      </c>
    </row>
    <row r="29" spans="1:13">
      <c r="B29" s="12">
        <f t="shared" si="1"/>
        <v>0</v>
      </c>
      <c r="C29" s="12">
        <f t="shared" si="1"/>
        <v>0</v>
      </c>
      <c r="D29" s="12">
        <f t="shared" si="1"/>
        <v>0</v>
      </c>
      <c r="E29" s="12">
        <f t="shared" si="1"/>
        <v>0</v>
      </c>
      <c r="F29" s="12">
        <f t="shared" si="1"/>
        <v>0</v>
      </c>
      <c r="G29" s="12">
        <f t="shared" si="1"/>
        <v>0</v>
      </c>
      <c r="H29" s="12">
        <f t="shared" si="1"/>
        <v>0</v>
      </c>
      <c r="I29" s="12">
        <f t="shared" si="1"/>
        <v>0</v>
      </c>
      <c r="J29" s="12">
        <f t="shared" si="1"/>
        <v>0</v>
      </c>
      <c r="K29" s="12">
        <f t="shared" si="1"/>
        <v>0</v>
      </c>
      <c r="L29" s="12">
        <f t="shared" si="1"/>
        <v>0</v>
      </c>
      <c r="M29" s="12">
        <f t="shared" si="1"/>
        <v>0</v>
      </c>
    </row>
    <row r="30" spans="1:13">
      <c r="B30" s="12">
        <f t="shared" si="1"/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2">
        <f t="shared" si="1"/>
        <v>0</v>
      </c>
      <c r="H30" s="12">
        <f t="shared" si="1"/>
        <v>0</v>
      </c>
      <c r="I30" s="12">
        <f t="shared" si="1"/>
        <v>0</v>
      </c>
      <c r="J30" s="12">
        <f t="shared" si="1"/>
        <v>0</v>
      </c>
      <c r="K30" s="12">
        <f t="shared" si="1"/>
        <v>0</v>
      </c>
      <c r="L30" s="12">
        <f t="shared" si="1"/>
        <v>0</v>
      </c>
      <c r="M30" s="12">
        <f t="shared" si="1"/>
        <v>0</v>
      </c>
    </row>
    <row r="31" spans="1:13">
      <c r="B31" s="12">
        <f t="shared" si="1"/>
        <v>0</v>
      </c>
      <c r="C31" s="12">
        <f t="shared" si="1"/>
        <v>0</v>
      </c>
      <c r="D31" s="12">
        <f t="shared" si="1"/>
        <v>0</v>
      </c>
      <c r="E31" s="12">
        <f t="shared" si="1"/>
        <v>0</v>
      </c>
      <c r="F31" s="12">
        <f t="shared" si="1"/>
        <v>0</v>
      </c>
      <c r="G31" s="12">
        <f t="shared" si="1"/>
        <v>0</v>
      </c>
      <c r="H31" s="12">
        <f t="shared" si="1"/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</row>
    <row r="32" spans="1:13">
      <c r="B32" s="12">
        <f t="shared" si="1"/>
        <v>0</v>
      </c>
      <c r="C32" s="12">
        <f t="shared" si="1"/>
        <v>0</v>
      </c>
      <c r="D32" s="12">
        <f t="shared" si="1"/>
        <v>0</v>
      </c>
      <c r="E32" s="12">
        <f t="shared" si="1"/>
        <v>0</v>
      </c>
      <c r="F32" s="12">
        <f t="shared" si="1"/>
        <v>0</v>
      </c>
      <c r="G32" s="12">
        <f t="shared" si="1"/>
        <v>0</v>
      </c>
      <c r="H32" s="12">
        <f t="shared" si="1"/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</row>
    <row r="33" spans="1:13">
      <c r="B33" s="12">
        <f t="shared" si="1"/>
        <v>0</v>
      </c>
      <c r="C33" s="12">
        <f t="shared" si="1"/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</row>
    <row r="34" spans="1:13">
      <c r="B34" s="12">
        <f t="shared" si="1"/>
        <v>0</v>
      </c>
      <c r="C34" s="12">
        <f t="shared" si="1"/>
        <v>0</v>
      </c>
      <c r="D34" s="12">
        <f t="shared" si="1"/>
        <v>0</v>
      </c>
      <c r="E34" s="12">
        <f t="shared" si="1"/>
        <v>0</v>
      </c>
      <c r="F34" s="12">
        <f t="shared" si="1"/>
        <v>0</v>
      </c>
      <c r="G34" s="12">
        <f t="shared" si="1"/>
        <v>0</v>
      </c>
      <c r="H34" s="12">
        <f t="shared" si="1"/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</row>
    <row r="35" spans="1:13" ht="15" thickBot="1">
      <c r="B35" s="12">
        <f t="shared" si="1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</row>
    <row r="36" spans="1:13" ht="15" thickBot="1">
      <c r="B36" s="11">
        <f t="shared" ref="B36:M36" si="2">SUM(B22:B35)</f>
        <v>42</v>
      </c>
      <c r="C36" s="11">
        <f t="shared" si="2"/>
        <v>241</v>
      </c>
      <c r="D36" s="11">
        <f t="shared" si="2"/>
        <v>37</v>
      </c>
      <c r="E36" s="11">
        <f t="shared" si="2"/>
        <v>-65</v>
      </c>
      <c r="F36" s="11">
        <f t="shared" si="2"/>
        <v>-1045</v>
      </c>
      <c r="G36" s="11">
        <f t="shared" si="2"/>
        <v>-964</v>
      </c>
      <c r="H36" s="11">
        <f t="shared" si="2"/>
        <v>-520</v>
      </c>
      <c r="I36" s="11">
        <f t="shared" si="2"/>
        <v>-743</v>
      </c>
      <c r="J36" s="11">
        <f t="shared" si="2"/>
        <v>-1070</v>
      </c>
      <c r="K36" s="11">
        <f t="shared" si="2"/>
        <v>-1089</v>
      </c>
      <c r="L36" s="11">
        <f t="shared" si="2"/>
        <v>-1097</v>
      </c>
      <c r="M36" s="11">
        <f t="shared" si="2"/>
        <v>-870</v>
      </c>
    </row>
    <row r="38" spans="1:13" s="2" customFormat="1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2" t="s">
        <v>0</v>
      </c>
      <c r="M38" s="2" t="s">
        <v>0</v>
      </c>
    </row>
    <row r="39" spans="1:13">
      <c r="A39" s="1" t="s">
        <v>2</v>
      </c>
      <c r="B39" s="1">
        <v>890</v>
      </c>
      <c r="C39" s="1">
        <v>1105</v>
      </c>
      <c r="D39" s="1">
        <v>1295</v>
      </c>
      <c r="E39" s="1">
        <v>1050</v>
      </c>
      <c r="F39" s="1">
        <v>1180</v>
      </c>
      <c r="G39" s="1">
        <v>890</v>
      </c>
      <c r="H39" s="1">
        <v>240</v>
      </c>
      <c r="I39" s="1">
        <v>1040</v>
      </c>
      <c r="J39" s="1">
        <v>1285</v>
      </c>
      <c r="K39" s="1">
        <v>1283</v>
      </c>
      <c r="L39" s="1">
        <v>1188</v>
      </c>
      <c r="M39" s="1">
        <v>1040</v>
      </c>
    </row>
    <row r="40" spans="1:13">
      <c r="A40" s="32" t="s">
        <v>55</v>
      </c>
      <c r="B40" s="32">
        <v>190</v>
      </c>
      <c r="C40" s="32">
        <v>204</v>
      </c>
      <c r="D40" s="32">
        <v>154</v>
      </c>
      <c r="E40" s="32">
        <v>192</v>
      </c>
      <c r="F40" s="32">
        <v>192</v>
      </c>
      <c r="G40" s="32">
        <v>143</v>
      </c>
      <c r="H40" s="32">
        <v>102</v>
      </c>
      <c r="I40" s="32">
        <v>153</v>
      </c>
      <c r="J40" s="32">
        <v>204</v>
      </c>
      <c r="K40" s="32">
        <v>204</v>
      </c>
      <c r="L40" s="32">
        <v>153</v>
      </c>
      <c r="M40" s="32">
        <v>144</v>
      </c>
    </row>
    <row r="41" spans="1:13">
      <c r="A41" s="32" t="s">
        <v>56</v>
      </c>
      <c r="B41" s="32">
        <v>163</v>
      </c>
      <c r="C41" s="32">
        <v>144</v>
      </c>
      <c r="D41" s="32">
        <v>192</v>
      </c>
      <c r="E41" s="32">
        <v>154</v>
      </c>
      <c r="F41" s="32">
        <v>190</v>
      </c>
      <c r="G41" s="32">
        <v>170</v>
      </c>
      <c r="H41" s="32">
        <v>48</v>
      </c>
      <c r="I41" s="32">
        <v>96</v>
      </c>
      <c r="J41" s="32">
        <v>192</v>
      </c>
      <c r="K41" s="32">
        <v>173</v>
      </c>
      <c r="L41" s="32">
        <v>192</v>
      </c>
      <c r="M41" s="32">
        <v>144</v>
      </c>
    </row>
    <row r="42" spans="1:13">
      <c r="A42" s="32" t="s">
        <v>57</v>
      </c>
      <c r="B42" s="32">
        <v>192</v>
      </c>
      <c r="C42" s="32">
        <v>120</v>
      </c>
      <c r="D42" s="32">
        <v>216</v>
      </c>
      <c r="E42" s="32">
        <v>175</v>
      </c>
      <c r="F42" s="32">
        <v>192</v>
      </c>
      <c r="G42" s="32">
        <v>156</v>
      </c>
      <c r="H42" s="32">
        <v>120</v>
      </c>
      <c r="I42" s="32">
        <v>160</v>
      </c>
      <c r="J42" s="32">
        <v>150</v>
      </c>
      <c r="K42" s="32">
        <v>180</v>
      </c>
      <c r="L42" s="32">
        <v>220</v>
      </c>
      <c r="M42" s="32">
        <v>168</v>
      </c>
    </row>
    <row r="43" spans="1:13">
      <c r="A43" s="32" t="s">
        <v>58</v>
      </c>
      <c r="B43" s="32">
        <v>0</v>
      </c>
      <c r="C43" s="32">
        <v>0</v>
      </c>
      <c r="D43" s="32">
        <v>100</v>
      </c>
      <c r="E43" s="32">
        <v>90</v>
      </c>
      <c r="F43" s="32">
        <v>120</v>
      </c>
      <c r="G43" s="32">
        <v>100</v>
      </c>
      <c r="H43" s="32">
        <v>30</v>
      </c>
      <c r="I43" s="32">
        <v>60</v>
      </c>
      <c r="J43" s="32">
        <v>100</v>
      </c>
      <c r="K43" s="32">
        <v>100</v>
      </c>
      <c r="L43" s="32">
        <v>100</v>
      </c>
      <c r="M43" s="32">
        <v>90</v>
      </c>
    </row>
    <row r="44" spans="1:13">
      <c r="A44" s="32" t="s">
        <v>59</v>
      </c>
      <c r="B44" s="32">
        <v>195</v>
      </c>
      <c r="C44" s="32">
        <v>155</v>
      </c>
      <c r="D44" s="32">
        <v>204</v>
      </c>
      <c r="E44" s="32">
        <v>195</v>
      </c>
      <c r="F44" s="32">
        <v>195</v>
      </c>
      <c r="G44" s="32">
        <v>195</v>
      </c>
      <c r="H44" s="32">
        <v>100</v>
      </c>
      <c r="I44" s="32">
        <v>154</v>
      </c>
      <c r="J44" s="32">
        <v>204</v>
      </c>
      <c r="K44" s="32">
        <v>204</v>
      </c>
      <c r="L44" s="32">
        <v>204</v>
      </c>
      <c r="M44" s="32">
        <v>144</v>
      </c>
    </row>
    <row r="45" spans="1:13">
      <c r="A45" s="32" t="s">
        <v>60</v>
      </c>
      <c r="B45" s="32">
        <v>144</v>
      </c>
      <c r="C45" s="32">
        <v>190</v>
      </c>
      <c r="D45" s="32">
        <v>200</v>
      </c>
      <c r="E45" s="32">
        <v>200</v>
      </c>
      <c r="F45" s="32">
        <v>156</v>
      </c>
      <c r="G45" s="32">
        <v>200</v>
      </c>
      <c r="H45" s="32">
        <v>120</v>
      </c>
      <c r="I45" s="32">
        <v>120</v>
      </c>
      <c r="J45" s="32">
        <v>220</v>
      </c>
      <c r="K45" s="32">
        <v>228</v>
      </c>
      <c r="L45" s="32">
        <v>228</v>
      </c>
      <c r="M45" s="32">
        <v>180</v>
      </c>
    </row>
    <row r="46" spans="1:13">
      <c r="A46" t="s">
        <v>61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700F-66DB-4B61-8014-D1A385DE0AAA}">
  <dimension ref="A1:M48"/>
  <sheetViews>
    <sheetView topLeftCell="A16" zoomScaleNormal="100" workbookViewId="0">
      <selection activeCell="E10" sqref="E10"/>
    </sheetView>
  </sheetViews>
  <sheetFormatPr defaultRowHeight="14.4"/>
  <cols>
    <col min="1" max="1" width="36.44140625" bestFit="1" customWidth="1"/>
    <col min="2" max="4" width="11" bestFit="1" customWidth="1"/>
  </cols>
  <sheetData>
    <row r="1" spans="1:13" s="2" customFormat="1">
      <c r="A1" s="5" t="s">
        <v>3</v>
      </c>
      <c r="B1" s="6">
        <v>46063</v>
      </c>
      <c r="C1" s="6">
        <v>46086</v>
      </c>
      <c r="D1" s="6">
        <v>46106</v>
      </c>
      <c r="E1" s="6"/>
      <c r="F1" s="6"/>
      <c r="G1" s="6"/>
      <c r="H1" s="6"/>
      <c r="I1" s="6"/>
      <c r="J1" s="6"/>
      <c r="K1" s="6"/>
      <c r="L1" s="6"/>
      <c r="M1" s="6"/>
    </row>
    <row r="2" spans="1:13" s="9" customFormat="1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 s="2" customFormat="1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>
      <c r="A4" t="s">
        <v>86</v>
      </c>
      <c r="B4" s="10">
        <v>184</v>
      </c>
      <c r="C4" s="10">
        <v>119</v>
      </c>
      <c r="D4" s="10">
        <v>253</v>
      </c>
      <c r="E4" s="10">
        <v>218</v>
      </c>
      <c r="F4" s="10"/>
      <c r="G4" s="10"/>
      <c r="H4" s="10"/>
      <c r="I4" s="10"/>
      <c r="J4" s="10"/>
      <c r="K4" s="10"/>
      <c r="L4" s="10"/>
      <c r="M4" s="10"/>
    </row>
    <row r="5" spans="1:13">
      <c r="A5" t="s">
        <v>63</v>
      </c>
      <c r="B5" s="10">
        <v>149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>
      <c r="A6" t="s">
        <v>87</v>
      </c>
      <c r="B6" s="10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>
      <c r="A7" t="s">
        <v>70</v>
      </c>
      <c r="B7" s="10"/>
      <c r="C7" s="10">
        <v>122</v>
      </c>
      <c r="D7" s="10">
        <v>186</v>
      </c>
      <c r="E7" s="10">
        <v>177</v>
      </c>
      <c r="F7" s="10"/>
      <c r="G7" s="10"/>
      <c r="H7" s="10"/>
      <c r="I7" s="10"/>
      <c r="J7" s="10"/>
      <c r="K7" s="10"/>
      <c r="L7" s="10"/>
      <c r="M7" s="10"/>
    </row>
    <row r="8" spans="1:13">
      <c r="A8" t="s">
        <v>80</v>
      </c>
      <c r="B8" s="10">
        <v>167</v>
      </c>
      <c r="C8" s="10">
        <v>148</v>
      </c>
      <c r="D8" s="10">
        <v>129</v>
      </c>
      <c r="E8" s="10">
        <v>203</v>
      </c>
      <c r="F8" s="10"/>
      <c r="G8" s="10"/>
      <c r="H8" s="10"/>
      <c r="I8" s="10"/>
      <c r="J8" s="10"/>
      <c r="K8" s="10"/>
      <c r="L8" s="10"/>
      <c r="M8" s="10"/>
    </row>
    <row r="9" spans="1:13">
      <c r="A9" t="s">
        <v>69</v>
      </c>
      <c r="B9" s="10"/>
      <c r="C9" s="10">
        <v>7</v>
      </c>
      <c r="D9" s="10">
        <v>41</v>
      </c>
      <c r="E9" s="10">
        <v>156</v>
      </c>
      <c r="F9" s="10"/>
      <c r="G9" s="10"/>
      <c r="H9" s="10"/>
      <c r="I9" s="10"/>
      <c r="J9" s="10"/>
      <c r="K9" s="10"/>
      <c r="L9" s="10"/>
      <c r="M9" s="10"/>
    </row>
    <row r="10" spans="1:13">
      <c r="A10" t="s">
        <v>68</v>
      </c>
      <c r="B10" s="10">
        <v>46</v>
      </c>
      <c r="C10" s="10">
        <v>92</v>
      </c>
      <c r="D10" s="10">
        <v>19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" thickBot="1">
      <c r="B18" s="11">
        <f t="shared" ref="B18:M18" si="0">SUM(B4:B17)</f>
        <v>554</v>
      </c>
      <c r="C18" s="11">
        <f t="shared" si="0"/>
        <v>488</v>
      </c>
      <c r="D18" s="11">
        <f t="shared" si="0"/>
        <v>628</v>
      </c>
      <c r="E18" s="11">
        <f t="shared" si="0"/>
        <v>754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3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3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>
      <c r="A22" t="s">
        <v>62</v>
      </c>
      <c r="B22" s="12">
        <f t="shared" ref="B22:M35" si="1">SUM(B4-B40)</f>
        <v>-6</v>
      </c>
      <c r="C22" s="12">
        <f t="shared" si="1"/>
        <v>-111</v>
      </c>
      <c r="D22" s="12">
        <f t="shared" si="1"/>
        <v>23</v>
      </c>
      <c r="E22" s="12">
        <f t="shared" si="1"/>
        <v>18</v>
      </c>
      <c r="F22" s="12">
        <f t="shared" si="1"/>
        <v>-230</v>
      </c>
      <c r="G22" s="12">
        <f t="shared" si="1"/>
        <v>-220</v>
      </c>
      <c r="H22" s="12">
        <f t="shared" si="1"/>
        <v>-120</v>
      </c>
      <c r="I22" s="12">
        <f t="shared" si="1"/>
        <v>-165</v>
      </c>
      <c r="J22" s="12">
        <f t="shared" si="1"/>
        <v>-230</v>
      </c>
      <c r="K22" s="12">
        <f t="shared" si="1"/>
        <v>-230</v>
      </c>
      <c r="L22" s="12">
        <f t="shared" si="1"/>
        <v>-230</v>
      </c>
      <c r="M22" s="12">
        <f t="shared" si="1"/>
        <v>-180</v>
      </c>
    </row>
    <row r="23" spans="1:13">
      <c r="A23" t="s">
        <v>63</v>
      </c>
      <c r="B23" s="12">
        <f t="shared" si="1"/>
        <v>-41</v>
      </c>
      <c r="C23" s="12">
        <f t="shared" si="1"/>
        <v>0</v>
      </c>
      <c r="D23" s="12">
        <f t="shared" si="1"/>
        <v>0</v>
      </c>
      <c r="E23" s="12">
        <f t="shared" si="1"/>
        <v>0</v>
      </c>
      <c r="F23" s="12">
        <f t="shared" si="1"/>
        <v>0</v>
      </c>
      <c r="G23" s="12">
        <f t="shared" si="1"/>
        <v>0</v>
      </c>
      <c r="H23" s="12">
        <f t="shared" si="1"/>
        <v>0</v>
      </c>
      <c r="I23" s="12">
        <f t="shared" si="1"/>
        <v>0</v>
      </c>
      <c r="J23" s="12">
        <f t="shared" si="1"/>
        <v>0</v>
      </c>
      <c r="K23" s="12">
        <f t="shared" si="1"/>
        <v>0</v>
      </c>
      <c r="L23" s="12">
        <f t="shared" si="1"/>
        <v>0</v>
      </c>
      <c r="M23" s="12">
        <f t="shared" si="1"/>
        <v>0</v>
      </c>
    </row>
    <row r="24" spans="1:13">
      <c r="A24" t="s">
        <v>64</v>
      </c>
      <c r="B24" s="12">
        <f t="shared" si="1"/>
        <v>8</v>
      </c>
      <c r="C24" s="12">
        <f t="shared" si="1"/>
        <v>0</v>
      </c>
      <c r="D24" s="12">
        <f t="shared" si="1"/>
        <v>0</v>
      </c>
      <c r="E24" s="12">
        <f t="shared" si="1"/>
        <v>0</v>
      </c>
      <c r="F24" s="12">
        <f t="shared" si="1"/>
        <v>0</v>
      </c>
      <c r="G24" s="12">
        <f t="shared" si="1"/>
        <v>0</v>
      </c>
      <c r="H24" s="12">
        <f t="shared" si="1"/>
        <v>0</v>
      </c>
      <c r="I24" s="12">
        <f t="shared" si="1"/>
        <v>0</v>
      </c>
      <c r="J24" s="12">
        <f t="shared" si="1"/>
        <v>-120</v>
      </c>
      <c r="K24" s="12">
        <f t="shared" si="1"/>
        <v>-180</v>
      </c>
      <c r="L24" s="12">
        <f t="shared" si="1"/>
        <v>-180</v>
      </c>
      <c r="M24" s="12">
        <f t="shared" si="1"/>
        <v>-140</v>
      </c>
    </row>
    <row r="25" spans="1:13">
      <c r="A25" t="s">
        <v>65</v>
      </c>
      <c r="B25" s="12">
        <f t="shared" si="1"/>
        <v>-80</v>
      </c>
      <c r="C25" s="12">
        <f t="shared" si="1"/>
        <v>-58</v>
      </c>
      <c r="D25" s="12">
        <f t="shared" si="1"/>
        <v>-14</v>
      </c>
      <c r="E25" s="12">
        <f t="shared" si="1"/>
        <v>-23</v>
      </c>
      <c r="F25" s="12">
        <f t="shared" si="1"/>
        <v>-220</v>
      </c>
      <c r="G25" s="12">
        <f t="shared" si="1"/>
        <v>-200</v>
      </c>
      <c r="H25" s="12">
        <f t="shared" si="1"/>
        <v>-40</v>
      </c>
      <c r="I25" s="12">
        <f t="shared" si="1"/>
        <v>-160</v>
      </c>
      <c r="J25" s="12">
        <f t="shared" si="1"/>
        <v>0</v>
      </c>
      <c r="K25" s="12">
        <f t="shared" si="1"/>
        <v>0</v>
      </c>
      <c r="L25" s="12">
        <f t="shared" si="1"/>
        <v>0</v>
      </c>
      <c r="M25" s="12">
        <f t="shared" si="1"/>
        <v>0</v>
      </c>
    </row>
    <row r="26" spans="1:13">
      <c r="A26" t="s">
        <v>66</v>
      </c>
      <c r="B26" s="12">
        <f t="shared" si="1"/>
        <v>2</v>
      </c>
      <c r="C26" s="12">
        <f t="shared" si="1"/>
        <v>-52</v>
      </c>
      <c r="D26" s="12">
        <f t="shared" si="1"/>
        <v>-76</v>
      </c>
      <c r="E26" s="12">
        <f t="shared" si="1"/>
        <v>-2</v>
      </c>
      <c r="F26" s="12">
        <f t="shared" si="1"/>
        <v>-205</v>
      </c>
      <c r="G26" s="12">
        <f t="shared" si="1"/>
        <v>-205</v>
      </c>
      <c r="H26" s="12">
        <f t="shared" si="1"/>
        <v>-100</v>
      </c>
      <c r="I26" s="12">
        <f t="shared" si="1"/>
        <v>-100</v>
      </c>
      <c r="J26" s="12">
        <f t="shared" si="1"/>
        <v>-220</v>
      </c>
      <c r="K26" s="12">
        <f t="shared" si="1"/>
        <v>-220</v>
      </c>
      <c r="L26" s="12">
        <f t="shared" si="1"/>
        <v>-220</v>
      </c>
      <c r="M26" s="12">
        <f t="shared" si="1"/>
        <v>-160</v>
      </c>
    </row>
    <row r="27" spans="1:13">
      <c r="A27" t="s">
        <v>67</v>
      </c>
      <c r="B27" s="12">
        <f t="shared" si="1"/>
        <v>0</v>
      </c>
      <c r="C27" s="12">
        <f t="shared" si="1"/>
        <v>-93</v>
      </c>
      <c r="D27" s="12">
        <f t="shared" si="1"/>
        <v>-119</v>
      </c>
      <c r="E27" s="12">
        <f t="shared" si="1"/>
        <v>-44</v>
      </c>
      <c r="F27" s="12">
        <f t="shared" si="1"/>
        <v>-220</v>
      </c>
      <c r="G27" s="12">
        <f t="shared" si="1"/>
        <v>-220</v>
      </c>
      <c r="H27" s="12">
        <f t="shared" si="1"/>
        <v>-120</v>
      </c>
      <c r="I27" s="12">
        <f t="shared" si="1"/>
        <v>-120</v>
      </c>
      <c r="J27" s="12">
        <f t="shared" si="1"/>
        <v>-230</v>
      </c>
      <c r="K27" s="12">
        <f t="shared" si="1"/>
        <v>-230</v>
      </c>
      <c r="L27" s="12">
        <f t="shared" si="1"/>
        <v>-230</v>
      </c>
      <c r="M27" s="12">
        <f t="shared" si="1"/>
        <v>-180</v>
      </c>
    </row>
    <row r="28" spans="1:13">
      <c r="A28" t="s">
        <v>68</v>
      </c>
      <c r="B28" s="12">
        <f t="shared" si="1"/>
        <v>46</v>
      </c>
      <c r="C28" s="12">
        <f t="shared" si="1"/>
        <v>92</v>
      </c>
      <c r="D28" s="12">
        <f t="shared" si="1"/>
        <v>19</v>
      </c>
      <c r="E28" s="12">
        <f t="shared" si="1"/>
        <v>0</v>
      </c>
      <c r="F28" s="12">
        <f t="shared" si="1"/>
        <v>0</v>
      </c>
      <c r="G28" s="12">
        <f t="shared" si="1"/>
        <v>0</v>
      </c>
      <c r="H28" s="12">
        <f t="shared" si="1"/>
        <v>0</v>
      </c>
      <c r="I28" s="12">
        <f t="shared" si="1"/>
        <v>0</v>
      </c>
      <c r="J28" s="12">
        <f t="shared" si="1"/>
        <v>0</v>
      </c>
      <c r="K28" s="12">
        <f t="shared" si="1"/>
        <v>0</v>
      </c>
      <c r="L28" s="12">
        <f t="shared" si="1"/>
        <v>0</v>
      </c>
      <c r="M28" s="12">
        <f t="shared" si="1"/>
        <v>0</v>
      </c>
    </row>
    <row r="29" spans="1:13">
      <c r="B29" s="12">
        <f t="shared" si="1"/>
        <v>0</v>
      </c>
      <c r="C29" s="12">
        <f t="shared" si="1"/>
        <v>0</v>
      </c>
      <c r="D29" s="12">
        <f t="shared" si="1"/>
        <v>0</v>
      </c>
      <c r="E29" s="12">
        <f t="shared" si="1"/>
        <v>0</v>
      </c>
      <c r="F29" s="12">
        <f t="shared" si="1"/>
        <v>0</v>
      </c>
      <c r="G29" s="12">
        <f t="shared" si="1"/>
        <v>0</v>
      </c>
      <c r="H29" s="12">
        <f t="shared" si="1"/>
        <v>0</v>
      </c>
      <c r="I29" s="12">
        <f t="shared" si="1"/>
        <v>0</v>
      </c>
      <c r="J29" s="12">
        <f t="shared" si="1"/>
        <v>0</v>
      </c>
      <c r="K29" s="12">
        <f t="shared" si="1"/>
        <v>0</v>
      </c>
      <c r="L29" s="12">
        <f t="shared" si="1"/>
        <v>0</v>
      </c>
      <c r="M29" s="12">
        <f t="shared" si="1"/>
        <v>0</v>
      </c>
    </row>
    <row r="30" spans="1:13">
      <c r="B30" s="12">
        <f t="shared" si="1"/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2">
        <f t="shared" si="1"/>
        <v>0</v>
      </c>
      <c r="H30" s="12">
        <f t="shared" si="1"/>
        <v>0</v>
      </c>
      <c r="I30" s="12">
        <f t="shared" si="1"/>
        <v>0</v>
      </c>
      <c r="J30" s="12">
        <f t="shared" si="1"/>
        <v>0</v>
      </c>
      <c r="K30" s="12">
        <f t="shared" si="1"/>
        <v>0</v>
      </c>
      <c r="L30" s="12">
        <f t="shared" si="1"/>
        <v>0</v>
      </c>
      <c r="M30" s="12">
        <f t="shared" si="1"/>
        <v>0</v>
      </c>
    </row>
    <row r="31" spans="1:13">
      <c r="B31" s="12">
        <f t="shared" si="1"/>
        <v>0</v>
      </c>
      <c r="C31" s="12">
        <f t="shared" si="1"/>
        <v>0</v>
      </c>
      <c r="D31" s="12">
        <f t="shared" si="1"/>
        <v>0</v>
      </c>
      <c r="E31" s="12">
        <f t="shared" si="1"/>
        <v>0</v>
      </c>
      <c r="F31" s="12">
        <f t="shared" si="1"/>
        <v>0</v>
      </c>
      <c r="G31" s="12">
        <f t="shared" si="1"/>
        <v>0</v>
      </c>
      <c r="H31" s="12">
        <f t="shared" si="1"/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</row>
    <row r="32" spans="1:13">
      <c r="B32" s="12">
        <f t="shared" si="1"/>
        <v>0</v>
      </c>
      <c r="C32" s="12">
        <f t="shared" si="1"/>
        <v>0</v>
      </c>
      <c r="D32" s="12">
        <f t="shared" si="1"/>
        <v>0</v>
      </c>
      <c r="E32" s="12">
        <f t="shared" si="1"/>
        <v>0</v>
      </c>
      <c r="F32" s="12">
        <f t="shared" si="1"/>
        <v>0</v>
      </c>
      <c r="G32" s="12">
        <f t="shared" si="1"/>
        <v>0</v>
      </c>
      <c r="H32" s="12">
        <f t="shared" si="1"/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</row>
    <row r="33" spans="1:13">
      <c r="B33" s="12">
        <f t="shared" si="1"/>
        <v>0</v>
      </c>
      <c r="C33" s="12">
        <f t="shared" si="1"/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</row>
    <row r="34" spans="1:13">
      <c r="B34" s="12">
        <f t="shared" si="1"/>
        <v>0</v>
      </c>
      <c r="C34" s="12">
        <f t="shared" si="1"/>
        <v>0</v>
      </c>
      <c r="D34" s="12">
        <f t="shared" si="1"/>
        <v>0</v>
      </c>
      <c r="E34" s="12">
        <f t="shared" si="1"/>
        <v>0</v>
      </c>
      <c r="F34" s="12">
        <f t="shared" si="1"/>
        <v>0</v>
      </c>
      <c r="G34" s="12">
        <f t="shared" si="1"/>
        <v>0</v>
      </c>
      <c r="H34" s="12">
        <f t="shared" si="1"/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</row>
    <row r="35" spans="1:13" ht="15" thickBot="1">
      <c r="B35" s="12">
        <f t="shared" si="1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</row>
    <row r="36" spans="1:13" ht="15" thickBot="1">
      <c r="B36" s="11">
        <f t="shared" ref="B36:M36" si="2">SUM(B22:B35)</f>
        <v>-71</v>
      </c>
      <c r="C36" s="11">
        <f t="shared" si="2"/>
        <v>-222</v>
      </c>
      <c r="D36" s="11">
        <f t="shared" si="2"/>
        <v>-167</v>
      </c>
      <c r="E36" s="11">
        <f t="shared" si="2"/>
        <v>-51</v>
      </c>
      <c r="F36" s="11">
        <f t="shared" si="2"/>
        <v>-875</v>
      </c>
      <c r="G36" s="11">
        <f t="shared" si="2"/>
        <v>-845</v>
      </c>
      <c r="H36" s="11">
        <f t="shared" si="2"/>
        <v>-380</v>
      </c>
      <c r="I36" s="11">
        <f t="shared" si="2"/>
        <v>-545</v>
      </c>
      <c r="J36" s="11">
        <f t="shared" si="2"/>
        <v>-800</v>
      </c>
      <c r="K36" s="11">
        <f t="shared" si="2"/>
        <v>-860</v>
      </c>
      <c r="L36" s="11">
        <f t="shared" si="2"/>
        <v>-860</v>
      </c>
      <c r="M36" s="11">
        <f t="shared" si="2"/>
        <v>-660</v>
      </c>
    </row>
    <row r="37" spans="1:13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s="2" customFormat="1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</row>
    <row r="39" spans="1:13">
      <c r="A39" s="1" t="s">
        <v>2</v>
      </c>
      <c r="B39" s="1">
        <f>SUM(B40:B48)</f>
        <v>625</v>
      </c>
      <c r="C39" s="1">
        <f t="shared" ref="C39:M39" si="3">SUM(C40:C48)</f>
        <v>710</v>
      </c>
      <c r="D39" s="1">
        <f t="shared" si="3"/>
        <v>795</v>
      </c>
      <c r="E39" s="1">
        <f t="shared" si="3"/>
        <v>805</v>
      </c>
      <c r="F39" s="1">
        <f t="shared" si="3"/>
        <v>875</v>
      </c>
      <c r="G39" s="1">
        <f t="shared" si="3"/>
        <v>845</v>
      </c>
      <c r="H39" s="1">
        <f t="shared" si="3"/>
        <v>380</v>
      </c>
      <c r="I39" s="1">
        <f t="shared" si="3"/>
        <v>545</v>
      </c>
      <c r="J39" s="1">
        <f t="shared" si="3"/>
        <v>800</v>
      </c>
      <c r="K39" s="1">
        <f t="shared" si="3"/>
        <v>860</v>
      </c>
      <c r="L39" s="1">
        <f t="shared" si="3"/>
        <v>860</v>
      </c>
      <c r="M39" s="1">
        <f t="shared" si="3"/>
        <v>660</v>
      </c>
    </row>
    <row r="40" spans="1:13">
      <c r="A40" s="4" t="s">
        <v>62</v>
      </c>
      <c r="B40" s="4">
        <v>190</v>
      </c>
      <c r="C40" s="4">
        <v>230</v>
      </c>
      <c r="D40" s="4">
        <v>230</v>
      </c>
      <c r="E40" s="4">
        <v>200</v>
      </c>
      <c r="F40" s="4">
        <v>230</v>
      </c>
      <c r="G40" s="4">
        <v>220</v>
      </c>
      <c r="H40" s="4">
        <v>120</v>
      </c>
      <c r="I40" s="4">
        <v>165</v>
      </c>
      <c r="J40" s="4">
        <v>230</v>
      </c>
      <c r="K40" s="4">
        <v>230</v>
      </c>
      <c r="L40" s="4">
        <v>230</v>
      </c>
      <c r="M40" s="4">
        <v>180</v>
      </c>
    </row>
    <row r="41" spans="1:13">
      <c r="A41" s="4" t="s">
        <v>63</v>
      </c>
      <c r="B41" s="4">
        <v>190</v>
      </c>
      <c r="C41" s="4">
        <v>0</v>
      </c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 t="s">
        <v>64</v>
      </c>
      <c r="B42" s="4"/>
      <c r="C42" s="4"/>
      <c r="D42" s="4"/>
      <c r="E42" s="4"/>
      <c r="F42" s="4"/>
      <c r="G42" s="4"/>
      <c r="H42" s="4"/>
      <c r="I42" s="4"/>
      <c r="J42" s="4">
        <v>120</v>
      </c>
      <c r="K42" s="4">
        <v>180</v>
      </c>
      <c r="L42" s="4">
        <v>180</v>
      </c>
      <c r="M42" s="4">
        <v>140</v>
      </c>
    </row>
    <row r="43" spans="1:13">
      <c r="A43" s="4" t="s">
        <v>65</v>
      </c>
      <c r="B43" s="4">
        <v>80</v>
      </c>
      <c r="C43" s="4">
        <v>180</v>
      </c>
      <c r="D43" s="4">
        <v>200</v>
      </c>
      <c r="E43" s="4">
        <v>200</v>
      </c>
      <c r="F43" s="4">
        <v>220</v>
      </c>
      <c r="G43" s="4">
        <v>200</v>
      </c>
      <c r="H43" s="4">
        <v>40</v>
      </c>
      <c r="I43" s="4">
        <v>160</v>
      </c>
      <c r="J43" s="4"/>
      <c r="K43" s="4"/>
      <c r="L43" s="4"/>
      <c r="M43" s="4"/>
    </row>
    <row r="44" spans="1:13">
      <c r="A44" s="4" t="s">
        <v>66</v>
      </c>
      <c r="B44" s="4">
        <v>165</v>
      </c>
      <c r="C44" s="4">
        <v>200</v>
      </c>
      <c r="D44" s="4">
        <v>205</v>
      </c>
      <c r="E44" s="4">
        <v>205</v>
      </c>
      <c r="F44" s="4">
        <v>205</v>
      </c>
      <c r="G44" s="4">
        <v>205</v>
      </c>
      <c r="H44" s="4">
        <v>100</v>
      </c>
      <c r="I44" s="4">
        <v>100</v>
      </c>
      <c r="J44" s="4">
        <v>220</v>
      </c>
      <c r="K44" s="4">
        <v>220</v>
      </c>
      <c r="L44" s="4">
        <v>220</v>
      </c>
      <c r="M44" s="4">
        <v>160</v>
      </c>
    </row>
    <row r="45" spans="1:13">
      <c r="A45" s="4" t="s">
        <v>67</v>
      </c>
      <c r="B45" s="4"/>
      <c r="C45" s="4">
        <v>100</v>
      </c>
      <c r="D45" s="4">
        <v>160</v>
      </c>
      <c r="E45" s="4">
        <v>200</v>
      </c>
      <c r="F45" s="4">
        <v>220</v>
      </c>
      <c r="G45" s="4">
        <v>220</v>
      </c>
      <c r="H45" s="4">
        <v>120</v>
      </c>
      <c r="I45" s="4">
        <v>120</v>
      </c>
      <c r="J45" s="4">
        <v>230</v>
      </c>
      <c r="K45" s="4">
        <v>230</v>
      </c>
      <c r="L45" s="4">
        <v>230</v>
      </c>
      <c r="M45" s="4">
        <v>180</v>
      </c>
    </row>
    <row r="46" spans="1:13">
      <c r="A46" s="4" t="s">
        <v>68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59EA-D33B-42CE-8E4F-618B909AFED7}">
  <dimension ref="A1:M48"/>
  <sheetViews>
    <sheetView topLeftCell="A18" zoomScaleNormal="100" workbookViewId="0">
      <selection activeCell="E10" sqref="E10"/>
    </sheetView>
  </sheetViews>
  <sheetFormatPr defaultRowHeight="14.4"/>
  <cols>
    <col min="1" max="1" width="36.44140625" bestFit="1" customWidth="1"/>
    <col min="2" max="3" width="11" bestFit="1" customWidth="1"/>
  </cols>
  <sheetData>
    <row r="1" spans="1:13" s="2" customFormat="1">
      <c r="A1" s="5" t="s">
        <v>3</v>
      </c>
      <c r="B1" s="6">
        <v>46063</v>
      </c>
      <c r="C1" s="6">
        <v>46086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s="9" customFormat="1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 s="2" customFormat="1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>
      <c r="A4" t="s">
        <v>88</v>
      </c>
      <c r="B4" s="10">
        <v>117</v>
      </c>
      <c r="C4" s="10">
        <v>8</v>
      </c>
      <c r="D4" s="10">
        <v>57</v>
      </c>
      <c r="E4" s="10">
        <v>91</v>
      </c>
      <c r="F4" s="10"/>
      <c r="G4" s="10"/>
      <c r="H4" s="10"/>
      <c r="I4" s="10"/>
      <c r="J4" s="10"/>
      <c r="K4" s="10"/>
      <c r="L4" s="10"/>
      <c r="M4" s="10"/>
    </row>
    <row r="5" spans="1:13">
      <c r="A5" t="s">
        <v>89</v>
      </c>
      <c r="B5" s="10">
        <v>139</v>
      </c>
      <c r="C5" s="10">
        <v>221</v>
      </c>
      <c r="D5" s="10">
        <v>279</v>
      </c>
      <c r="E5" s="10">
        <v>175</v>
      </c>
      <c r="F5" s="10"/>
      <c r="G5" s="10"/>
      <c r="H5" s="10"/>
      <c r="I5" s="10"/>
      <c r="J5" s="10"/>
      <c r="K5" s="10"/>
      <c r="L5" s="10"/>
      <c r="M5" s="10"/>
    </row>
    <row r="6" spans="1:13">
      <c r="A6" t="s">
        <v>90</v>
      </c>
      <c r="B6" s="10">
        <v>121</v>
      </c>
      <c r="C6" s="10">
        <v>148</v>
      </c>
      <c r="D6" s="10">
        <v>174</v>
      </c>
      <c r="E6" s="10">
        <v>186</v>
      </c>
      <c r="F6" s="10"/>
      <c r="G6" s="10"/>
      <c r="H6" s="10"/>
      <c r="I6" s="10"/>
      <c r="J6" s="10"/>
      <c r="K6" s="10"/>
      <c r="L6" s="10"/>
      <c r="M6" s="10"/>
    </row>
    <row r="7" spans="1:13">
      <c r="A7" t="s">
        <v>91</v>
      </c>
      <c r="B7" s="10">
        <v>157</v>
      </c>
      <c r="C7" s="10">
        <v>177</v>
      </c>
      <c r="D7" s="10">
        <v>238</v>
      </c>
      <c r="E7" s="10">
        <v>251</v>
      </c>
      <c r="F7" s="10"/>
      <c r="G7" s="10"/>
      <c r="H7" s="10"/>
      <c r="I7" s="10"/>
      <c r="J7" s="10"/>
      <c r="K7" s="10"/>
      <c r="L7" s="10"/>
      <c r="M7" s="10"/>
    </row>
    <row r="8" spans="1:13">
      <c r="A8" t="s">
        <v>92</v>
      </c>
      <c r="B8" s="10">
        <v>153</v>
      </c>
      <c r="C8" s="10">
        <v>207</v>
      </c>
      <c r="D8" s="10">
        <v>197</v>
      </c>
      <c r="E8" s="10">
        <v>149</v>
      </c>
      <c r="F8" s="10"/>
      <c r="G8" s="10"/>
      <c r="H8" s="10"/>
      <c r="I8" s="10"/>
      <c r="J8" s="10"/>
      <c r="K8" s="10"/>
      <c r="L8" s="10"/>
      <c r="M8" s="10"/>
    </row>
    <row r="9" spans="1:13">
      <c r="A9" t="s">
        <v>93</v>
      </c>
      <c r="B9" s="10">
        <v>199</v>
      </c>
      <c r="C9" s="10">
        <v>136</v>
      </c>
      <c r="D9" s="10">
        <v>220</v>
      </c>
      <c r="E9" s="10">
        <v>145</v>
      </c>
      <c r="F9" s="10"/>
      <c r="G9" s="10"/>
      <c r="H9" s="10"/>
      <c r="I9" s="10"/>
      <c r="J9" s="10"/>
      <c r="K9" s="10"/>
      <c r="L9" s="10"/>
      <c r="M9" s="10"/>
    </row>
    <row r="10" spans="1:13">
      <c r="A10" s="37" t="s">
        <v>68</v>
      </c>
      <c r="B10" s="10"/>
      <c r="C10" s="10">
        <v>13</v>
      </c>
      <c r="D10" s="10">
        <v>88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" thickBot="1">
      <c r="B18" s="11">
        <f t="shared" ref="B18:M18" si="0">SUM(B4:B17)</f>
        <v>886</v>
      </c>
      <c r="C18" s="11">
        <f t="shared" si="0"/>
        <v>910</v>
      </c>
      <c r="D18" s="11">
        <f t="shared" si="0"/>
        <v>1253</v>
      </c>
      <c r="E18" s="11">
        <f t="shared" si="0"/>
        <v>997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3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3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>
      <c r="A22" t="s">
        <v>71</v>
      </c>
      <c r="B22" s="12">
        <f t="shared" ref="B22:M35" si="1">SUM(B4-B40)</f>
        <v>-23</v>
      </c>
      <c r="C22" s="12">
        <f t="shared" si="1"/>
        <v>-132</v>
      </c>
      <c r="D22" s="12">
        <f t="shared" si="1"/>
        <v>-103</v>
      </c>
      <c r="E22" s="12">
        <f t="shared" si="1"/>
        <v>-69</v>
      </c>
      <c r="F22" s="12">
        <f t="shared" si="1"/>
        <v>-160</v>
      </c>
      <c r="G22" s="12">
        <f t="shared" si="1"/>
        <v>-140</v>
      </c>
      <c r="H22" s="12">
        <f t="shared" si="1"/>
        <v>-70</v>
      </c>
      <c r="I22" s="12">
        <f t="shared" si="1"/>
        <v>-70</v>
      </c>
      <c r="J22" s="12">
        <f t="shared" si="1"/>
        <v>-160</v>
      </c>
      <c r="K22" s="12">
        <f t="shared" si="1"/>
        <v>-160</v>
      </c>
      <c r="L22" s="12">
        <f t="shared" si="1"/>
        <v>-160</v>
      </c>
      <c r="M22" s="12">
        <f t="shared" si="1"/>
        <v>-140</v>
      </c>
    </row>
    <row r="23" spans="1:13">
      <c r="A23" t="s">
        <v>63</v>
      </c>
      <c r="B23" s="12">
        <f t="shared" si="1"/>
        <v>-71</v>
      </c>
      <c r="C23" s="12">
        <f t="shared" si="1"/>
        <v>-4</v>
      </c>
      <c r="D23" s="12">
        <f t="shared" si="1"/>
        <v>39</v>
      </c>
      <c r="E23" s="12">
        <f t="shared" si="1"/>
        <v>-45</v>
      </c>
      <c r="F23" s="12">
        <f t="shared" si="1"/>
        <v>-240</v>
      </c>
      <c r="G23" s="12">
        <f t="shared" si="1"/>
        <v>-220</v>
      </c>
      <c r="H23" s="12">
        <f t="shared" si="1"/>
        <v>-70</v>
      </c>
      <c r="I23" s="12">
        <f t="shared" si="1"/>
        <v>-180</v>
      </c>
      <c r="J23" s="12">
        <f t="shared" si="1"/>
        <v>-230</v>
      </c>
      <c r="K23" s="12">
        <f t="shared" si="1"/>
        <v>-200</v>
      </c>
      <c r="L23" s="12">
        <f t="shared" si="1"/>
        <v>-210</v>
      </c>
      <c r="M23" s="12">
        <f t="shared" si="1"/>
        <v>-170</v>
      </c>
    </row>
    <row r="24" spans="1:13">
      <c r="A24" t="s">
        <v>72</v>
      </c>
      <c r="B24" s="12">
        <f t="shared" si="1"/>
        <v>-79</v>
      </c>
      <c r="C24" s="12">
        <f t="shared" si="1"/>
        <v>-52</v>
      </c>
      <c r="D24" s="12">
        <f t="shared" si="1"/>
        <v>-36</v>
      </c>
      <c r="E24" s="12">
        <f t="shared" si="1"/>
        <v>16</v>
      </c>
      <c r="F24" s="12">
        <f t="shared" si="1"/>
        <v>-200</v>
      </c>
      <c r="G24" s="12">
        <f t="shared" si="1"/>
        <v>-180</v>
      </c>
      <c r="H24" s="12">
        <f t="shared" si="1"/>
        <v>0</v>
      </c>
      <c r="I24" s="12">
        <f t="shared" si="1"/>
        <v>-200</v>
      </c>
      <c r="J24" s="12">
        <f t="shared" si="1"/>
        <v>-200</v>
      </c>
      <c r="K24" s="12">
        <f t="shared" si="1"/>
        <v>-200</v>
      </c>
      <c r="L24" s="12">
        <f t="shared" si="1"/>
        <v>-200</v>
      </c>
      <c r="M24" s="12">
        <f t="shared" si="1"/>
        <v>-150</v>
      </c>
    </row>
    <row r="25" spans="1:13">
      <c r="A25" t="s">
        <v>73</v>
      </c>
      <c r="B25" s="12">
        <f t="shared" si="1"/>
        <v>-53</v>
      </c>
      <c r="C25" s="12">
        <f t="shared" si="1"/>
        <v>-3</v>
      </c>
      <c r="D25" s="12">
        <f t="shared" si="1"/>
        <v>-2</v>
      </c>
      <c r="E25" s="12">
        <f t="shared" si="1"/>
        <v>31</v>
      </c>
      <c r="F25" s="12">
        <f t="shared" si="1"/>
        <v>-240</v>
      </c>
      <c r="G25" s="12">
        <f t="shared" si="1"/>
        <v>-200</v>
      </c>
      <c r="H25" s="12">
        <f t="shared" si="1"/>
        <v>-120</v>
      </c>
      <c r="I25" s="12">
        <f t="shared" si="1"/>
        <v>-120</v>
      </c>
      <c r="J25" s="12">
        <f t="shared" si="1"/>
        <v>-220</v>
      </c>
      <c r="K25" s="12">
        <f t="shared" si="1"/>
        <v>-240</v>
      </c>
      <c r="L25" s="12">
        <f t="shared" si="1"/>
        <v>-240</v>
      </c>
      <c r="M25" s="12">
        <f t="shared" si="1"/>
        <v>-170</v>
      </c>
    </row>
    <row r="26" spans="1:13">
      <c r="A26" t="s">
        <v>74</v>
      </c>
      <c r="B26" s="12">
        <f t="shared" si="1"/>
        <v>-47</v>
      </c>
      <c r="C26" s="12">
        <f t="shared" si="1"/>
        <v>-13</v>
      </c>
      <c r="D26" s="12">
        <f t="shared" si="1"/>
        <v>-23</v>
      </c>
      <c r="E26" s="12">
        <f t="shared" si="1"/>
        <v>-51</v>
      </c>
      <c r="F26" s="12">
        <f t="shared" si="1"/>
        <v>-190</v>
      </c>
      <c r="G26" s="12">
        <f t="shared" si="1"/>
        <v>-200</v>
      </c>
      <c r="H26" s="12">
        <f t="shared" si="1"/>
        <v>0</v>
      </c>
      <c r="I26" s="12">
        <f t="shared" si="1"/>
        <v>-230</v>
      </c>
      <c r="J26" s="12">
        <f t="shared" si="1"/>
        <v>-220</v>
      </c>
      <c r="K26" s="12">
        <f t="shared" si="1"/>
        <v>-220</v>
      </c>
      <c r="L26" s="12">
        <f t="shared" si="1"/>
        <v>-220</v>
      </c>
      <c r="M26" s="12">
        <f t="shared" si="1"/>
        <v>-170</v>
      </c>
    </row>
    <row r="27" spans="1:13">
      <c r="A27" t="s">
        <v>75</v>
      </c>
      <c r="B27" s="12">
        <f t="shared" si="1"/>
        <v>-11</v>
      </c>
      <c r="C27" s="12">
        <f t="shared" si="1"/>
        <v>-74</v>
      </c>
      <c r="D27" s="12">
        <f t="shared" si="1"/>
        <v>10</v>
      </c>
      <c r="E27" s="12">
        <f t="shared" si="1"/>
        <v>-65</v>
      </c>
      <c r="F27" s="12">
        <f t="shared" si="1"/>
        <v>-200</v>
      </c>
      <c r="G27" s="12">
        <f t="shared" si="1"/>
        <v>-200</v>
      </c>
      <c r="H27" s="12">
        <f t="shared" si="1"/>
        <v>-200</v>
      </c>
      <c r="I27" s="12">
        <f t="shared" si="1"/>
        <v>-60</v>
      </c>
      <c r="J27" s="12">
        <f t="shared" si="1"/>
        <v>-240</v>
      </c>
      <c r="K27" s="12">
        <f t="shared" si="1"/>
        <v>-240</v>
      </c>
      <c r="L27" s="12">
        <f t="shared" si="1"/>
        <v>-240</v>
      </c>
      <c r="M27" s="12">
        <f t="shared" si="1"/>
        <v>-170</v>
      </c>
    </row>
    <row r="28" spans="1:13">
      <c r="A28" t="s">
        <v>76</v>
      </c>
      <c r="B28" s="12">
        <f t="shared" si="1"/>
        <v>0</v>
      </c>
      <c r="C28" s="12">
        <f t="shared" si="1"/>
        <v>13</v>
      </c>
      <c r="D28" s="12">
        <f t="shared" si="1"/>
        <v>88</v>
      </c>
      <c r="E28" s="12">
        <f t="shared" si="1"/>
        <v>0</v>
      </c>
      <c r="F28" s="12">
        <f t="shared" si="1"/>
        <v>-60</v>
      </c>
      <c r="G28" s="12">
        <f t="shared" si="1"/>
        <v>-160</v>
      </c>
      <c r="H28" s="12">
        <f t="shared" si="1"/>
        <v>-200</v>
      </c>
      <c r="I28" s="12">
        <f t="shared" si="1"/>
        <v>0</v>
      </c>
      <c r="J28" s="12">
        <f t="shared" si="1"/>
        <v>-200</v>
      </c>
      <c r="K28" s="12">
        <f t="shared" si="1"/>
        <v>-220</v>
      </c>
      <c r="L28" s="12">
        <f t="shared" si="1"/>
        <v>-220</v>
      </c>
      <c r="M28" s="12">
        <f t="shared" si="1"/>
        <v>-170</v>
      </c>
    </row>
    <row r="29" spans="1:13">
      <c r="B29" s="12">
        <f t="shared" si="1"/>
        <v>0</v>
      </c>
      <c r="C29" s="12">
        <f t="shared" si="1"/>
        <v>0</v>
      </c>
      <c r="D29" s="12">
        <f t="shared" si="1"/>
        <v>0</v>
      </c>
      <c r="E29" s="12">
        <f t="shared" si="1"/>
        <v>0</v>
      </c>
      <c r="F29" s="12">
        <f t="shared" si="1"/>
        <v>0</v>
      </c>
      <c r="G29" s="12">
        <f t="shared" si="1"/>
        <v>0</v>
      </c>
      <c r="H29" s="12">
        <f t="shared" si="1"/>
        <v>0</v>
      </c>
      <c r="I29" s="12">
        <f t="shared" si="1"/>
        <v>0</v>
      </c>
      <c r="J29" s="12">
        <f t="shared" si="1"/>
        <v>0</v>
      </c>
      <c r="K29" s="12">
        <f t="shared" si="1"/>
        <v>0</v>
      </c>
      <c r="L29" s="12">
        <f t="shared" si="1"/>
        <v>0</v>
      </c>
      <c r="M29" s="12">
        <f t="shared" si="1"/>
        <v>0</v>
      </c>
    </row>
    <row r="30" spans="1:13">
      <c r="B30" s="12">
        <f t="shared" si="1"/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2">
        <f t="shared" si="1"/>
        <v>0</v>
      </c>
      <c r="H30" s="12">
        <f t="shared" si="1"/>
        <v>0</v>
      </c>
      <c r="I30" s="12">
        <f t="shared" si="1"/>
        <v>0</v>
      </c>
      <c r="J30" s="12">
        <f t="shared" si="1"/>
        <v>0</v>
      </c>
      <c r="K30" s="12">
        <f t="shared" si="1"/>
        <v>0</v>
      </c>
      <c r="L30" s="12">
        <f t="shared" si="1"/>
        <v>0</v>
      </c>
      <c r="M30" s="12">
        <f t="shared" si="1"/>
        <v>0</v>
      </c>
    </row>
    <row r="31" spans="1:13">
      <c r="B31" s="12">
        <f t="shared" si="1"/>
        <v>0</v>
      </c>
      <c r="C31" s="12">
        <f t="shared" si="1"/>
        <v>0</v>
      </c>
      <c r="D31" s="12">
        <f t="shared" si="1"/>
        <v>0</v>
      </c>
      <c r="E31" s="12">
        <f t="shared" si="1"/>
        <v>0</v>
      </c>
      <c r="F31" s="12">
        <f t="shared" si="1"/>
        <v>0</v>
      </c>
      <c r="G31" s="12">
        <f t="shared" si="1"/>
        <v>0</v>
      </c>
      <c r="H31" s="12">
        <f t="shared" si="1"/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</row>
    <row r="32" spans="1:13">
      <c r="B32" s="12">
        <f t="shared" si="1"/>
        <v>0</v>
      </c>
      <c r="C32" s="12">
        <f t="shared" si="1"/>
        <v>0</v>
      </c>
      <c r="D32" s="12">
        <f t="shared" si="1"/>
        <v>0</v>
      </c>
      <c r="E32" s="12">
        <f t="shared" si="1"/>
        <v>0</v>
      </c>
      <c r="F32" s="12">
        <f t="shared" si="1"/>
        <v>0</v>
      </c>
      <c r="G32" s="12">
        <f t="shared" si="1"/>
        <v>0</v>
      </c>
      <c r="H32" s="12">
        <f t="shared" si="1"/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</row>
    <row r="33" spans="1:13">
      <c r="B33" s="12">
        <f t="shared" si="1"/>
        <v>0</v>
      </c>
      <c r="C33" s="12">
        <f t="shared" si="1"/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</row>
    <row r="34" spans="1:13">
      <c r="B34" s="12">
        <f t="shared" si="1"/>
        <v>0</v>
      </c>
      <c r="C34" s="12">
        <f t="shared" si="1"/>
        <v>0</v>
      </c>
      <c r="D34" s="12">
        <f t="shared" si="1"/>
        <v>0</v>
      </c>
      <c r="E34" s="12">
        <f t="shared" si="1"/>
        <v>0</v>
      </c>
      <c r="F34" s="12">
        <f t="shared" si="1"/>
        <v>0</v>
      </c>
      <c r="G34" s="12">
        <f t="shared" si="1"/>
        <v>0</v>
      </c>
      <c r="H34" s="12">
        <f t="shared" si="1"/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</row>
    <row r="35" spans="1:13" ht="15" thickBot="1">
      <c r="B35" s="12">
        <f t="shared" si="1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</row>
    <row r="36" spans="1:13" ht="15" thickBot="1">
      <c r="B36" s="11">
        <f t="shared" ref="B36:M36" si="2">SUM(B22:B35)</f>
        <v>-284</v>
      </c>
      <c r="C36" s="11">
        <f t="shared" si="2"/>
        <v>-265</v>
      </c>
      <c r="D36" s="11">
        <f t="shared" si="2"/>
        <v>-27</v>
      </c>
      <c r="E36" s="11">
        <f t="shared" si="2"/>
        <v>-183</v>
      </c>
      <c r="F36" s="11">
        <f t="shared" si="2"/>
        <v>-1290</v>
      </c>
      <c r="G36" s="11">
        <f t="shared" si="2"/>
        <v>-1300</v>
      </c>
      <c r="H36" s="11">
        <f t="shared" si="2"/>
        <v>-660</v>
      </c>
      <c r="I36" s="11">
        <f t="shared" si="2"/>
        <v>-860</v>
      </c>
      <c r="J36" s="11">
        <f t="shared" si="2"/>
        <v>-1470</v>
      </c>
      <c r="K36" s="11">
        <f t="shared" si="2"/>
        <v>-1480</v>
      </c>
      <c r="L36" s="11">
        <f t="shared" si="2"/>
        <v>-1490</v>
      </c>
      <c r="M36" s="11">
        <f t="shared" si="2"/>
        <v>-1140</v>
      </c>
    </row>
    <row r="37" spans="1:13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s="2" customFormat="1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</row>
    <row r="39" spans="1:13">
      <c r="A39" s="1" t="s">
        <v>2</v>
      </c>
      <c r="B39" s="1">
        <f>SUM(B40:B48)</f>
        <v>1170</v>
      </c>
      <c r="C39" s="1">
        <f t="shared" ref="C39:M39" si="3">SUM(C40:C48)</f>
        <v>1175</v>
      </c>
      <c r="D39" s="1">
        <f t="shared" si="3"/>
        <v>1280</v>
      </c>
      <c r="E39" s="1">
        <f t="shared" si="3"/>
        <v>1180</v>
      </c>
      <c r="F39" s="1">
        <f t="shared" si="3"/>
        <v>1290</v>
      </c>
      <c r="G39" s="1">
        <f t="shared" si="3"/>
        <v>1300</v>
      </c>
      <c r="H39" s="1">
        <f t="shared" si="3"/>
        <v>660</v>
      </c>
      <c r="I39" s="1">
        <f t="shared" si="3"/>
        <v>860</v>
      </c>
      <c r="J39" s="1">
        <f t="shared" si="3"/>
        <v>1470</v>
      </c>
      <c r="K39" s="1">
        <f t="shared" si="3"/>
        <v>1480</v>
      </c>
      <c r="L39" s="1">
        <f t="shared" si="3"/>
        <v>1490</v>
      </c>
      <c r="M39" s="1">
        <f t="shared" si="3"/>
        <v>1140</v>
      </c>
    </row>
    <row r="40" spans="1:13">
      <c r="A40" s="4" t="s">
        <v>71</v>
      </c>
      <c r="B40" s="4">
        <v>140</v>
      </c>
      <c r="C40" s="4">
        <v>140</v>
      </c>
      <c r="D40" s="4">
        <v>160</v>
      </c>
      <c r="E40" s="4">
        <v>160</v>
      </c>
      <c r="F40" s="4">
        <v>160</v>
      </c>
      <c r="G40" s="4">
        <v>140</v>
      </c>
      <c r="H40" s="4">
        <v>70</v>
      </c>
      <c r="I40" s="4">
        <v>70</v>
      </c>
      <c r="J40" s="4">
        <v>160</v>
      </c>
      <c r="K40" s="4">
        <v>160</v>
      </c>
      <c r="L40" s="4">
        <v>160</v>
      </c>
      <c r="M40" s="4">
        <v>140</v>
      </c>
    </row>
    <row r="41" spans="1:13">
      <c r="A41" s="4" t="s">
        <v>63</v>
      </c>
      <c r="B41" s="4">
        <v>210</v>
      </c>
      <c r="C41" s="4">
        <v>225</v>
      </c>
      <c r="D41" s="4">
        <v>240</v>
      </c>
      <c r="E41" s="4">
        <v>220</v>
      </c>
      <c r="F41" s="4">
        <v>240</v>
      </c>
      <c r="G41" s="4">
        <v>220</v>
      </c>
      <c r="H41" s="4">
        <v>70</v>
      </c>
      <c r="I41" s="4">
        <v>180</v>
      </c>
      <c r="J41" s="4">
        <v>230</v>
      </c>
      <c r="K41" s="4">
        <v>200</v>
      </c>
      <c r="L41" s="4">
        <v>210</v>
      </c>
      <c r="M41" s="4">
        <v>170</v>
      </c>
    </row>
    <row r="42" spans="1:13">
      <c r="A42" s="4" t="s">
        <v>72</v>
      </c>
      <c r="B42" s="4">
        <v>200</v>
      </c>
      <c r="C42" s="4">
        <v>200</v>
      </c>
      <c r="D42" s="4">
        <v>210</v>
      </c>
      <c r="E42" s="4">
        <v>170</v>
      </c>
      <c r="F42" s="4">
        <v>200</v>
      </c>
      <c r="G42" s="4">
        <v>180</v>
      </c>
      <c r="H42" s="4">
        <v>0</v>
      </c>
      <c r="I42" s="4">
        <v>200</v>
      </c>
      <c r="J42" s="4">
        <v>200</v>
      </c>
      <c r="K42" s="4">
        <v>200</v>
      </c>
      <c r="L42" s="4">
        <v>200</v>
      </c>
      <c r="M42" s="4">
        <v>150</v>
      </c>
    </row>
    <row r="43" spans="1:13">
      <c r="A43" s="4" t="s">
        <v>73</v>
      </c>
      <c r="B43" s="4">
        <v>210</v>
      </c>
      <c r="C43" s="4">
        <v>180</v>
      </c>
      <c r="D43" s="4">
        <v>240</v>
      </c>
      <c r="E43" s="4">
        <v>220</v>
      </c>
      <c r="F43" s="4">
        <v>240</v>
      </c>
      <c r="G43" s="4">
        <v>200</v>
      </c>
      <c r="H43" s="4">
        <v>120</v>
      </c>
      <c r="I43" s="4">
        <v>120</v>
      </c>
      <c r="J43" s="4">
        <v>220</v>
      </c>
      <c r="K43" s="4">
        <v>240</v>
      </c>
      <c r="L43" s="4">
        <v>240</v>
      </c>
      <c r="M43" s="4">
        <v>170</v>
      </c>
    </row>
    <row r="44" spans="1:13">
      <c r="A44" s="4" t="s">
        <v>74</v>
      </c>
      <c r="B44" s="4">
        <v>200</v>
      </c>
      <c r="C44" s="4">
        <v>220</v>
      </c>
      <c r="D44" s="4">
        <v>220</v>
      </c>
      <c r="E44" s="4">
        <v>200</v>
      </c>
      <c r="F44" s="4">
        <v>190</v>
      </c>
      <c r="G44" s="4">
        <v>200</v>
      </c>
      <c r="H44" s="4">
        <v>0</v>
      </c>
      <c r="I44" s="4">
        <v>230</v>
      </c>
      <c r="J44" s="4">
        <v>220</v>
      </c>
      <c r="K44" s="4">
        <v>220</v>
      </c>
      <c r="L44" s="4">
        <v>220</v>
      </c>
      <c r="M44" s="4">
        <v>170</v>
      </c>
    </row>
    <row r="45" spans="1:13">
      <c r="A45" s="4" t="s">
        <v>75</v>
      </c>
      <c r="B45" s="4">
        <v>210</v>
      </c>
      <c r="C45" s="4">
        <v>210</v>
      </c>
      <c r="D45" s="4">
        <v>210</v>
      </c>
      <c r="E45" s="4">
        <v>210</v>
      </c>
      <c r="F45" s="4">
        <v>200</v>
      </c>
      <c r="G45" s="4">
        <v>200</v>
      </c>
      <c r="H45" s="4">
        <v>200</v>
      </c>
      <c r="I45" s="4">
        <v>60</v>
      </c>
      <c r="J45" s="4">
        <v>240</v>
      </c>
      <c r="K45" s="4">
        <v>240</v>
      </c>
      <c r="L45" s="4">
        <v>240</v>
      </c>
      <c r="M45" s="4">
        <v>170</v>
      </c>
    </row>
    <row r="46" spans="1:13">
      <c r="A46" s="4" t="s">
        <v>76</v>
      </c>
      <c r="B46" s="4"/>
      <c r="C46" s="4"/>
      <c r="D46" s="4"/>
      <c r="E46" s="4"/>
      <c r="F46" s="4">
        <v>60</v>
      </c>
      <c r="G46" s="4">
        <v>160</v>
      </c>
      <c r="H46" s="4">
        <v>200</v>
      </c>
      <c r="I46" s="4">
        <v>0</v>
      </c>
      <c r="J46" s="4">
        <v>200</v>
      </c>
      <c r="K46" s="4">
        <v>220</v>
      </c>
      <c r="L46" s="4">
        <v>220</v>
      </c>
      <c r="M46" s="4">
        <v>170</v>
      </c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94B1-A45D-4698-B556-C5BDBE14C4AC}">
  <dimension ref="A1:M48"/>
  <sheetViews>
    <sheetView topLeftCell="A13" zoomScaleNormal="100" workbookViewId="0">
      <selection activeCell="E9" sqref="E9"/>
    </sheetView>
  </sheetViews>
  <sheetFormatPr defaultRowHeight="14.4"/>
  <cols>
    <col min="1" max="1" width="36.44140625" bestFit="1" customWidth="1"/>
    <col min="2" max="4" width="11" bestFit="1" customWidth="1"/>
  </cols>
  <sheetData>
    <row r="1" spans="1:13" s="2" customFormat="1">
      <c r="A1" s="5" t="s">
        <v>3</v>
      </c>
      <c r="B1" s="6">
        <v>46063</v>
      </c>
      <c r="C1" s="6">
        <v>46086</v>
      </c>
      <c r="D1" s="6">
        <v>46106</v>
      </c>
      <c r="E1" s="6"/>
      <c r="F1" s="6"/>
      <c r="G1" s="6"/>
      <c r="H1" s="6"/>
      <c r="I1" s="6"/>
      <c r="J1" s="6"/>
      <c r="K1" s="6"/>
      <c r="L1" s="6"/>
      <c r="M1" s="6"/>
    </row>
    <row r="2" spans="1:13" s="9" customFormat="1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 s="2" customFormat="1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>
      <c r="A4" t="s">
        <v>149</v>
      </c>
      <c r="B4" s="10">
        <v>109</v>
      </c>
      <c r="C4" s="10">
        <v>127</v>
      </c>
      <c r="D4" s="10">
        <v>154</v>
      </c>
      <c r="E4" s="10">
        <v>175</v>
      </c>
      <c r="F4" s="10"/>
      <c r="G4" s="10"/>
      <c r="H4" s="10"/>
      <c r="I4" s="10"/>
      <c r="J4" s="10"/>
      <c r="K4" s="10"/>
      <c r="L4" s="10"/>
      <c r="M4" s="10"/>
    </row>
    <row r="5" spans="1:13">
      <c r="A5" t="s">
        <v>148</v>
      </c>
      <c r="B5" s="10">
        <v>107</v>
      </c>
      <c r="C5" s="10">
        <v>100</v>
      </c>
      <c r="D5" s="10">
        <v>54</v>
      </c>
      <c r="E5" s="10"/>
      <c r="F5" s="10"/>
      <c r="G5" s="10"/>
      <c r="H5" s="10"/>
      <c r="I5" s="10"/>
      <c r="J5" s="10"/>
      <c r="K5" s="10"/>
      <c r="L5" s="10"/>
      <c r="M5" s="10"/>
    </row>
    <row r="6" spans="1:13">
      <c r="A6" t="s">
        <v>79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>
      <c r="A7" t="s">
        <v>93</v>
      </c>
      <c r="B7" s="10">
        <v>0</v>
      </c>
      <c r="C7" s="10">
        <v>8</v>
      </c>
      <c r="D7" s="10">
        <v>75</v>
      </c>
      <c r="E7" s="10">
        <v>76</v>
      </c>
      <c r="F7" s="10"/>
      <c r="G7" s="10"/>
      <c r="H7" s="10"/>
      <c r="I7" s="10"/>
      <c r="J7" s="10"/>
      <c r="K7" s="10"/>
      <c r="L7" s="10"/>
      <c r="M7" s="10"/>
    </row>
    <row r="8" spans="1:13">
      <c r="A8" t="s">
        <v>145</v>
      </c>
      <c r="B8" s="10">
        <v>2</v>
      </c>
      <c r="C8" s="10">
        <v>0</v>
      </c>
      <c r="D8" s="10">
        <v>29</v>
      </c>
      <c r="E8" s="10">
        <v>74</v>
      </c>
      <c r="F8" s="10"/>
      <c r="G8" s="10"/>
      <c r="H8" s="10"/>
      <c r="I8" s="10"/>
      <c r="J8" s="10"/>
      <c r="K8" s="10"/>
      <c r="L8" s="10"/>
      <c r="M8" s="10"/>
    </row>
    <row r="9" spans="1:13">
      <c r="A9" t="s">
        <v>146</v>
      </c>
      <c r="B9" s="10">
        <v>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>
      <c r="A10" t="s">
        <v>147</v>
      </c>
      <c r="B10" s="10"/>
      <c r="C10" s="10">
        <v>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" thickBot="1">
      <c r="B18" s="11">
        <f t="shared" ref="B18:M18" si="0">SUM(B4:B17)</f>
        <v>226</v>
      </c>
      <c r="C18" s="11">
        <f t="shared" si="0"/>
        <v>244</v>
      </c>
      <c r="D18" s="11">
        <f t="shared" si="0"/>
        <v>312</v>
      </c>
      <c r="E18" s="11">
        <f t="shared" si="0"/>
        <v>325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3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3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>
      <c r="A22" t="s">
        <v>77</v>
      </c>
      <c r="B22" s="12">
        <f t="shared" ref="B22:M35" si="1">SUM(B4-B40)</f>
        <v>-83</v>
      </c>
      <c r="C22" s="12">
        <f t="shared" si="1"/>
        <v>-65</v>
      </c>
      <c r="D22" s="12">
        <f t="shared" si="1"/>
        <v>-62</v>
      </c>
      <c r="E22" s="12">
        <f t="shared" si="1"/>
        <v>-25</v>
      </c>
      <c r="F22" s="12">
        <f t="shared" si="1"/>
        <v>-200</v>
      </c>
      <c r="G22" s="12">
        <f t="shared" si="1"/>
        <v>-180</v>
      </c>
      <c r="H22" s="12">
        <f t="shared" si="1"/>
        <v>-80</v>
      </c>
      <c r="I22" s="12">
        <f t="shared" si="1"/>
        <v>-80</v>
      </c>
      <c r="J22" s="12">
        <f t="shared" si="1"/>
        <v>-200</v>
      </c>
      <c r="K22" s="12">
        <f t="shared" si="1"/>
        <v>-216</v>
      </c>
      <c r="L22" s="12">
        <f t="shared" si="1"/>
        <v>-216</v>
      </c>
      <c r="M22" s="12">
        <f t="shared" si="1"/>
        <v>-180</v>
      </c>
    </row>
    <row r="23" spans="1:13">
      <c r="A23" t="s">
        <v>78</v>
      </c>
      <c r="B23" s="12">
        <f t="shared" si="1"/>
        <v>-53</v>
      </c>
      <c r="C23" s="12">
        <f t="shared" si="1"/>
        <v>-90</v>
      </c>
      <c r="D23" s="12">
        <f t="shared" si="1"/>
        <v>-156</v>
      </c>
      <c r="E23" s="12">
        <f t="shared" si="1"/>
        <v>-220</v>
      </c>
      <c r="F23" s="12">
        <f t="shared" si="1"/>
        <v>-220</v>
      </c>
      <c r="G23" s="12">
        <f t="shared" si="1"/>
        <v>-200</v>
      </c>
      <c r="H23" s="12">
        <f t="shared" si="1"/>
        <v>-100</v>
      </c>
      <c r="I23" s="12">
        <f t="shared" si="1"/>
        <v>-140</v>
      </c>
      <c r="J23" s="12">
        <f t="shared" si="1"/>
        <v>-240</v>
      </c>
      <c r="K23" s="12">
        <f t="shared" si="1"/>
        <v>-240</v>
      </c>
      <c r="L23" s="12">
        <f t="shared" si="1"/>
        <v>-240</v>
      </c>
      <c r="M23" s="12">
        <f t="shared" si="1"/>
        <v>-180</v>
      </c>
    </row>
    <row r="24" spans="1:13">
      <c r="A24" t="s">
        <v>79</v>
      </c>
      <c r="B24" s="12">
        <f t="shared" si="1"/>
        <v>-100</v>
      </c>
      <c r="C24" s="12">
        <f t="shared" si="1"/>
        <v>-100</v>
      </c>
      <c r="D24" s="12">
        <f t="shared" si="1"/>
        <v>-100</v>
      </c>
      <c r="E24" s="12">
        <f t="shared" si="1"/>
        <v>-100</v>
      </c>
      <c r="F24" s="12">
        <f t="shared" si="1"/>
        <v>-100</v>
      </c>
      <c r="G24" s="12">
        <f t="shared" si="1"/>
        <v>-100</v>
      </c>
      <c r="H24" s="12">
        <f t="shared" si="1"/>
        <v>-45</v>
      </c>
      <c r="I24" s="12">
        <f t="shared" si="1"/>
        <v>-45</v>
      </c>
      <c r="J24" s="12">
        <f t="shared" si="1"/>
        <v>-100</v>
      </c>
      <c r="K24" s="12">
        <f t="shared" si="1"/>
        <v>-100</v>
      </c>
      <c r="L24" s="12">
        <f t="shared" si="1"/>
        <v>-100</v>
      </c>
      <c r="M24" s="12">
        <f t="shared" si="1"/>
        <v>-80</v>
      </c>
    </row>
    <row r="25" spans="1:13">
      <c r="B25" s="12">
        <f t="shared" si="1"/>
        <v>0</v>
      </c>
      <c r="C25" s="12">
        <f t="shared" si="1"/>
        <v>8</v>
      </c>
      <c r="D25" s="12">
        <f t="shared" si="1"/>
        <v>75</v>
      </c>
      <c r="E25" s="12">
        <f t="shared" si="1"/>
        <v>76</v>
      </c>
      <c r="F25" s="12">
        <f t="shared" si="1"/>
        <v>0</v>
      </c>
      <c r="G25" s="12">
        <f t="shared" si="1"/>
        <v>0</v>
      </c>
      <c r="H25" s="12">
        <f t="shared" si="1"/>
        <v>0</v>
      </c>
      <c r="I25" s="12">
        <f t="shared" si="1"/>
        <v>0</v>
      </c>
      <c r="J25" s="12">
        <f t="shared" si="1"/>
        <v>0</v>
      </c>
      <c r="K25" s="12">
        <f t="shared" si="1"/>
        <v>0</v>
      </c>
      <c r="L25" s="12">
        <f t="shared" si="1"/>
        <v>0</v>
      </c>
      <c r="M25" s="12">
        <f t="shared" si="1"/>
        <v>0</v>
      </c>
    </row>
    <row r="26" spans="1:13">
      <c r="B26" s="12">
        <f t="shared" si="1"/>
        <v>2</v>
      </c>
      <c r="C26" s="12">
        <f t="shared" si="1"/>
        <v>0</v>
      </c>
      <c r="D26" s="12">
        <f t="shared" si="1"/>
        <v>29</v>
      </c>
      <c r="E26" s="12">
        <f t="shared" si="1"/>
        <v>74</v>
      </c>
      <c r="F26" s="12">
        <f t="shared" si="1"/>
        <v>0</v>
      </c>
      <c r="G26" s="12">
        <f t="shared" si="1"/>
        <v>0</v>
      </c>
      <c r="H26" s="12">
        <f t="shared" si="1"/>
        <v>0</v>
      </c>
      <c r="I26" s="12">
        <f t="shared" si="1"/>
        <v>0</v>
      </c>
      <c r="J26" s="12">
        <f t="shared" si="1"/>
        <v>0</v>
      </c>
      <c r="K26" s="12">
        <f t="shared" si="1"/>
        <v>0</v>
      </c>
      <c r="L26" s="12">
        <f t="shared" si="1"/>
        <v>0</v>
      </c>
      <c r="M26" s="12">
        <f t="shared" si="1"/>
        <v>0</v>
      </c>
    </row>
    <row r="27" spans="1:13">
      <c r="B27" s="12">
        <f t="shared" si="1"/>
        <v>8</v>
      </c>
      <c r="C27" s="12">
        <f t="shared" si="1"/>
        <v>0</v>
      </c>
      <c r="D27" s="12">
        <f t="shared" si="1"/>
        <v>0</v>
      </c>
      <c r="E27" s="12">
        <f t="shared" si="1"/>
        <v>0</v>
      </c>
      <c r="F27" s="12">
        <f t="shared" si="1"/>
        <v>0</v>
      </c>
      <c r="G27" s="12">
        <f t="shared" si="1"/>
        <v>0</v>
      </c>
      <c r="H27" s="12">
        <f t="shared" si="1"/>
        <v>0</v>
      </c>
      <c r="I27" s="12">
        <f t="shared" si="1"/>
        <v>0</v>
      </c>
      <c r="J27" s="12">
        <f t="shared" si="1"/>
        <v>0</v>
      </c>
      <c r="K27" s="12">
        <f t="shared" si="1"/>
        <v>0</v>
      </c>
      <c r="L27" s="12">
        <f t="shared" si="1"/>
        <v>0</v>
      </c>
      <c r="M27" s="12">
        <f t="shared" si="1"/>
        <v>0</v>
      </c>
    </row>
    <row r="28" spans="1:13">
      <c r="B28" s="12">
        <f t="shared" si="1"/>
        <v>0</v>
      </c>
      <c r="C28" s="12">
        <f t="shared" si="1"/>
        <v>9</v>
      </c>
      <c r="D28" s="12">
        <f t="shared" si="1"/>
        <v>0</v>
      </c>
      <c r="E28" s="12">
        <f t="shared" si="1"/>
        <v>0</v>
      </c>
      <c r="F28" s="12">
        <f t="shared" si="1"/>
        <v>0</v>
      </c>
      <c r="G28" s="12">
        <f t="shared" si="1"/>
        <v>0</v>
      </c>
      <c r="H28" s="12">
        <f t="shared" si="1"/>
        <v>0</v>
      </c>
      <c r="I28" s="12">
        <f t="shared" si="1"/>
        <v>0</v>
      </c>
      <c r="J28" s="12">
        <f t="shared" si="1"/>
        <v>0</v>
      </c>
      <c r="K28" s="12">
        <f t="shared" si="1"/>
        <v>0</v>
      </c>
      <c r="L28" s="12">
        <f t="shared" si="1"/>
        <v>0</v>
      </c>
      <c r="M28" s="12">
        <f t="shared" si="1"/>
        <v>0</v>
      </c>
    </row>
    <row r="29" spans="1:13">
      <c r="B29" s="12">
        <f t="shared" si="1"/>
        <v>0</v>
      </c>
      <c r="C29" s="12">
        <f t="shared" si="1"/>
        <v>0</v>
      </c>
      <c r="D29" s="12">
        <f t="shared" si="1"/>
        <v>0</v>
      </c>
      <c r="E29" s="12">
        <f t="shared" si="1"/>
        <v>0</v>
      </c>
      <c r="F29" s="12">
        <f t="shared" si="1"/>
        <v>0</v>
      </c>
      <c r="G29" s="12">
        <f t="shared" si="1"/>
        <v>0</v>
      </c>
      <c r="H29" s="12">
        <f t="shared" si="1"/>
        <v>0</v>
      </c>
      <c r="I29" s="12">
        <f t="shared" si="1"/>
        <v>0</v>
      </c>
      <c r="J29" s="12">
        <f t="shared" si="1"/>
        <v>0</v>
      </c>
      <c r="K29" s="12">
        <f t="shared" si="1"/>
        <v>0</v>
      </c>
      <c r="L29" s="12">
        <f t="shared" si="1"/>
        <v>0</v>
      </c>
      <c r="M29" s="12">
        <f t="shared" si="1"/>
        <v>0</v>
      </c>
    </row>
    <row r="30" spans="1:13">
      <c r="B30" s="12">
        <f t="shared" si="1"/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2">
        <f t="shared" si="1"/>
        <v>0</v>
      </c>
      <c r="H30" s="12">
        <f t="shared" si="1"/>
        <v>0</v>
      </c>
      <c r="I30" s="12">
        <f t="shared" si="1"/>
        <v>0</v>
      </c>
      <c r="J30" s="12">
        <f t="shared" si="1"/>
        <v>0</v>
      </c>
      <c r="K30" s="12">
        <f t="shared" si="1"/>
        <v>0</v>
      </c>
      <c r="L30" s="12">
        <f t="shared" si="1"/>
        <v>0</v>
      </c>
      <c r="M30" s="12">
        <f t="shared" si="1"/>
        <v>0</v>
      </c>
    </row>
    <row r="31" spans="1:13">
      <c r="B31" s="12">
        <f t="shared" si="1"/>
        <v>0</v>
      </c>
      <c r="C31" s="12">
        <f t="shared" si="1"/>
        <v>0</v>
      </c>
      <c r="D31" s="12">
        <f t="shared" si="1"/>
        <v>0</v>
      </c>
      <c r="E31" s="12">
        <f t="shared" si="1"/>
        <v>0</v>
      </c>
      <c r="F31" s="12">
        <f t="shared" si="1"/>
        <v>0</v>
      </c>
      <c r="G31" s="12">
        <f t="shared" si="1"/>
        <v>0</v>
      </c>
      <c r="H31" s="12">
        <f t="shared" si="1"/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</row>
    <row r="32" spans="1:13">
      <c r="B32" s="12">
        <f t="shared" si="1"/>
        <v>0</v>
      </c>
      <c r="C32" s="12">
        <f t="shared" si="1"/>
        <v>0</v>
      </c>
      <c r="D32" s="12">
        <f t="shared" si="1"/>
        <v>0</v>
      </c>
      <c r="E32" s="12">
        <f t="shared" si="1"/>
        <v>0</v>
      </c>
      <c r="F32" s="12">
        <f t="shared" si="1"/>
        <v>0</v>
      </c>
      <c r="G32" s="12">
        <f t="shared" si="1"/>
        <v>0</v>
      </c>
      <c r="H32" s="12">
        <f t="shared" si="1"/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</row>
    <row r="33" spans="1:13">
      <c r="B33" s="12">
        <f t="shared" si="1"/>
        <v>0</v>
      </c>
      <c r="C33" s="12">
        <f t="shared" si="1"/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</row>
    <row r="34" spans="1:13">
      <c r="B34" s="12">
        <f t="shared" si="1"/>
        <v>0</v>
      </c>
      <c r="C34" s="12">
        <f t="shared" si="1"/>
        <v>0</v>
      </c>
      <c r="D34" s="12">
        <f t="shared" si="1"/>
        <v>0</v>
      </c>
      <c r="E34" s="12">
        <f t="shared" si="1"/>
        <v>0</v>
      </c>
      <c r="F34" s="12">
        <f t="shared" si="1"/>
        <v>0</v>
      </c>
      <c r="G34" s="12">
        <f t="shared" si="1"/>
        <v>0</v>
      </c>
      <c r="H34" s="12">
        <f t="shared" si="1"/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</row>
    <row r="35" spans="1:13" ht="15" thickBot="1">
      <c r="B35" s="12">
        <f t="shared" si="1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</row>
    <row r="36" spans="1:13" ht="15" thickBot="1">
      <c r="B36" s="11">
        <f t="shared" ref="B36:M36" si="2">SUM(B22:B35)</f>
        <v>-226</v>
      </c>
      <c r="C36" s="11">
        <f t="shared" si="2"/>
        <v>-238</v>
      </c>
      <c r="D36" s="11">
        <f t="shared" si="2"/>
        <v>-214</v>
      </c>
      <c r="E36" s="11">
        <f t="shared" si="2"/>
        <v>-195</v>
      </c>
      <c r="F36" s="11">
        <f t="shared" si="2"/>
        <v>-520</v>
      </c>
      <c r="G36" s="11">
        <f t="shared" si="2"/>
        <v>-480</v>
      </c>
      <c r="H36" s="11">
        <f t="shared" si="2"/>
        <v>-225</v>
      </c>
      <c r="I36" s="11">
        <f t="shared" si="2"/>
        <v>-265</v>
      </c>
      <c r="J36" s="11">
        <f t="shared" si="2"/>
        <v>-540</v>
      </c>
      <c r="K36" s="11">
        <f t="shared" si="2"/>
        <v>-556</v>
      </c>
      <c r="L36" s="11">
        <f t="shared" si="2"/>
        <v>-556</v>
      </c>
      <c r="M36" s="11">
        <f t="shared" si="2"/>
        <v>-440</v>
      </c>
    </row>
    <row r="37" spans="1:13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s="2" customFormat="1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</row>
    <row r="39" spans="1:13">
      <c r="A39" s="1" t="s">
        <v>2</v>
      </c>
      <c r="B39" s="1">
        <f>SUM(B40:B48)</f>
        <v>452</v>
      </c>
      <c r="C39" s="1">
        <f t="shared" ref="C39:M39" si="3">SUM(C40:C48)</f>
        <v>482</v>
      </c>
      <c r="D39" s="1">
        <f t="shared" si="3"/>
        <v>526</v>
      </c>
      <c r="E39" s="1">
        <f t="shared" si="3"/>
        <v>520</v>
      </c>
      <c r="F39" s="1">
        <f t="shared" si="3"/>
        <v>520</v>
      </c>
      <c r="G39" s="1">
        <f t="shared" si="3"/>
        <v>480</v>
      </c>
      <c r="H39" s="1">
        <f t="shared" si="3"/>
        <v>225</v>
      </c>
      <c r="I39" s="1">
        <f t="shared" si="3"/>
        <v>265</v>
      </c>
      <c r="J39" s="1">
        <f t="shared" si="3"/>
        <v>540</v>
      </c>
      <c r="K39" s="1">
        <f t="shared" si="3"/>
        <v>556</v>
      </c>
      <c r="L39" s="1">
        <f t="shared" si="3"/>
        <v>556</v>
      </c>
      <c r="M39" s="1">
        <f t="shared" si="3"/>
        <v>440</v>
      </c>
    </row>
    <row r="40" spans="1:13">
      <c r="A40" s="4" t="s">
        <v>77</v>
      </c>
      <c r="B40" s="4">
        <v>192</v>
      </c>
      <c r="C40" s="4">
        <v>192</v>
      </c>
      <c r="D40" s="4">
        <v>216</v>
      </c>
      <c r="E40" s="4">
        <v>200</v>
      </c>
      <c r="F40" s="4">
        <v>200</v>
      </c>
      <c r="G40" s="4">
        <v>180</v>
      </c>
      <c r="H40" s="4">
        <v>80</v>
      </c>
      <c r="I40" s="4">
        <v>80</v>
      </c>
      <c r="J40" s="4">
        <v>200</v>
      </c>
      <c r="K40" s="4">
        <v>216</v>
      </c>
      <c r="L40" s="4">
        <v>216</v>
      </c>
      <c r="M40" s="4">
        <v>180</v>
      </c>
    </row>
    <row r="41" spans="1:13">
      <c r="A41" s="4" t="s">
        <v>78</v>
      </c>
      <c r="B41" s="4">
        <v>160</v>
      </c>
      <c r="C41" s="4">
        <v>190</v>
      </c>
      <c r="D41" s="4">
        <v>210</v>
      </c>
      <c r="E41" s="4">
        <v>220</v>
      </c>
      <c r="F41" s="4">
        <v>220</v>
      </c>
      <c r="G41" s="4">
        <v>200</v>
      </c>
      <c r="H41" s="4">
        <v>100</v>
      </c>
      <c r="I41" s="4">
        <v>140</v>
      </c>
      <c r="J41" s="4">
        <v>240</v>
      </c>
      <c r="K41" s="4">
        <v>240</v>
      </c>
      <c r="L41" s="4">
        <v>240</v>
      </c>
      <c r="M41" s="4">
        <v>180</v>
      </c>
    </row>
    <row r="42" spans="1:13">
      <c r="A42" s="4" t="s">
        <v>79</v>
      </c>
      <c r="B42" s="4">
        <v>100</v>
      </c>
      <c r="C42" s="4">
        <v>100</v>
      </c>
      <c r="D42" s="4">
        <v>100</v>
      </c>
      <c r="E42" s="4">
        <v>100</v>
      </c>
      <c r="F42" s="4">
        <v>100</v>
      </c>
      <c r="G42" s="4">
        <v>100</v>
      </c>
      <c r="H42" s="4">
        <v>45</v>
      </c>
      <c r="I42" s="4">
        <v>45</v>
      </c>
      <c r="J42" s="4">
        <v>100</v>
      </c>
      <c r="K42" s="4">
        <v>100</v>
      </c>
      <c r="L42" s="4">
        <v>100</v>
      </c>
      <c r="M42" s="4">
        <v>80</v>
      </c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7262-D33D-4051-82F3-0FC9F6261147}">
  <dimension ref="A1:N48"/>
  <sheetViews>
    <sheetView topLeftCell="A15" workbookViewId="0">
      <selection activeCell="E14" sqref="E14"/>
    </sheetView>
  </sheetViews>
  <sheetFormatPr defaultRowHeight="14.4"/>
  <cols>
    <col min="1" max="1" width="32.33203125" bestFit="1" customWidth="1"/>
    <col min="2" max="4" width="11" bestFit="1" customWidth="1"/>
    <col min="14" max="14" width="58.33203125" customWidth="1"/>
  </cols>
  <sheetData>
    <row r="1" spans="1:14" s="2" customFormat="1">
      <c r="A1" s="5" t="s">
        <v>3</v>
      </c>
      <c r="B1" s="6">
        <v>46063</v>
      </c>
      <c r="C1" s="6">
        <v>46086</v>
      </c>
      <c r="D1" s="6">
        <v>46121</v>
      </c>
      <c r="E1" s="6"/>
      <c r="F1" s="6"/>
      <c r="G1" s="6"/>
      <c r="H1" s="6"/>
      <c r="I1" s="6"/>
      <c r="J1" s="6"/>
      <c r="K1" s="6"/>
      <c r="L1" s="6"/>
      <c r="M1" s="6"/>
    </row>
    <row r="2" spans="1:14" s="9" customFormat="1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4" s="2" customFormat="1" ht="16.2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  <c r="N3" s="33" t="s">
        <v>24</v>
      </c>
    </row>
    <row r="4" spans="1:14">
      <c r="A4" t="s">
        <v>152</v>
      </c>
      <c r="B4" s="10">
        <v>232</v>
      </c>
      <c r="C4" s="10">
        <v>264</v>
      </c>
      <c r="D4" s="10">
        <v>300</v>
      </c>
      <c r="E4" s="10">
        <v>250</v>
      </c>
      <c r="F4" s="10"/>
      <c r="G4" s="10"/>
      <c r="H4" s="10"/>
      <c r="I4" s="10"/>
      <c r="J4" s="10"/>
      <c r="K4" s="10"/>
      <c r="L4" s="10"/>
      <c r="M4" s="10"/>
      <c r="N4" s="34"/>
    </row>
    <row r="5" spans="1:14">
      <c r="A5" t="s">
        <v>155</v>
      </c>
      <c r="B5" s="10">
        <v>239</v>
      </c>
      <c r="C5" s="10">
        <v>144</v>
      </c>
      <c r="D5" s="10">
        <v>246</v>
      </c>
      <c r="E5" s="10">
        <v>251</v>
      </c>
      <c r="F5" s="10"/>
      <c r="G5" s="10"/>
      <c r="H5" s="10"/>
      <c r="I5" s="10"/>
      <c r="J5" s="10"/>
      <c r="K5" s="10"/>
      <c r="L5" s="10"/>
      <c r="M5" s="10"/>
      <c r="N5" s="34"/>
    </row>
    <row r="6" spans="1:14">
      <c r="A6" t="s">
        <v>154</v>
      </c>
      <c r="B6" s="10">
        <v>230</v>
      </c>
      <c r="C6" s="10">
        <v>246</v>
      </c>
      <c r="D6" s="10">
        <v>184</v>
      </c>
      <c r="E6" s="10">
        <v>232</v>
      </c>
      <c r="F6" s="10"/>
      <c r="G6" s="10"/>
      <c r="H6" s="10"/>
      <c r="I6" s="10"/>
      <c r="J6" s="10"/>
      <c r="K6" s="10"/>
      <c r="L6" s="10"/>
      <c r="M6" s="10"/>
    </row>
    <row r="7" spans="1:14">
      <c r="A7" t="s">
        <v>124</v>
      </c>
      <c r="B7" s="10">
        <v>102</v>
      </c>
      <c r="C7" s="10">
        <v>100</v>
      </c>
      <c r="D7" s="10">
        <v>121</v>
      </c>
      <c r="E7" s="10"/>
      <c r="F7" s="10"/>
      <c r="G7" s="10"/>
      <c r="H7" s="10"/>
      <c r="I7" s="10"/>
      <c r="J7" s="10"/>
      <c r="K7" s="10"/>
      <c r="L7" s="10"/>
      <c r="M7" s="10"/>
    </row>
    <row r="8" spans="1:14">
      <c r="A8" t="s">
        <v>153</v>
      </c>
      <c r="B8" s="10">
        <v>69</v>
      </c>
      <c r="C8" s="10">
        <v>111</v>
      </c>
      <c r="D8" s="10">
        <v>69</v>
      </c>
      <c r="E8" s="10"/>
      <c r="F8" s="10"/>
      <c r="G8" s="10"/>
      <c r="H8" s="10"/>
      <c r="I8" s="10"/>
      <c r="J8" s="10"/>
      <c r="K8" s="10"/>
      <c r="L8" s="10"/>
      <c r="M8" s="10"/>
    </row>
    <row r="9" spans="1:14">
      <c r="A9" t="s">
        <v>150</v>
      </c>
      <c r="B9" s="10">
        <v>95</v>
      </c>
      <c r="C9" s="10">
        <v>99</v>
      </c>
      <c r="D9" s="10">
        <v>77</v>
      </c>
      <c r="E9" s="10">
        <v>109</v>
      </c>
      <c r="F9" s="10"/>
      <c r="G9" s="10"/>
      <c r="H9" s="10"/>
      <c r="I9" s="10"/>
      <c r="J9" s="10"/>
      <c r="K9" s="10"/>
      <c r="L9" s="10"/>
      <c r="M9" s="10"/>
    </row>
    <row r="10" spans="1:14">
      <c r="A10" t="s">
        <v>151</v>
      </c>
      <c r="B10" s="10">
        <v>21</v>
      </c>
      <c r="C10" s="10">
        <v>19</v>
      </c>
      <c r="D10" s="10">
        <v>24</v>
      </c>
      <c r="E10" s="10">
        <v>30</v>
      </c>
      <c r="F10" s="10"/>
      <c r="G10" s="10"/>
      <c r="H10" s="10"/>
      <c r="I10" s="10"/>
      <c r="J10" s="10"/>
      <c r="K10" s="10"/>
      <c r="L10" s="10"/>
      <c r="M10" s="10"/>
    </row>
    <row r="11" spans="1:14">
      <c r="A11" t="s">
        <v>98</v>
      </c>
      <c r="B11" s="10">
        <v>0</v>
      </c>
      <c r="C11" s="10">
        <v>147</v>
      </c>
      <c r="D11" s="10">
        <v>260</v>
      </c>
      <c r="E11" s="10">
        <v>224</v>
      </c>
      <c r="F11" s="10"/>
      <c r="G11" s="10"/>
      <c r="H11" s="10"/>
      <c r="I11" s="10"/>
      <c r="J11" s="10"/>
      <c r="K11" s="10"/>
      <c r="L11" s="10"/>
      <c r="M11" s="10"/>
    </row>
    <row r="12" spans="1:14">
      <c r="A12" t="s">
        <v>99</v>
      </c>
      <c r="B12" s="10">
        <v>96</v>
      </c>
      <c r="C12" s="10">
        <v>99</v>
      </c>
      <c r="D12" s="10">
        <v>108</v>
      </c>
      <c r="E12" s="10">
        <v>125</v>
      </c>
      <c r="F12" s="10"/>
      <c r="G12" s="10"/>
      <c r="H12" s="10"/>
      <c r="I12" s="10"/>
      <c r="J12" s="10"/>
      <c r="K12" s="10"/>
      <c r="L12" s="10"/>
      <c r="M12" s="10"/>
    </row>
    <row r="13" spans="1:14">
      <c r="A13" t="s">
        <v>196</v>
      </c>
      <c r="B13" s="10"/>
      <c r="C13" s="10"/>
      <c r="D13" s="10"/>
      <c r="E13" s="10">
        <v>60</v>
      </c>
      <c r="F13" s="10"/>
      <c r="G13" s="10"/>
      <c r="H13" s="10"/>
      <c r="I13" s="10"/>
      <c r="J13" s="10"/>
      <c r="K13" s="10"/>
      <c r="L13" s="10"/>
      <c r="M13" s="10"/>
    </row>
    <row r="14" spans="1:14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4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4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4" ht="15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4" ht="15" thickBot="1">
      <c r="B18" s="11">
        <f t="shared" ref="B18:M18" si="0">SUM(B4:B17)</f>
        <v>1084</v>
      </c>
      <c r="C18" s="11">
        <f t="shared" si="0"/>
        <v>1229</v>
      </c>
      <c r="D18" s="11">
        <f t="shared" si="0"/>
        <v>1389</v>
      </c>
      <c r="E18" s="11">
        <f t="shared" si="0"/>
        <v>1281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4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4" ht="16.2">
      <c r="B21" s="35" t="s">
        <v>25</v>
      </c>
      <c r="C21" s="35" t="s">
        <v>25</v>
      </c>
      <c r="D21" s="35" t="s">
        <v>25</v>
      </c>
      <c r="E21" s="35" t="s">
        <v>25</v>
      </c>
      <c r="F21" s="35" t="s">
        <v>25</v>
      </c>
      <c r="G21" s="35" t="s">
        <v>25</v>
      </c>
      <c r="H21" s="35" t="s">
        <v>25</v>
      </c>
      <c r="I21" s="35" t="s">
        <v>25</v>
      </c>
      <c r="J21" s="35" t="s">
        <v>25</v>
      </c>
      <c r="K21" s="35" t="s">
        <v>25</v>
      </c>
      <c r="L21" s="35" t="s">
        <v>25</v>
      </c>
      <c r="M21" s="35" t="s">
        <v>25</v>
      </c>
      <c r="N21" s="33" t="s">
        <v>24</v>
      </c>
    </row>
    <row r="22" spans="1:14">
      <c r="A22" t="s">
        <v>152</v>
      </c>
      <c r="B22" s="12">
        <f t="shared" ref="B22:M35" si="1">SUM(B4-B40)</f>
        <v>22</v>
      </c>
      <c r="C22" s="12">
        <f t="shared" si="1"/>
        <v>54</v>
      </c>
      <c r="D22" s="12">
        <f t="shared" si="1"/>
        <v>90</v>
      </c>
      <c r="E22" s="12">
        <f t="shared" si="1"/>
        <v>106</v>
      </c>
      <c r="F22" s="12">
        <f t="shared" si="1"/>
        <v>-210</v>
      </c>
      <c r="G22" s="12">
        <f t="shared" si="1"/>
        <v>-144</v>
      </c>
      <c r="H22" s="12">
        <f t="shared" si="1"/>
        <v>-144</v>
      </c>
      <c r="I22" s="12">
        <f t="shared" si="1"/>
        <v>-210</v>
      </c>
      <c r="J22" s="12">
        <f t="shared" si="1"/>
        <v>-210</v>
      </c>
      <c r="K22" s="12">
        <f t="shared" si="1"/>
        <v>-144</v>
      </c>
      <c r="L22" s="12">
        <f t="shared" si="1"/>
        <v>-210</v>
      </c>
      <c r="M22" s="12">
        <f t="shared" si="1"/>
        <v>-210</v>
      </c>
    </row>
    <row r="23" spans="1:14">
      <c r="A23" t="s">
        <v>155</v>
      </c>
      <c r="B23" s="12">
        <f t="shared" si="1"/>
        <v>47</v>
      </c>
      <c r="C23" s="12">
        <f t="shared" si="1"/>
        <v>-96</v>
      </c>
      <c r="D23" s="12">
        <f t="shared" si="1"/>
        <v>6</v>
      </c>
      <c r="E23" s="12">
        <f t="shared" si="1"/>
        <v>11</v>
      </c>
      <c r="F23" s="12">
        <f t="shared" si="1"/>
        <v>-226</v>
      </c>
      <c r="G23" s="12">
        <f t="shared" si="1"/>
        <v>-240</v>
      </c>
      <c r="H23" s="12">
        <f t="shared" si="1"/>
        <v>-60</v>
      </c>
      <c r="I23" s="12">
        <f t="shared" si="1"/>
        <v>-120</v>
      </c>
      <c r="J23" s="12">
        <f t="shared" si="1"/>
        <v>-240</v>
      </c>
      <c r="K23" s="12">
        <f t="shared" si="1"/>
        <v>-240</v>
      </c>
      <c r="L23" s="12">
        <f t="shared" si="1"/>
        <v>-192</v>
      </c>
      <c r="M23" s="12">
        <f t="shared" si="1"/>
        <v>-192</v>
      </c>
    </row>
    <row r="24" spans="1:14">
      <c r="A24" t="s">
        <v>154</v>
      </c>
      <c r="B24" s="12">
        <f t="shared" si="1"/>
        <v>38</v>
      </c>
      <c r="C24" s="12">
        <f t="shared" si="1"/>
        <v>126</v>
      </c>
      <c r="D24" s="12">
        <f t="shared" si="1"/>
        <v>-56</v>
      </c>
      <c r="E24" s="12">
        <f t="shared" si="1"/>
        <v>-8</v>
      </c>
      <c r="F24" s="12">
        <f t="shared" si="1"/>
        <v>-226</v>
      </c>
      <c r="G24" s="12">
        <f t="shared" si="1"/>
        <v>-120</v>
      </c>
      <c r="H24" s="12">
        <f t="shared" si="1"/>
        <v>-120</v>
      </c>
      <c r="I24" s="12">
        <f t="shared" si="1"/>
        <v>-240</v>
      </c>
      <c r="J24" s="12">
        <f t="shared" si="1"/>
        <v>-240</v>
      </c>
      <c r="K24" s="12">
        <f t="shared" si="1"/>
        <v>-240</v>
      </c>
      <c r="L24" s="12">
        <f t="shared" si="1"/>
        <v>-240</v>
      </c>
      <c r="M24" s="12">
        <f t="shared" si="1"/>
        <v>-220</v>
      </c>
    </row>
    <row r="25" spans="1:14">
      <c r="A25" t="s">
        <v>124</v>
      </c>
      <c r="B25" s="12">
        <f t="shared" si="1"/>
        <v>-6</v>
      </c>
      <c r="C25" s="12">
        <f t="shared" si="1"/>
        <v>-8</v>
      </c>
      <c r="D25" s="12">
        <f t="shared" si="1"/>
        <v>-23</v>
      </c>
      <c r="E25" s="12">
        <f t="shared" si="1"/>
        <v>-144</v>
      </c>
      <c r="F25" s="12">
        <f t="shared" si="1"/>
        <v>-144</v>
      </c>
      <c r="G25" s="12">
        <f t="shared" si="1"/>
        <v>0</v>
      </c>
      <c r="H25" s="12">
        <f t="shared" si="1"/>
        <v>0</v>
      </c>
      <c r="I25" s="12">
        <f t="shared" si="1"/>
        <v>-70</v>
      </c>
      <c r="J25" s="12">
        <f t="shared" si="1"/>
        <v>-144</v>
      </c>
      <c r="K25" s="12">
        <f t="shared" si="1"/>
        <v>-144</v>
      </c>
      <c r="L25" s="12">
        <f t="shared" si="1"/>
        <v>-144</v>
      </c>
      <c r="M25" s="12">
        <f t="shared" si="1"/>
        <v>-144</v>
      </c>
    </row>
    <row r="26" spans="1:14">
      <c r="A26" t="s">
        <v>153</v>
      </c>
      <c r="B26" s="12">
        <f t="shared" si="1"/>
        <v>-46</v>
      </c>
      <c r="C26" s="12">
        <f t="shared" si="1"/>
        <v>-4</v>
      </c>
      <c r="D26" s="12">
        <f t="shared" si="1"/>
        <v>-46</v>
      </c>
      <c r="E26" s="12">
        <f t="shared" si="1"/>
        <v>-115</v>
      </c>
      <c r="F26" s="12">
        <f t="shared" si="1"/>
        <v>-115</v>
      </c>
      <c r="G26" s="12">
        <f t="shared" si="1"/>
        <v>-70</v>
      </c>
      <c r="H26" s="12">
        <f t="shared" si="1"/>
        <v>-70</v>
      </c>
      <c r="I26" s="12">
        <f>SUM(I8-I44)</f>
        <v>-115</v>
      </c>
      <c r="J26" s="12">
        <f t="shared" si="1"/>
        <v>-115</v>
      </c>
      <c r="K26" s="12">
        <f t="shared" si="1"/>
        <v>-115</v>
      </c>
      <c r="L26" s="12">
        <f t="shared" si="1"/>
        <v>-115</v>
      </c>
      <c r="M26" s="12">
        <f t="shared" si="1"/>
        <v>-115</v>
      </c>
    </row>
    <row r="27" spans="1:14">
      <c r="A27" t="s">
        <v>150</v>
      </c>
      <c r="B27" s="12">
        <f t="shared" si="1"/>
        <v>-70</v>
      </c>
      <c r="C27" s="12">
        <f t="shared" si="1"/>
        <v>-86</v>
      </c>
      <c r="D27" s="12">
        <f t="shared" si="1"/>
        <v>-108</v>
      </c>
      <c r="E27" s="12">
        <f t="shared" si="1"/>
        <v>-76</v>
      </c>
      <c r="F27" s="12">
        <f t="shared" si="1"/>
        <v>-165</v>
      </c>
      <c r="G27" s="12">
        <f t="shared" si="1"/>
        <v>-185</v>
      </c>
      <c r="H27" s="12">
        <f t="shared" si="1"/>
        <v>-95</v>
      </c>
      <c r="I27" s="12">
        <f t="shared" si="1"/>
        <v>-95</v>
      </c>
      <c r="J27" s="12">
        <f t="shared" si="1"/>
        <v>-185</v>
      </c>
      <c r="K27" s="12">
        <f t="shared" si="1"/>
        <v>-185</v>
      </c>
      <c r="L27" s="12">
        <f t="shared" si="1"/>
        <v>-185</v>
      </c>
      <c r="M27" s="12">
        <f t="shared" si="1"/>
        <v>-95</v>
      </c>
    </row>
    <row r="28" spans="1:14">
      <c r="A28" t="s">
        <v>151</v>
      </c>
      <c r="B28" s="12">
        <f t="shared" si="1"/>
        <v>-13</v>
      </c>
      <c r="C28" s="12">
        <f t="shared" si="1"/>
        <v>-15</v>
      </c>
      <c r="D28" s="12">
        <f t="shared" si="1"/>
        <v>-10</v>
      </c>
      <c r="E28" s="12">
        <f t="shared" si="1"/>
        <v>-4</v>
      </c>
      <c r="F28" s="12">
        <f t="shared" si="1"/>
        <v>-34</v>
      </c>
      <c r="G28" s="12">
        <f t="shared" si="1"/>
        <v>-34</v>
      </c>
      <c r="H28" s="12">
        <f t="shared" si="1"/>
        <v>-34</v>
      </c>
      <c r="I28" s="12">
        <f t="shared" si="1"/>
        <v>-34</v>
      </c>
      <c r="J28" s="12">
        <f t="shared" si="1"/>
        <v>-34</v>
      </c>
      <c r="K28" s="12">
        <f t="shared" si="1"/>
        <v>-34</v>
      </c>
      <c r="L28" s="12">
        <f t="shared" si="1"/>
        <v>-34</v>
      </c>
      <c r="M28" s="12">
        <f t="shared" si="1"/>
        <v>-34</v>
      </c>
    </row>
    <row r="29" spans="1:14">
      <c r="A29" t="s">
        <v>98</v>
      </c>
      <c r="B29" s="12">
        <f t="shared" si="1"/>
        <v>-24</v>
      </c>
      <c r="C29" s="12">
        <f t="shared" si="1"/>
        <v>123</v>
      </c>
      <c r="D29" s="12">
        <f t="shared" si="1"/>
        <v>236</v>
      </c>
      <c r="E29" s="12">
        <f t="shared" si="1"/>
        <v>200</v>
      </c>
      <c r="F29" s="12">
        <f t="shared" si="1"/>
        <v>-24</v>
      </c>
      <c r="G29" s="12">
        <f t="shared" si="1"/>
        <v>-24</v>
      </c>
      <c r="H29" s="12">
        <f t="shared" si="1"/>
        <v>-24</v>
      </c>
      <c r="I29" s="12">
        <f t="shared" si="1"/>
        <v>-24</v>
      </c>
      <c r="J29" s="12">
        <f t="shared" si="1"/>
        <v>-24</v>
      </c>
      <c r="K29" s="12">
        <f t="shared" si="1"/>
        <v>-24</v>
      </c>
      <c r="L29" s="12">
        <f t="shared" si="1"/>
        <v>-24</v>
      </c>
      <c r="M29" s="12">
        <f t="shared" si="1"/>
        <v>-24</v>
      </c>
    </row>
    <row r="30" spans="1:14">
      <c r="A30" t="s">
        <v>99</v>
      </c>
      <c r="B30" s="12">
        <f>SUM(B12-B48)</f>
        <v>96</v>
      </c>
      <c r="C30" s="12">
        <f t="shared" si="1"/>
        <v>99</v>
      </c>
      <c r="D30" s="12">
        <f t="shared" si="1"/>
        <v>108</v>
      </c>
      <c r="E30" s="12">
        <f t="shared" si="1"/>
        <v>125</v>
      </c>
      <c r="F30" s="12">
        <f t="shared" si="1"/>
        <v>0</v>
      </c>
      <c r="G30" s="12">
        <f t="shared" si="1"/>
        <v>-160</v>
      </c>
      <c r="H30" s="12">
        <f t="shared" si="1"/>
        <v>-160</v>
      </c>
      <c r="I30" s="12">
        <f t="shared" si="1"/>
        <v>-160</v>
      </c>
      <c r="J30" s="12">
        <f t="shared" si="1"/>
        <v>0</v>
      </c>
      <c r="K30" s="12">
        <f t="shared" si="1"/>
        <v>0</v>
      </c>
      <c r="L30" s="12">
        <f t="shared" si="1"/>
        <v>0</v>
      </c>
      <c r="M30" s="12">
        <f t="shared" si="1"/>
        <v>0</v>
      </c>
    </row>
    <row r="31" spans="1:14">
      <c r="B31" s="12">
        <f t="shared" si="1"/>
        <v>0</v>
      </c>
      <c r="C31" s="12">
        <f t="shared" si="1"/>
        <v>0</v>
      </c>
      <c r="D31" s="12">
        <f t="shared" si="1"/>
        <v>0</v>
      </c>
      <c r="E31" s="12">
        <f t="shared" si="1"/>
        <v>60</v>
      </c>
      <c r="F31" s="12">
        <f t="shared" si="1"/>
        <v>0</v>
      </c>
      <c r="G31" s="12">
        <f t="shared" si="1"/>
        <v>0</v>
      </c>
      <c r="H31" s="12">
        <f t="shared" si="1"/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</row>
    <row r="32" spans="1:14">
      <c r="B32" s="12">
        <f t="shared" si="1"/>
        <v>0</v>
      </c>
      <c r="C32" s="12">
        <f t="shared" si="1"/>
        <v>0</v>
      </c>
      <c r="D32" s="12">
        <f t="shared" si="1"/>
        <v>0</v>
      </c>
      <c r="E32" s="12">
        <f t="shared" si="1"/>
        <v>0</v>
      </c>
      <c r="F32" s="12">
        <f t="shared" si="1"/>
        <v>0</v>
      </c>
      <c r="G32" s="12">
        <f t="shared" si="1"/>
        <v>0</v>
      </c>
      <c r="H32" s="12">
        <f t="shared" si="1"/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</row>
    <row r="33" spans="1:13">
      <c r="B33" s="12">
        <f t="shared" si="1"/>
        <v>0</v>
      </c>
      <c r="C33" s="12">
        <f t="shared" si="1"/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</row>
    <row r="34" spans="1:13">
      <c r="B34" s="12">
        <f t="shared" si="1"/>
        <v>0</v>
      </c>
      <c r="C34" s="12">
        <f t="shared" si="1"/>
        <v>0</v>
      </c>
      <c r="D34" s="12">
        <f t="shared" si="1"/>
        <v>0</v>
      </c>
      <c r="E34" s="12">
        <f t="shared" si="1"/>
        <v>0</v>
      </c>
      <c r="F34" s="12">
        <f t="shared" si="1"/>
        <v>0</v>
      </c>
      <c r="G34" s="12">
        <f t="shared" si="1"/>
        <v>0</v>
      </c>
      <c r="H34" s="12">
        <f t="shared" si="1"/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</row>
    <row r="35" spans="1:13" ht="15" thickBot="1">
      <c r="B35" s="12">
        <f t="shared" si="1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</row>
    <row r="36" spans="1:13" ht="15" thickBot="1">
      <c r="B36" s="11">
        <f t="shared" ref="B36:M36" si="2">SUM(B22:B35)</f>
        <v>44</v>
      </c>
      <c r="C36" s="11">
        <f t="shared" si="2"/>
        <v>193</v>
      </c>
      <c r="D36" s="11">
        <f t="shared" si="2"/>
        <v>197</v>
      </c>
      <c r="E36" s="11">
        <f t="shared" si="2"/>
        <v>155</v>
      </c>
      <c r="F36" s="11">
        <f t="shared" si="2"/>
        <v>-1144</v>
      </c>
      <c r="G36" s="11">
        <f t="shared" si="2"/>
        <v>-977</v>
      </c>
      <c r="H36" s="11">
        <f t="shared" si="2"/>
        <v>-707</v>
      </c>
      <c r="I36" s="11">
        <f t="shared" si="2"/>
        <v>-1068</v>
      </c>
      <c r="J36" s="11">
        <f t="shared" si="2"/>
        <v>-1192</v>
      </c>
      <c r="K36" s="11">
        <f t="shared" si="2"/>
        <v>-1126</v>
      </c>
      <c r="L36" s="11">
        <f t="shared" si="2"/>
        <v>-1144</v>
      </c>
      <c r="M36" s="11">
        <f t="shared" si="2"/>
        <v>-1034</v>
      </c>
    </row>
    <row r="38" spans="1:13" s="2" customFormat="1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</row>
    <row r="39" spans="1:13">
      <c r="A39" s="1" t="s">
        <v>2</v>
      </c>
      <c r="B39" s="1">
        <f>SUM(B40:B48)</f>
        <v>1040</v>
      </c>
      <c r="C39" s="1">
        <f t="shared" ref="C39:M39" si="3">SUM(C40:C48)</f>
        <v>1036</v>
      </c>
      <c r="D39" s="1">
        <f t="shared" si="3"/>
        <v>1192</v>
      </c>
      <c r="E39" s="1">
        <f t="shared" si="3"/>
        <v>1126</v>
      </c>
      <c r="F39" s="1">
        <f t="shared" si="3"/>
        <v>1144</v>
      </c>
      <c r="G39" s="1">
        <f t="shared" si="3"/>
        <v>977</v>
      </c>
      <c r="H39" s="1">
        <f t="shared" si="3"/>
        <v>707</v>
      </c>
      <c r="I39" s="1">
        <f t="shared" si="3"/>
        <v>1068</v>
      </c>
      <c r="J39" s="1">
        <f t="shared" si="3"/>
        <v>1192</v>
      </c>
      <c r="K39" s="1">
        <f t="shared" si="3"/>
        <v>1126</v>
      </c>
      <c r="L39" s="1">
        <f t="shared" si="3"/>
        <v>1144</v>
      </c>
      <c r="M39" s="1">
        <f t="shared" si="3"/>
        <v>1034</v>
      </c>
    </row>
    <row r="40" spans="1:13">
      <c r="A40" s="4" t="s">
        <v>152</v>
      </c>
      <c r="B40" s="4">
        <v>210</v>
      </c>
      <c r="C40" s="4">
        <v>210</v>
      </c>
      <c r="D40" s="4">
        <v>210</v>
      </c>
      <c r="E40" s="4">
        <v>144</v>
      </c>
      <c r="F40" s="4">
        <v>210</v>
      </c>
      <c r="G40" s="4">
        <v>144</v>
      </c>
      <c r="H40" s="4">
        <v>144</v>
      </c>
      <c r="I40" s="4">
        <v>210</v>
      </c>
      <c r="J40" s="4">
        <v>210</v>
      </c>
      <c r="K40" s="4">
        <v>144</v>
      </c>
      <c r="L40" s="4">
        <v>210</v>
      </c>
      <c r="M40" s="4">
        <v>210</v>
      </c>
    </row>
    <row r="41" spans="1:13">
      <c r="A41" s="4" t="s">
        <v>155</v>
      </c>
      <c r="B41" s="4">
        <v>192</v>
      </c>
      <c r="C41" s="4">
        <v>240</v>
      </c>
      <c r="D41" s="4">
        <v>240</v>
      </c>
      <c r="E41" s="4">
        <v>240</v>
      </c>
      <c r="F41" s="4">
        <v>226</v>
      </c>
      <c r="G41" s="4">
        <v>240</v>
      </c>
      <c r="H41" s="4">
        <v>60</v>
      </c>
      <c r="I41" s="4">
        <v>120</v>
      </c>
      <c r="J41" s="4">
        <v>240</v>
      </c>
      <c r="K41" s="4">
        <v>240</v>
      </c>
      <c r="L41" s="4">
        <v>192</v>
      </c>
      <c r="M41" s="4">
        <v>192</v>
      </c>
    </row>
    <row r="42" spans="1:13">
      <c r="A42" s="4" t="s">
        <v>154</v>
      </c>
      <c r="B42" s="4">
        <v>192</v>
      </c>
      <c r="C42" s="4">
        <v>120</v>
      </c>
      <c r="D42" s="4">
        <v>240</v>
      </c>
      <c r="E42" s="4">
        <v>240</v>
      </c>
      <c r="F42" s="4">
        <v>226</v>
      </c>
      <c r="G42" s="4">
        <v>120</v>
      </c>
      <c r="H42" s="4">
        <v>120</v>
      </c>
      <c r="I42" s="4">
        <v>240</v>
      </c>
      <c r="J42" s="4">
        <v>240</v>
      </c>
      <c r="K42" s="4">
        <v>240</v>
      </c>
      <c r="L42" s="4">
        <v>240</v>
      </c>
      <c r="M42" s="4">
        <v>220</v>
      </c>
    </row>
    <row r="43" spans="1:13">
      <c r="A43" s="4" t="s">
        <v>124</v>
      </c>
      <c r="B43" s="4">
        <v>108</v>
      </c>
      <c r="C43" s="4">
        <v>108</v>
      </c>
      <c r="D43" s="4">
        <v>144</v>
      </c>
      <c r="E43" s="4">
        <v>144</v>
      </c>
      <c r="F43" s="4">
        <v>144</v>
      </c>
      <c r="G43" s="4">
        <v>0</v>
      </c>
      <c r="H43" s="4">
        <v>0</v>
      </c>
      <c r="I43" s="4">
        <v>70</v>
      </c>
      <c r="J43" s="4">
        <v>144</v>
      </c>
      <c r="K43" s="4">
        <v>144</v>
      </c>
      <c r="L43" s="4">
        <v>144</v>
      </c>
      <c r="M43" s="4">
        <v>144</v>
      </c>
    </row>
    <row r="44" spans="1:13">
      <c r="A44" s="4" t="s">
        <v>153</v>
      </c>
      <c r="B44" s="4">
        <v>115</v>
      </c>
      <c r="C44" s="4">
        <v>115</v>
      </c>
      <c r="D44" s="4">
        <v>115</v>
      </c>
      <c r="E44" s="4">
        <v>115</v>
      </c>
      <c r="F44" s="4">
        <v>115</v>
      </c>
      <c r="G44" s="4">
        <v>70</v>
      </c>
      <c r="H44" s="4">
        <v>70</v>
      </c>
      <c r="I44" s="4">
        <v>115</v>
      </c>
      <c r="J44" s="4">
        <v>115</v>
      </c>
      <c r="K44" s="4">
        <v>115</v>
      </c>
      <c r="L44" s="4">
        <v>115</v>
      </c>
      <c r="M44" s="4">
        <v>115</v>
      </c>
    </row>
    <row r="45" spans="1:13">
      <c r="A45" s="4" t="s">
        <v>150</v>
      </c>
      <c r="B45" s="4">
        <v>165</v>
      </c>
      <c r="C45" s="4">
        <v>185</v>
      </c>
      <c r="D45" s="4">
        <v>185</v>
      </c>
      <c r="E45" s="4">
        <v>185</v>
      </c>
      <c r="F45" s="4">
        <v>165</v>
      </c>
      <c r="G45" s="4">
        <v>185</v>
      </c>
      <c r="H45" s="4">
        <v>95</v>
      </c>
      <c r="I45" s="4">
        <v>95</v>
      </c>
      <c r="J45" s="4">
        <v>185</v>
      </c>
      <c r="K45" s="4">
        <v>185</v>
      </c>
      <c r="L45" s="4">
        <v>185</v>
      </c>
      <c r="M45" s="4">
        <v>95</v>
      </c>
    </row>
    <row r="46" spans="1:13">
      <c r="A46" s="4" t="s">
        <v>151</v>
      </c>
      <c r="B46" s="4">
        <v>34</v>
      </c>
      <c r="C46" s="4">
        <v>34</v>
      </c>
      <c r="D46" s="4">
        <v>34</v>
      </c>
      <c r="E46" s="4">
        <v>34</v>
      </c>
      <c r="F46" s="4">
        <v>34</v>
      </c>
      <c r="G46" s="4">
        <v>34</v>
      </c>
      <c r="H46" s="4">
        <v>34</v>
      </c>
      <c r="I46" s="4">
        <v>34</v>
      </c>
      <c r="J46" s="4">
        <v>34</v>
      </c>
      <c r="K46" s="4">
        <v>34</v>
      </c>
      <c r="L46" s="4">
        <v>34</v>
      </c>
      <c r="M46" s="4">
        <v>34</v>
      </c>
    </row>
    <row r="47" spans="1:13">
      <c r="A47" s="4" t="s">
        <v>98</v>
      </c>
      <c r="B47" s="4">
        <v>24</v>
      </c>
      <c r="C47" s="4">
        <v>24</v>
      </c>
      <c r="D47" s="4">
        <v>24</v>
      </c>
      <c r="E47" s="4">
        <v>24</v>
      </c>
      <c r="F47" s="4">
        <v>24</v>
      </c>
      <c r="G47" s="4">
        <v>24</v>
      </c>
      <c r="H47" s="4">
        <v>24</v>
      </c>
      <c r="I47" s="4">
        <v>24</v>
      </c>
      <c r="J47" s="4">
        <v>24</v>
      </c>
      <c r="K47" s="4">
        <v>24</v>
      </c>
      <c r="L47" s="4">
        <v>24</v>
      </c>
      <c r="M47" s="4">
        <v>24</v>
      </c>
    </row>
    <row r="48" spans="1:13">
      <c r="A48" s="4" t="s">
        <v>99</v>
      </c>
      <c r="B48" s="4"/>
      <c r="C48" s="4"/>
      <c r="D48" s="4"/>
      <c r="E48" s="4"/>
      <c r="F48" s="4"/>
      <c r="G48" s="4">
        <v>160</v>
      </c>
      <c r="H48" s="4">
        <v>160</v>
      </c>
      <c r="I48" s="4">
        <v>160</v>
      </c>
      <c r="J48" s="4"/>
      <c r="K48" s="4"/>
      <c r="L48" s="4"/>
      <c r="M48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90E3-F0F7-402A-B7A7-454B25CA41BC}">
  <dimension ref="A1:N51"/>
  <sheetViews>
    <sheetView topLeftCell="A13" workbookViewId="0">
      <selection activeCell="E16" sqref="E16"/>
    </sheetView>
  </sheetViews>
  <sheetFormatPr defaultRowHeight="14.4"/>
  <cols>
    <col min="1" max="1" width="32.33203125" bestFit="1" customWidth="1"/>
    <col min="2" max="3" width="11" bestFit="1" customWidth="1"/>
  </cols>
  <sheetData>
    <row r="1" spans="1:13" s="2" customFormat="1">
      <c r="A1" s="5" t="s">
        <v>3</v>
      </c>
      <c r="B1" s="6">
        <v>46063</v>
      </c>
      <c r="C1" s="6">
        <v>46086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s="9" customFormat="1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 s="2" customFormat="1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>
      <c r="A4" t="s">
        <v>100</v>
      </c>
      <c r="B4" s="10">
        <v>167</v>
      </c>
      <c r="C4" s="10">
        <v>86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>
      <c r="A5" t="s">
        <v>156</v>
      </c>
      <c r="B5" s="10">
        <v>0</v>
      </c>
      <c r="C5" s="10">
        <v>66</v>
      </c>
      <c r="D5" s="10">
        <v>72</v>
      </c>
      <c r="E5" s="10">
        <v>48</v>
      </c>
      <c r="F5" s="10"/>
      <c r="G5" s="10"/>
      <c r="H5" s="10"/>
      <c r="I5" s="10"/>
      <c r="J5" s="10"/>
      <c r="K5" s="10"/>
      <c r="L5" s="10"/>
      <c r="M5" s="10"/>
    </row>
    <row r="6" spans="1:13">
      <c r="A6" t="s">
        <v>157</v>
      </c>
      <c r="B6" s="10">
        <v>250</v>
      </c>
      <c r="C6" s="10">
        <v>294</v>
      </c>
      <c r="D6" s="10">
        <v>197</v>
      </c>
      <c r="E6" s="10">
        <v>312</v>
      </c>
      <c r="F6" s="10"/>
      <c r="G6" s="10"/>
      <c r="H6" s="10"/>
      <c r="I6" s="10"/>
      <c r="J6" s="10"/>
      <c r="K6" s="10"/>
      <c r="L6" s="10"/>
      <c r="M6" s="10"/>
    </row>
    <row r="7" spans="1:13">
      <c r="A7" t="s">
        <v>158</v>
      </c>
      <c r="B7" s="10">
        <v>177</v>
      </c>
      <c r="C7" s="10">
        <v>211</v>
      </c>
      <c r="D7" s="10">
        <v>234</v>
      </c>
      <c r="E7" s="10">
        <v>180</v>
      </c>
      <c r="F7" s="10"/>
      <c r="G7" s="10"/>
      <c r="H7" s="10"/>
      <c r="I7" s="10"/>
      <c r="J7" s="10"/>
      <c r="K7" s="10"/>
      <c r="L7" s="10"/>
      <c r="M7" s="10"/>
    </row>
    <row r="8" spans="1:13">
      <c r="A8" t="s">
        <v>159</v>
      </c>
      <c r="B8" s="10">
        <v>145</v>
      </c>
      <c r="C8" s="10">
        <v>136</v>
      </c>
      <c r="D8" s="10">
        <v>17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>
      <c r="A9" t="s">
        <v>160</v>
      </c>
      <c r="B9" s="10">
        <v>73</v>
      </c>
      <c r="C9" s="10">
        <v>81</v>
      </c>
      <c r="D9" s="10">
        <v>97</v>
      </c>
      <c r="E9" s="10">
        <v>142</v>
      </c>
      <c r="F9" s="10"/>
      <c r="G9" s="10"/>
      <c r="H9" s="10"/>
      <c r="I9" s="10"/>
      <c r="J9" s="10"/>
      <c r="K9" s="10"/>
      <c r="L9" s="10"/>
      <c r="M9" s="10"/>
    </row>
    <row r="10" spans="1:13">
      <c r="A10" t="s">
        <v>161</v>
      </c>
      <c r="B10" s="10">
        <v>146</v>
      </c>
      <c r="C10" s="10">
        <v>177</v>
      </c>
      <c r="D10" s="10">
        <v>213</v>
      </c>
      <c r="E10" s="10">
        <v>207</v>
      </c>
      <c r="F10" s="10"/>
      <c r="G10" s="10"/>
      <c r="H10" s="10"/>
      <c r="I10" s="10"/>
      <c r="J10" s="10"/>
      <c r="K10" s="10"/>
      <c r="L10" s="10"/>
      <c r="M10" s="10"/>
    </row>
    <row r="11" spans="1:13">
      <c r="A11" t="s">
        <v>162</v>
      </c>
      <c r="B11" s="10">
        <v>0</v>
      </c>
      <c r="C11" s="10">
        <v>29</v>
      </c>
      <c r="D11" s="10">
        <v>55</v>
      </c>
      <c r="E11" s="10">
        <v>110</v>
      </c>
      <c r="F11" s="10"/>
      <c r="G11" s="10"/>
      <c r="H11" s="10"/>
      <c r="I11" s="10"/>
      <c r="J11" s="10"/>
      <c r="K11" s="10"/>
      <c r="L11" s="10"/>
      <c r="M11" s="10"/>
    </row>
    <row r="12" spans="1:13">
      <c r="A12" t="s">
        <v>101</v>
      </c>
      <c r="B12" s="10"/>
      <c r="C12" s="10">
        <v>96</v>
      </c>
      <c r="D12" s="10">
        <v>102</v>
      </c>
      <c r="E12" s="10">
        <v>100</v>
      </c>
      <c r="F12" s="10"/>
      <c r="G12" s="10"/>
      <c r="H12" s="10"/>
      <c r="I12" s="10"/>
      <c r="J12" s="10"/>
      <c r="K12" s="10"/>
      <c r="L12" s="10"/>
      <c r="M12" s="10"/>
    </row>
    <row r="13" spans="1:13">
      <c r="A13" t="s">
        <v>102</v>
      </c>
      <c r="B13" s="10"/>
      <c r="C13" s="10">
        <v>16</v>
      </c>
      <c r="D13" s="10">
        <v>89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>
      <c r="A14" t="s">
        <v>192</v>
      </c>
      <c r="B14" s="10"/>
      <c r="C14" s="10"/>
      <c r="D14" s="10"/>
      <c r="E14" s="10">
        <v>53</v>
      </c>
      <c r="F14" s="10"/>
      <c r="G14" s="10"/>
      <c r="H14" s="10"/>
      <c r="I14" s="10"/>
      <c r="J14" s="10"/>
      <c r="K14" s="10"/>
      <c r="L14" s="10"/>
      <c r="M14" s="10"/>
    </row>
    <row r="15" spans="1:13">
      <c r="A15" t="s">
        <v>193</v>
      </c>
      <c r="B15" s="10"/>
      <c r="C15" s="10"/>
      <c r="D15" s="10"/>
      <c r="E15" s="10">
        <v>139</v>
      </c>
      <c r="F15" s="10"/>
      <c r="G15" s="10"/>
      <c r="H15" s="10"/>
      <c r="I15" s="10"/>
      <c r="J15" s="10"/>
      <c r="K15" s="10"/>
      <c r="L15" s="10"/>
      <c r="M15" s="10"/>
    </row>
    <row r="16" spans="1:13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4" ht="15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4" ht="15" thickBot="1">
      <c r="B18" s="11">
        <f t="shared" ref="B18:M18" si="0">SUM(B4:B17)</f>
        <v>958</v>
      </c>
      <c r="C18" s="11">
        <f t="shared" si="0"/>
        <v>1192</v>
      </c>
      <c r="D18" s="11">
        <f t="shared" si="0"/>
        <v>1076</v>
      </c>
      <c r="E18" s="11">
        <f t="shared" si="0"/>
        <v>1291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4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4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4">
      <c r="A22" t="s">
        <v>100</v>
      </c>
      <c r="B22" s="12">
        <f>SUM(B4-B40)</f>
        <v>-48</v>
      </c>
      <c r="C22" s="12">
        <f t="shared" ref="C22:M22" si="1">SUM(C4-C40)</f>
        <v>-129</v>
      </c>
      <c r="D22" s="12">
        <f t="shared" si="1"/>
        <v>-215</v>
      </c>
      <c r="E22" s="12">
        <f t="shared" si="1"/>
        <v>-200</v>
      </c>
      <c r="F22" s="12">
        <f t="shared" si="1"/>
        <v>-215</v>
      </c>
      <c r="G22" s="12">
        <f t="shared" si="1"/>
        <v>-200</v>
      </c>
      <c r="H22" s="12">
        <f t="shared" si="1"/>
        <v>-215</v>
      </c>
      <c r="I22" s="12">
        <f t="shared" si="1"/>
        <v>-215</v>
      </c>
      <c r="J22" s="12">
        <f t="shared" si="1"/>
        <v>-215</v>
      </c>
      <c r="K22" s="12">
        <f t="shared" si="1"/>
        <v>-215</v>
      </c>
      <c r="L22" s="12">
        <f t="shared" si="1"/>
        <v>-215</v>
      </c>
      <c r="M22" s="12">
        <f t="shared" si="1"/>
        <v>-200</v>
      </c>
      <c r="N22" t="s">
        <v>103</v>
      </c>
    </row>
    <row r="23" spans="1:14">
      <c r="A23" t="s">
        <v>156</v>
      </c>
      <c r="B23" s="12">
        <f t="shared" ref="B23:M23" si="2">SUM(B5-B41)</f>
        <v>0</v>
      </c>
      <c r="C23" s="12">
        <f t="shared" si="2"/>
        <v>-34</v>
      </c>
      <c r="D23" s="12">
        <f t="shared" si="2"/>
        <v>-28</v>
      </c>
      <c r="E23" s="12">
        <f t="shared" si="2"/>
        <v>-52</v>
      </c>
      <c r="F23" s="12">
        <f t="shared" si="2"/>
        <v>-120</v>
      </c>
      <c r="G23" s="12">
        <f t="shared" si="2"/>
        <v>-100</v>
      </c>
      <c r="H23" s="12">
        <f t="shared" si="2"/>
        <v>-120</v>
      </c>
      <c r="I23" s="12">
        <f t="shared" si="2"/>
        <v>-100</v>
      </c>
      <c r="J23" s="12">
        <f t="shared" si="2"/>
        <v>-180</v>
      </c>
      <c r="K23" s="12">
        <f t="shared" si="2"/>
        <v>-180</v>
      </c>
      <c r="L23" s="12">
        <f t="shared" si="2"/>
        <v>-180</v>
      </c>
      <c r="M23" s="12">
        <f t="shared" si="2"/>
        <v>-180</v>
      </c>
    </row>
    <row r="24" spans="1:14">
      <c r="A24" t="s">
        <v>157</v>
      </c>
      <c r="B24" s="12">
        <f t="shared" ref="B24:M24" si="3">SUM(B6-B42)</f>
        <v>10</v>
      </c>
      <c r="C24" s="12">
        <f t="shared" si="3"/>
        <v>54</v>
      </c>
      <c r="D24" s="12">
        <f t="shared" si="3"/>
        <v>-43</v>
      </c>
      <c r="E24" s="12">
        <f t="shared" si="3"/>
        <v>92</v>
      </c>
      <c r="F24" s="12">
        <f t="shared" si="3"/>
        <v>-240</v>
      </c>
      <c r="G24" s="12">
        <f t="shared" si="3"/>
        <v>-180</v>
      </c>
      <c r="H24" s="12">
        <f t="shared" si="3"/>
        <v>-120</v>
      </c>
      <c r="I24" s="12">
        <f t="shared" si="3"/>
        <v>-120</v>
      </c>
      <c r="J24" s="12">
        <f t="shared" si="3"/>
        <v>-240</v>
      </c>
      <c r="K24" s="12">
        <f t="shared" si="3"/>
        <v>-240</v>
      </c>
      <c r="L24" s="12">
        <f t="shared" si="3"/>
        <v>-240</v>
      </c>
      <c r="M24" s="12">
        <f t="shared" si="3"/>
        <v>-200</v>
      </c>
      <c r="N24" t="s">
        <v>104</v>
      </c>
    </row>
    <row r="25" spans="1:14">
      <c r="A25" t="s">
        <v>158</v>
      </c>
      <c r="B25" s="12">
        <f t="shared" ref="B25:M25" si="4">SUM(B7-B43)</f>
        <v>-23</v>
      </c>
      <c r="C25" s="12">
        <f t="shared" si="4"/>
        <v>11</v>
      </c>
      <c r="D25" s="12">
        <f t="shared" si="4"/>
        <v>34</v>
      </c>
      <c r="E25" s="12">
        <f t="shared" si="4"/>
        <v>0</v>
      </c>
      <c r="F25" s="12">
        <f t="shared" si="4"/>
        <v>-200</v>
      </c>
      <c r="G25" s="12">
        <f t="shared" si="4"/>
        <v>-180</v>
      </c>
      <c r="H25" s="12">
        <f t="shared" si="4"/>
        <v>-100</v>
      </c>
      <c r="I25" s="12">
        <f t="shared" si="4"/>
        <v>-100</v>
      </c>
      <c r="J25" s="12">
        <f t="shared" si="4"/>
        <v>-200</v>
      </c>
      <c r="K25" s="12">
        <f t="shared" si="4"/>
        <v>-200</v>
      </c>
      <c r="L25" s="12">
        <f t="shared" si="4"/>
        <v>-200</v>
      </c>
      <c r="M25" s="12">
        <f t="shared" si="4"/>
        <v>-200</v>
      </c>
    </row>
    <row r="26" spans="1:14">
      <c r="A26" t="s">
        <v>159</v>
      </c>
      <c r="B26" s="12">
        <f t="shared" ref="B26:M26" si="5">SUM(B8-B44)</f>
        <v>-55</v>
      </c>
      <c r="C26" s="12">
        <f t="shared" si="5"/>
        <v>-64</v>
      </c>
      <c r="D26" s="12">
        <f t="shared" si="5"/>
        <v>-183</v>
      </c>
      <c r="E26" s="12">
        <f t="shared" si="5"/>
        <v>-200</v>
      </c>
      <c r="F26" s="12">
        <f t="shared" si="5"/>
        <v>-200</v>
      </c>
      <c r="G26" s="12">
        <f t="shared" si="5"/>
        <v>-200</v>
      </c>
      <c r="H26" s="12">
        <f t="shared" si="5"/>
        <v>-200</v>
      </c>
      <c r="I26" s="12">
        <f t="shared" si="5"/>
        <v>-200</v>
      </c>
      <c r="J26" s="12">
        <f t="shared" si="5"/>
        <v>-200</v>
      </c>
      <c r="K26" s="12">
        <f t="shared" si="5"/>
        <v>-200</v>
      </c>
      <c r="L26" s="12">
        <f t="shared" si="5"/>
        <v>-200</v>
      </c>
      <c r="M26" s="12">
        <f t="shared" si="5"/>
        <v>-200</v>
      </c>
      <c r="N26" t="s">
        <v>105</v>
      </c>
    </row>
    <row r="27" spans="1:14">
      <c r="A27" t="s">
        <v>160</v>
      </c>
      <c r="B27" s="12">
        <f t="shared" ref="B27:M27" si="6">SUM(B9-B45)</f>
        <v>-77</v>
      </c>
      <c r="C27" s="12">
        <f t="shared" si="6"/>
        <v>-69</v>
      </c>
      <c r="D27" s="12">
        <f>SUM(D9-D45)</f>
        <v>-53</v>
      </c>
      <c r="E27" s="12">
        <f t="shared" si="6"/>
        <v>12</v>
      </c>
      <c r="F27" s="12">
        <f t="shared" si="6"/>
        <v>-150</v>
      </c>
      <c r="G27" s="12">
        <f t="shared" si="6"/>
        <v>-150</v>
      </c>
      <c r="H27" s="12">
        <f t="shared" si="6"/>
        <v>-75</v>
      </c>
      <c r="I27" s="12">
        <f t="shared" si="6"/>
        <v>-75</v>
      </c>
      <c r="J27" s="12">
        <f t="shared" si="6"/>
        <v>-150</v>
      </c>
      <c r="K27" s="12">
        <f t="shared" si="6"/>
        <v>-150</v>
      </c>
      <c r="L27" s="12">
        <f t="shared" si="6"/>
        <v>-150</v>
      </c>
      <c r="M27" s="12">
        <f t="shared" si="6"/>
        <v>-120</v>
      </c>
    </row>
    <row r="28" spans="1:14">
      <c r="A28" t="s">
        <v>161</v>
      </c>
      <c r="B28" s="12">
        <f t="shared" ref="B28:M28" si="7">SUM(B10-B46)</f>
        <v>26</v>
      </c>
      <c r="C28" s="12">
        <f t="shared" si="7"/>
        <v>57</v>
      </c>
      <c r="D28" s="12">
        <f t="shared" si="7"/>
        <v>93</v>
      </c>
      <c r="E28" s="12">
        <f t="shared" si="7"/>
        <v>107</v>
      </c>
      <c r="F28" s="12">
        <f t="shared" si="7"/>
        <v>-120</v>
      </c>
      <c r="G28" s="12">
        <f t="shared" si="7"/>
        <v>-120</v>
      </c>
      <c r="H28" s="12">
        <f t="shared" si="7"/>
        <v>-120</v>
      </c>
      <c r="I28" s="12">
        <f t="shared" si="7"/>
        <v>-120</v>
      </c>
      <c r="J28" s="12">
        <f t="shared" si="7"/>
        <v>-120</v>
      </c>
      <c r="K28" s="12">
        <f t="shared" si="7"/>
        <v>-120</v>
      </c>
      <c r="L28" s="12">
        <f t="shared" si="7"/>
        <v>-120</v>
      </c>
      <c r="M28" s="12">
        <f t="shared" si="7"/>
        <v>-120</v>
      </c>
    </row>
    <row r="29" spans="1:14">
      <c r="A29" t="s">
        <v>162</v>
      </c>
      <c r="B29" s="12">
        <f t="shared" ref="B29:M29" si="8">SUM(B11-B47)</f>
        <v>0</v>
      </c>
      <c r="C29" s="12">
        <f t="shared" si="8"/>
        <v>-71</v>
      </c>
      <c r="D29" s="12">
        <f t="shared" si="8"/>
        <v>-45</v>
      </c>
      <c r="E29" s="12">
        <f t="shared" si="8"/>
        <v>30</v>
      </c>
      <c r="F29" s="12">
        <f t="shared" si="8"/>
        <v>-100</v>
      </c>
      <c r="G29" s="12">
        <f t="shared" si="8"/>
        <v>-100</v>
      </c>
      <c r="H29" s="12">
        <f t="shared" si="8"/>
        <v>-100</v>
      </c>
      <c r="I29" s="12">
        <f t="shared" si="8"/>
        <v>-100</v>
      </c>
      <c r="J29" s="12">
        <f t="shared" si="8"/>
        <v>-200</v>
      </c>
      <c r="K29" s="12">
        <f t="shared" si="8"/>
        <v>-240</v>
      </c>
      <c r="L29" s="12">
        <f t="shared" si="8"/>
        <v>-240</v>
      </c>
      <c r="M29" s="12">
        <f t="shared" si="8"/>
        <v>-200</v>
      </c>
    </row>
    <row r="30" spans="1:14">
      <c r="A30" t="s">
        <v>101</v>
      </c>
      <c r="B30" s="12">
        <f t="shared" ref="B30:M30" si="9">SUM(B12-B48)</f>
        <v>0</v>
      </c>
      <c r="C30" s="12">
        <f t="shared" si="9"/>
        <v>96</v>
      </c>
      <c r="D30" s="12">
        <f t="shared" si="9"/>
        <v>102</v>
      </c>
      <c r="E30" s="12">
        <f t="shared" si="9"/>
        <v>100</v>
      </c>
      <c r="F30" s="12">
        <f t="shared" si="9"/>
        <v>0</v>
      </c>
      <c r="G30" s="12">
        <f t="shared" si="9"/>
        <v>0</v>
      </c>
      <c r="H30" s="12">
        <f t="shared" si="9"/>
        <v>0</v>
      </c>
      <c r="I30" s="12">
        <f t="shared" si="9"/>
        <v>0</v>
      </c>
      <c r="J30" s="12">
        <f t="shared" si="9"/>
        <v>0</v>
      </c>
      <c r="K30" s="12">
        <f t="shared" si="9"/>
        <v>0</v>
      </c>
      <c r="L30" s="12">
        <f t="shared" si="9"/>
        <v>0</v>
      </c>
      <c r="M30" s="12">
        <f t="shared" si="9"/>
        <v>0</v>
      </c>
      <c r="N30" t="s">
        <v>106</v>
      </c>
    </row>
    <row r="31" spans="1:14">
      <c r="A31" t="s">
        <v>102</v>
      </c>
      <c r="B31" s="12">
        <f t="shared" ref="B31:M31" si="10">SUM(B13-B49)</f>
        <v>0</v>
      </c>
      <c r="C31" s="12">
        <f t="shared" si="10"/>
        <v>16</v>
      </c>
      <c r="D31" s="12">
        <f t="shared" si="10"/>
        <v>89</v>
      </c>
      <c r="E31" s="12">
        <f t="shared" si="10"/>
        <v>0</v>
      </c>
      <c r="F31" s="12">
        <f t="shared" si="10"/>
        <v>0</v>
      </c>
      <c r="G31" s="12">
        <f t="shared" si="10"/>
        <v>0</v>
      </c>
      <c r="H31" s="12">
        <f t="shared" si="10"/>
        <v>0</v>
      </c>
      <c r="I31" s="12">
        <f t="shared" si="10"/>
        <v>0</v>
      </c>
      <c r="J31" s="12">
        <f t="shared" si="10"/>
        <v>0</v>
      </c>
      <c r="K31" s="12">
        <f t="shared" si="10"/>
        <v>0</v>
      </c>
      <c r="L31" s="12">
        <f t="shared" si="10"/>
        <v>0</v>
      </c>
      <c r="M31" s="12">
        <f t="shared" si="10"/>
        <v>0</v>
      </c>
    </row>
    <row r="32" spans="1:14">
      <c r="A32" t="s">
        <v>192</v>
      </c>
      <c r="B32" s="12">
        <f t="shared" ref="B32:M32" si="11">SUM(B14-B50)</f>
        <v>0</v>
      </c>
      <c r="C32" s="12">
        <f t="shared" si="11"/>
        <v>0</v>
      </c>
      <c r="D32" s="12">
        <f t="shared" si="11"/>
        <v>0</v>
      </c>
      <c r="E32" s="12">
        <f t="shared" si="11"/>
        <v>53</v>
      </c>
      <c r="F32" s="12">
        <f t="shared" si="11"/>
        <v>0</v>
      </c>
      <c r="G32" s="12">
        <f t="shared" si="11"/>
        <v>0</v>
      </c>
      <c r="H32" s="12">
        <f t="shared" si="11"/>
        <v>0</v>
      </c>
      <c r="I32" s="12">
        <f t="shared" si="11"/>
        <v>0</v>
      </c>
      <c r="J32" s="12">
        <f t="shared" si="11"/>
        <v>0</v>
      </c>
      <c r="K32" s="12">
        <f t="shared" si="11"/>
        <v>0</v>
      </c>
      <c r="L32" s="12">
        <f t="shared" si="11"/>
        <v>0</v>
      </c>
      <c r="M32" s="12">
        <f t="shared" si="11"/>
        <v>0</v>
      </c>
    </row>
    <row r="33" spans="1:13">
      <c r="A33" t="s">
        <v>193</v>
      </c>
      <c r="B33" s="12">
        <f t="shared" ref="B33:M33" si="12">SUM(B15-B51)</f>
        <v>0</v>
      </c>
      <c r="C33" s="12">
        <f t="shared" si="12"/>
        <v>0</v>
      </c>
      <c r="D33" s="12">
        <f t="shared" si="12"/>
        <v>0</v>
      </c>
      <c r="E33" s="12">
        <f t="shared" si="12"/>
        <v>139</v>
      </c>
      <c r="F33" s="12">
        <f t="shared" si="12"/>
        <v>0</v>
      </c>
      <c r="G33" s="12">
        <f t="shared" si="12"/>
        <v>0</v>
      </c>
      <c r="H33" s="12">
        <f t="shared" si="12"/>
        <v>0</v>
      </c>
      <c r="I33" s="12">
        <f t="shared" si="12"/>
        <v>0</v>
      </c>
      <c r="J33" s="12">
        <f t="shared" si="12"/>
        <v>0</v>
      </c>
      <c r="K33" s="12">
        <f t="shared" si="12"/>
        <v>0</v>
      </c>
      <c r="L33" s="12">
        <f t="shared" si="12"/>
        <v>0</v>
      </c>
      <c r="M33" s="12">
        <f t="shared" si="12"/>
        <v>0</v>
      </c>
    </row>
    <row r="34" spans="1:13">
      <c r="B34" s="12">
        <f t="shared" ref="B34:M34" si="13">SUM(B16-B52)</f>
        <v>0</v>
      </c>
      <c r="C34" s="12">
        <f t="shared" si="13"/>
        <v>0</v>
      </c>
      <c r="D34" s="12">
        <f t="shared" si="13"/>
        <v>0</v>
      </c>
      <c r="E34" s="12">
        <f t="shared" si="13"/>
        <v>0</v>
      </c>
      <c r="F34" s="12">
        <f t="shared" si="13"/>
        <v>0</v>
      </c>
      <c r="G34" s="12">
        <f t="shared" si="13"/>
        <v>0</v>
      </c>
      <c r="H34" s="12">
        <f t="shared" si="13"/>
        <v>0</v>
      </c>
      <c r="I34" s="12">
        <f t="shared" si="13"/>
        <v>0</v>
      </c>
      <c r="J34" s="12">
        <f t="shared" si="13"/>
        <v>0</v>
      </c>
      <c r="K34" s="12">
        <f t="shared" si="13"/>
        <v>0</v>
      </c>
      <c r="L34" s="12">
        <f t="shared" si="13"/>
        <v>0</v>
      </c>
      <c r="M34" s="12">
        <f t="shared" si="13"/>
        <v>0</v>
      </c>
    </row>
    <row r="35" spans="1:13" ht="15" thickBot="1">
      <c r="B35" s="12">
        <f t="shared" ref="B35:M35" si="14">SUM(B17-B53)</f>
        <v>0</v>
      </c>
      <c r="C35" s="12">
        <f t="shared" si="14"/>
        <v>0</v>
      </c>
      <c r="D35" s="12">
        <f t="shared" si="14"/>
        <v>0</v>
      </c>
      <c r="E35" s="12">
        <f t="shared" si="14"/>
        <v>0</v>
      </c>
      <c r="F35" s="12">
        <f t="shared" si="14"/>
        <v>0</v>
      </c>
      <c r="G35" s="12">
        <f t="shared" si="14"/>
        <v>0</v>
      </c>
      <c r="H35" s="12">
        <f t="shared" si="14"/>
        <v>0</v>
      </c>
      <c r="I35" s="12">
        <f t="shared" si="14"/>
        <v>0</v>
      </c>
      <c r="J35" s="12">
        <f t="shared" si="14"/>
        <v>0</v>
      </c>
      <c r="K35" s="12">
        <f t="shared" si="14"/>
        <v>0</v>
      </c>
      <c r="L35" s="12">
        <f t="shared" si="14"/>
        <v>0</v>
      </c>
      <c r="M35" s="12">
        <f t="shared" si="14"/>
        <v>0</v>
      </c>
    </row>
    <row r="36" spans="1:13" ht="15" thickBot="1">
      <c r="B36" s="11">
        <f t="shared" ref="B36:M36" si="15">SUM(B22:B35)</f>
        <v>-167</v>
      </c>
      <c r="C36" s="11">
        <f t="shared" si="15"/>
        <v>-133</v>
      </c>
      <c r="D36" s="11">
        <f t="shared" si="15"/>
        <v>-249</v>
      </c>
      <c r="E36" s="11">
        <f t="shared" si="15"/>
        <v>81</v>
      </c>
      <c r="F36" s="11">
        <f t="shared" si="15"/>
        <v>-1345</v>
      </c>
      <c r="G36" s="11">
        <f t="shared" si="15"/>
        <v>-1230</v>
      </c>
      <c r="H36" s="11">
        <f t="shared" si="15"/>
        <v>-1050</v>
      </c>
      <c r="I36" s="11">
        <f t="shared" si="15"/>
        <v>-1030</v>
      </c>
      <c r="J36" s="11">
        <f t="shared" si="15"/>
        <v>-1505</v>
      </c>
      <c r="K36" s="11">
        <f t="shared" si="15"/>
        <v>-1545</v>
      </c>
      <c r="L36" s="11">
        <f t="shared" si="15"/>
        <v>-1545</v>
      </c>
      <c r="M36" s="11">
        <f t="shared" si="15"/>
        <v>-1420</v>
      </c>
    </row>
    <row r="37" spans="1:13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s="2" customFormat="1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</row>
    <row r="39" spans="1:13">
      <c r="A39" s="1" t="s">
        <v>2</v>
      </c>
      <c r="B39" s="1">
        <f>SUM(B40:B47)</f>
        <v>1125</v>
      </c>
      <c r="C39" s="1">
        <f t="shared" ref="C39:M39" si="16">SUM(C40:C47)</f>
        <v>1325</v>
      </c>
      <c r="D39" s="1">
        <f t="shared" si="16"/>
        <v>1325</v>
      </c>
      <c r="E39" s="1">
        <f t="shared" si="16"/>
        <v>1210</v>
      </c>
      <c r="F39" s="1">
        <f t="shared" si="16"/>
        <v>1345</v>
      </c>
      <c r="G39" s="1">
        <f t="shared" si="16"/>
        <v>1230</v>
      </c>
      <c r="H39" s="1">
        <f t="shared" si="16"/>
        <v>1050</v>
      </c>
      <c r="I39" s="1">
        <f t="shared" si="16"/>
        <v>1030</v>
      </c>
      <c r="J39" s="1">
        <f t="shared" si="16"/>
        <v>1505</v>
      </c>
      <c r="K39" s="1">
        <f t="shared" si="16"/>
        <v>1545</v>
      </c>
      <c r="L39" s="1">
        <f t="shared" si="16"/>
        <v>1545</v>
      </c>
      <c r="M39" s="1">
        <f t="shared" si="16"/>
        <v>1420</v>
      </c>
    </row>
    <row r="40" spans="1:13">
      <c r="A40" s="4" t="s">
        <v>100</v>
      </c>
      <c r="B40" s="4">
        <v>215</v>
      </c>
      <c r="C40" s="4">
        <v>215</v>
      </c>
      <c r="D40" s="4">
        <v>215</v>
      </c>
      <c r="E40" s="4">
        <v>200</v>
      </c>
      <c r="F40" s="4">
        <v>215</v>
      </c>
      <c r="G40" s="4">
        <v>200</v>
      </c>
      <c r="H40" s="4">
        <v>215</v>
      </c>
      <c r="I40" s="4">
        <v>215</v>
      </c>
      <c r="J40" s="4">
        <v>215</v>
      </c>
      <c r="K40" s="4">
        <v>215</v>
      </c>
      <c r="L40" s="4">
        <v>215</v>
      </c>
      <c r="M40" s="4">
        <v>200</v>
      </c>
    </row>
    <row r="41" spans="1:13">
      <c r="A41" s="4" t="s">
        <v>156</v>
      </c>
      <c r="B41" s="4">
        <v>0</v>
      </c>
      <c r="C41" s="4">
        <v>100</v>
      </c>
      <c r="D41" s="4">
        <v>100</v>
      </c>
      <c r="E41" s="4">
        <v>100</v>
      </c>
      <c r="F41" s="4">
        <v>120</v>
      </c>
      <c r="G41" s="4">
        <v>100</v>
      </c>
      <c r="H41" s="4">
        <v>120</v>
      </c>
      <c r="I41" s="4">
        <v>100</v>
      </c>
      <c r="J41" s="4">
        <v>180</v>
      </c>
      <c r="K41" s="4">
        <v>180</v>
      </c>
      <c r="L41" s="4">
        <v>180</v>
      </c>
      <c r="M41" s="4">
        <v>180</v>
      </c>
    </row>
    <row r="42" spans="1:13">
      <c r="A42" s="4" t="s">
        <v>157</v>
      </c>
      <c r="B42" s="4">
        <v>240</v>
      </c>
      <c r="C42" s="4">
        <v>240</v>
      </c>
      <c r="D42" s="4">
        <v>240</v>
      </c>
      <c r="E42" s="4">
        <v>220</v>
      </c>
      <c r="F42" s="4">
        <v>240</v>
      </c>
      <c r="G42" s="4">
        <v>180</v>
      </c>
      <c r="H42" s="4">
        <v>120</v>
      </c>
      <c r="I42" s="4">
        <v>120</v>
      </c>
      <c r="J42" s="4">
        <v>240</v>
      </c>
      <c r="K42" s="4">
        <v>240</v>
      </c>
      <c r="L42" s="4">
        <v>240</v>
      </c>
      <c r="M42" s="4">
        <v>200</v>
      </c>
    </row>
    <row r="43" spans="1:13">
      <c r="A43" s="4" t="s">
        <v>158</v>
      </c>
      <c r="B43" s="4">
        <v>200</v>
      </c>
      <c r="C43" s="4">
        <v>200</v>
      </c>
      <c r="D43" s="4">
        <v>200</v>
      </c>
      <c r="E43" s="4">
        <v>180</v>
      </c>
      <c r="F43" s="4">
        <v>200</v>
      </c>
      <c r="G43" s="4">
        <v>180</v>
      </c>
      <c r="H43" s="4">
        <v>100</v>
      </c>
      <c r="I43" s="4">
        <v>100</v>
      </c>
      <c r="J43" s="4">
        <v>200</v>
      </c>
      <c r="K43" s="4">
        <v>200</v>
      </c>
      <c r="L43" s="4">
        <v>200</v>
      </c>
      <c r="M43" s="4">
        <v>200</v>
      </c>
    </row>
    <row r="44" spans="1:13">
      <c r="A44" s="4" t="s">
        <v>159</v>
      </c>
      <c r="B44" s="4">
        <v>200</v>
      </c>
      <c r="C44" s="4">
        <v>200</v>
      </c>
      <c r="D44" s="4">
        <v>200</v>
      </c>
      <c r="E44" s="4">
        <v>200</v>
      </c>
      <c r="F44" s="4">
        <v>200</v>
      </c>
      <c r="G44" s="4">
        <v>200</v>
      </c>
      <c r="H44" s="4">
        <v>200</v>
      </c>
      <c r="I44" s="4">
        <v>200</v>
      </c>
      <c r="J44" s="4">
        <v>200</v>
      </c>
      <c r="K44" s="4">
        <v>200</v>
      </c>
      <c r="L44" s="4">
        <v>200</v>
      </c>
      <c r="M44" s="4">
        <v>200</v>
      </c>
    </row>
    <row r="45" spans="1:13">
      <c r="A45" s="4" t="s">
        <v>160</v>
      </c>
      <c r="B45" s="4">
        <v>150</v>
      </c>
      <c r="C45" s="4">
        <v>150</v>
      </c>
      <c r="D45" s="4">
        <v>150</v>
      </c>
      <c r="E45" s="4">
        <v>130</v>
      </c>
      <c r="F45" s="4">
        <v>150</v>
      </c>
      <c r="G45" s="4">
        <v>150</v>
      </c>
      <c r="H45" s="4">
        <v>75</v>
      </c>
      <c r="I45" s="4">
        <v>75</v>
      </c>
      <c r="J45" s="4">
        <v>150</v>
      </c>
      <c r="K45" s="4">
        <v>150</v>
      </c>
      <c r="L45" s="4">
        <v>150</v>
      </c>
      <c r="M45" s="4">
        <v>120</v>
      </c>
    </row>
    <row r="46" spans="1:13">
      <c r="A46" s="4" t="s">
        <v>161</v>
      </c>
      <c r="B46" s="4">
        <v>120</v>
      </c>
      <c r="C46" s="4">
        <v>120</v>
      </c>
      <c r="D46" s="4">
        <v>120</v>
      </c>
      <c r="E46" s="4">
        <v>100</v>
      </c>
      <c r="F46" s="4">
        <v>120</v>
      </c>
      <c r="G46" s="4">
        <v>120</v>
      </c>
      <c r="H46" s="4">
        <v>120</v>
      </c>
      <c r="I46" s="4">
        <v>120</v>
      </c>
      <c r="J46" s="4">
        <v>120</v>
      </c>
      <c r="K46" s="4">
        <v>120</v>
      </c>
      <c r="L46" s="4">
        <v>120</v>
      </c>
      <c r="M46" s="4">
        <v>120</v>
      </c>
    </row>
    <row r="47" spans="1:13">
      <c r="A47" s="4" t="s">
        <v>162</v>
      </c>
      <c r="B47" s="4">
        <v>0</v>
      </c>
      <c r="C47" s="4">
        <v>100</v>
      </c>
      <c r="D47" s="4">
        <v>100</v>
      </c>
      <c r="E47" s="4">
        <v>80</v>
      </c>
      <c r="F47" s="4">
        <v>100</v>
      </c>
      <c r="G47" s="4">
        <v>100</v>
      </c>
      <c r="H47" s="4">
        <v>100</v>
      </c>
      <c r="I47" s="4">
        <v>100</v>
      </c>
      <c r="J47" s="4">
        <v>200</v>
      </c>
      <c r="K47" s="4">
        <v>240</v>
      </c>
      <c r="L47" s="4">
        <v>240</v>
      </c>
      <c r="M47" s="4">
        <v>200</v>
      </c>
    </row>
    <row r="48" spans="1:13">
      <c r="A48" s="4" t="s">
        <v>101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 t="s">
        <v>102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 t="s">
        <v>192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4" t="s">
        <v>193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27AC-6F72-4653-BB5A-DC985433BE2A}">
  <dimension ref="A1:M57"/>
  <sheetViews>
    <sheetView topLeftCell="A16" workbookViewId="0">
      <selection activeCell="B58" sqref="B58"/>
    </sheetView>
  </sheetViews>
  <sheetFormatPr defaultColWidth="9.33203125" defaultRowHeight="14.4"/>
  <cols>
    <col min="1" max="1" width="31.5546875" style="2" bestFit="1" customWidth="1"/>
    <col min="2" max="3" width="11.6640625" style="2" bestFit="1" customWidth="1"/>
    <col min="4" max="7" width="9.44140625" style="2" bestFit="1" customWidth="1"/>
    <col min="8" max="8" width="9.33203125" style="2" bestFit="1"/>
    <col min="9" max="12" width="9.44140625" style="2" bestFit="1" customWidth="1"/>
    <col min="13" max="13" width="11.33203125" style="2" bestFit="1" customWidth="1"/>
    <col min="14" max="16384" width="9.33203125" style="2"/>
  </cols>
  <sheetData>
    <row r="1" spans="1:13">
      <c r="A1" s="5" t="s">
        <v>3</v>
      </c>
      <c r="B1" s="6">
        <v>46063</v>
      </c>
      <c r="C1" s="6">
        <v>46086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s="9" customFormat="1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>
      <c r="A4" s="2" t="s">
        <v>107</v>
      </c>
      <c r="B4" s="10">
        <v>178</v>
      </c>
      <c r="C4" s="10">
        <v>319</v>
      </c>
      <c r="D4" s="10">
        <v>355</v>
      </c>
      <c r="E4" s="10">
        <v>337</v>
      </c>
      <c r="F4" s="10"/>
      <c r="G4" s="10"/>
      <c r="H4" s="10"/>
      <c r="I4" s="10"/>
      <c r="J4" s="10"/>
      <c r="K4" s="10"/>
      <c r="L4" s="10"/>
      <c r="M4" s="10"/>
    </row>
    <row r="5" spans="1:13">
      <c r="A5" s="2" t="s">
        <v>108</v>
      </c>
      <c r="B5" s="10">
        <v>178</v>
      </c>
      <c r="C5" s="10">
        <v>158</v>
      </c>
      <c r="D5" s="10">
        <v>181</v>
      </c>
      <c r="E5" s="10">
        <v>192</v>
      </c>
      <c r="F5" s="10"/>
      <c r="G5" s="10"/>
      <c r="H5" s="10"/>
      <c r="I5" s="10"/>
      <c r="J5" s="10"/>
      <c r="K5" s="10"/>
      <c r="L5" s="10"/>
      <c r="M5" s="10"/>
    </row>
    <row r="6" spans="1:13">
      <c r="A6" s="2" t="s">
        <v>109</v>
      </c>
      <c r="B6" s="10">
        <v>197</v>
      </c>
      <c r="C6" s="10">
        <v>147</v>
      </c>
      <c r="D6" s="10">
        <v>200</v>
      </c>
      <c r="E6" s="10">
        <v>219</v>
      </c>
      <c r="F6" s="10"/>
      <c r="G6" s="10"/>
      <c r="H6" s="10"/>
      <c r="I6" s="10"/>
      <c r="J6" s="10"/>
      <c r="K6" s="10"/>
      <c r="L6" s="10"/>
      <c r="M6" s="10"/>
    </row>
    <row r="7" spans="1:13">
      <c r="A7" s="2" t="s">
        <v>110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>
      <c r="A8" s="2" t="s">
        <v>111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>
      <c r="A9" s="2" t="s">
        <v>112</v>
      </c>
      <c r="B9" s="10">
        <v>11</v>
      </c>
      <c r="C9" s="10">
        <v>12</v>
      </c>
      <c r="D9" s="10">
        <v>53</v>
      </c>
      <c r="E9" s="10">
        <v>16</v>
      </c>
      <c r="F9" s="10"/>
      <c r="G9" s="10"/>
      <c r="H9" s="10"/>
      <c r="I9" s="10"/>
      <c r="J9" s="10"/>
      <c r="K9" s="10"/>
      <c r="L9" s="10"/>
      <c r="M9" s="10"/>
    </row>
    <row r="10" spans="1:13">
      <c r="A10" s="2" t="s">
        <v>113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>
      <c r="A11" s="2" t="s">
        <v>114</v>
      </c>
      <c r="B11" s="10">
        <v>231</v>
      </c>
      <c r="C11" s="10">
        <v>230</v>
      </c>
      <c r="D11" s="10">
        <v>218</v>
      </c>
      <c r="E11" s="10">
        <v>191</v>
      </c>
      <c r="F11" s="10"/>
      <c r="G11" s="10"/>
      <c r="H11" s="10"/>
      <c r="I11" s="10"/>
      <c r="J11" s="10"/>
      <c r="K11" s="10"/>
      <c r="L11" s="10"/>
      <c r="M11" s="10"/>
    </row>
    <row r="12" spans="1:13">
      <c r="A12" s="2" t="s">
        <v>115</v>
      </c>
      <c r="B12" s="10">
        <v>163</v>
      </c>
      <c r="C12" s="10">
        <v>82</v>
      </c>
      <c r="D12" s="10">
        <v>224</v>
      </c>
      <c r="E12" s="10">
        <v>194</v>
      </c>
      <c r="F12" s="10"/>
      <c r="G12" s="10"/>
      <c r="H12" s="10"/>
      <c r="I12" s="10"/>
      <c r="J12" s="10"/>
      <c r="K12" s="10"/>
      <c r="L12" s="10"/>
      <c r="M12" s="10"/>
    </row>
    <row r="13" spans="1:13">
      <c r="A13" s="2" t="s">
        <v>116</v>
      </c>
      <c r="B13" s="10">
        <v>130</v>
      </c>
      <c r="C13" s="10">
        <v>222</v>
      </c>
      <c r="D13" s="10">
        <v>222</v>
      </c>
      <c r="E13" s="10">
        <v>253</v>
      </c>
      <c r="F13" s="10"/>
      <c r="G13" s="10"/>
      <c r="H13" s="10"/>
      <c r="I13" s="10"/>
      <c r="J13" s="10"/>
      <c r="K13" s="10"/>
      <c r="L13" s="10"/>
      <c r="M13" s="10"/>
    </row>
    <row r="14" spans="1:13">
      <c r="A14" s="2" t="s">
        <v>117</v>
      </c>
      <c r="B14" s="10">
        <v>50</v>
      </c>
      <c r="C14" s="10">
        <v>129</v>
      </c>
      <c r="D14" s="10">
        <v>235</v>
      </c>
      <c r="E14" s="10">
        <v>183</v>
      </c>
      <c r="F14" s="10"/>
      <c r="G14" s="10"/>
      <c r="H14" s="10"/>
      <c r="I14" s="10"/>
      <c r="J14" s="10"/>
      <c r="K14" s="10"/>
      <c r="L14" s="10"/>
      <c r="M14" s="10"/>
    </row>
    <row r="15" spans="1:13">
      <c r="A15" s="2" t="s">
        <v>118</v>
      </c>
      <c r="B15" s="10">
        <v>91</v>
      </c>
      <c r="C15" s="10">
        <v>116</v>
      </c>
      <c r="D15" s="10">
        <v>186</v>
      </c>
      <c r="E15" s="10">
        <v>118</v>
      </c>
      <c r="F15" s="10"/>
      <c r="G15" s="10"/>
      <c r="H15" s="10"/>
      <c r="I15" s="10"/>
      <c r="J15" s="10"/>
      <c r="K15" s="10"/>
      <c r="L15" s="10"/>
      <c r="M15" s="10"/>
    </row>
    <row r="16" spans="1:13">
      <c r="A16" s="2" t="s">
        <v>119</v>
      </c>
      <c r="B16" s="10">
        <v>4</v>
      </c>
      <c r="C16" s="10">
        <v>0</v>
      </c>
      <c r="D16" s="10"/>
      <c r="E16" s="10">
        <v>152</v>
      </c>
      <c r="F16" s="10"/>
      <c r="G16" s="10"/>
      <c r="H16" s="10"/>
      <c r="I16" s="10"/>
      <c r="J16" s="10"/>
      <c r="K16" s="10"/>
      <c r="L16" s="10"/>
      <c r="M16" s="10"/>
    </row>
    <row r="17" spans="1:13">
      <c r="A17" s="2" t="s">
        <v>120</v>
      </c>
      <c r="B17" s="10">
        <v>138</v>
      </c>
      <c r="C17" s="10">
        <v>191</v>
      </c>
      <c r="D17" s="10">
        <v>181</v>
      </c>
      <c r="E17" s="10">
        <v>162</v>
      </c>
      <c r="F17" s="10"/>
      <c r="G17" s="10"/>
      <c r="H17" s="10"/>
      <c r="I17" s="10"/>
      <c r="J17" s="10"/>
      <c r="K17" s="10"/>
      <c r="L17" s="10"/>
      <c r="M17" s="10"/>
    </row>
    <row r="18" spans="1:13">
      <c r="A18" s="2" t="s">
        <v>220</v>
      </c>
      <c r="B18" s="10"/>
      <c r="C18" s="10"/>
      <c r="D18" s="10">
        <v>2</v>
      </c>
      <c r="E18" s="10">
        <v>1</v>
      </c>
      <c r="F18" s="10"/>
      <c r="G18" s="10"/>
      <c r="H18" s="10"/>
      <c r="I18" s="10"/>
      <c r="J18" s="10"/>
      <c r="K18" s="10"/>
      <c r="L18" s="10"/>
      <c r="M18" s="10"/>
    </row>
    <row r="19" spans="1:13" ht="15" thickBot="1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ht="15" thickBot="1">
      <c r="B20" s="11">
        <f t="shared" ref="B20:M20" si="0">SUM(B4:B19)</f>
        <v>1371</v>
      </c>
      <c r="C20" s="11">
        <f t="shared" si="0"/>
        <v>1606</v>
      </c>
      <c r="D20" s="11">
        <f t="shared" si="0"/>
        <v>2057</v>
      </c>
      <c r="E20" s="11">
        <f t="shared" si="0"/>
        <v>2018</v>
      </c>
      <c r="F20" s="11">
        <f t="shared" si="0"/>
        <v>0</v>
      </c>
      <c r="G20" s="11">
        <f t="shared" si="0"/>
        <v>0</v>
      </c>
      <c r="H20" s="11">
        <f t="shared" si="0"/>
        <v>0</v>
      </c>
      <c r="I20" s="11">
        <f t="shared" si="0"/>
        <v>0</v>
      </c>
      <c r="J20" s="11">
        <f t="shared" si="0"/>
        <v>0</v>
      </c>
      <c r="K20" s="11">
        <f t="shared" si="0"/>
        <v>0</v>
      </c>
      <c r="L20" s="11">
        <f t="shared" si="0"/>
        <v>0</v>
      </c>
      <c r="M20" s="11">
        <f t="shared" si="0"/>
        <v>0</v>
      </c>
    </row>
    <row r="21" spans="1:13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>
      <c r="B22" s="8" t="s">
        <v>4</v>
      </c>
      <c r="C22" s="8" t="s">
        <v>5</v>
      </c>
      <c r="D22" s="8" t="s">
        <v>6</v>
      </c>
      <c r="E22" s="8" t="s">
        <v>7</v>
      </c>
      <c r="F22" s="8" t="s">
        <v>8</v>
      </c>
      <c r="G22" s="8" t="s">
        <v>9</v>
      </c>
      <c r="H22" s="8" t="s">
        <v>10</v>
      </c>
      <c r="I22" s="8" t="s">
        <v>11</v>
      </c>
      <c r="J22" s="8" t="s">
        <v>12</v>
      </c>
      <c r="K22" s="8" t="s">
        <v>13</v>
      </c>
      <c r="L22" s="8" t="s">
        <v>14</v>
      </c>
      <c r="M22" s="8" t="s">
        <v>15</v>
      </c>
    </row>
    <row r="23" spans="1:13">
      <c r="B23" s="5" t="s">
        <v>18</v>
      </c>
      <c r="C23" s="5" t="s">
        <v>18</v>
      </c>
      <c r="D23" s="5" t="s">
        <v>18</v>
      </c>
      <c r="E23" s="5" t="s">
        <v>18</v>
      </c>
      <c r="F23" s="5" t="s">
        <v>18</v>
      </c>
      <c r="G23" s="5" t="s">
        <v>18</v>
      </c>
      <c r="H23" s="5" t="s">
        <v>18</v>
      </c>
      <c r="I23" s="5" t="s">
        <v>18</v>
      </c>
      <c r="J23" s="5" t="s">
        <v>18</v>
      </c>
      <c r="K23" s="5" t="s">
        <v>18</v>
      </c>
      <c r="L23" s="5" t="s">
        <v>18</v>
      </c>
      <c r="M23" s="5" t="s">
        <v>18</v>
      </c>
    </row>
    <row r="24" spans="1:13">
      <c r="A24" s="2" t="s">
        <v>107</v>
      </c>
      <c r="B24" s="12">
        <f t="shared" ref="B24:M24" si="1">SUM(B4-B43)</f>
        <v>-112</v>
      </c>
      <c r="C24" s="12">
        <f t="shared" si="1"/>
        <v>29</v>
      </c>
      <c r="D24" s="12">
        <f t="shared" si="1"/>
        <v>65</v>
      </c>
      <c r="E24" s="12">
        <f t="shared" si="1"/>
        <v>47</v>
      </c>
      <c r="F24" s="12">
        <f t="shared" si="1"/>
        <v>-280</v>
      </c>
      <c r="G24" s="12">
        <f t="shared" si="1"/>
        <v>-145</v>
      </c>
      <c r="H24" s="12">
        <f t="shared" si="1"/>
        <v>0</v>
      </c>
      <c r="I24" s="12">
        <f t="shared" si="1"/>
        <v>-75</v>
      </c>
      <c r="J24" s="12">
        <f t="shared" si="1"/>
        <v>-290</v>
      </c>
      <c r="K24" s="12">
        <f t="shared" si="1"/>
        <v>-290</v>
      </c>
      <c r="L24" s="12">
        <f t="shared" si="1"/>
        <v>-290</v>
      </c>
      <c r="M24" s="12">
        <f t="shared" si="1"/>
        <v>-250</v>
      </c>
    </row>
    <row r="25" spans="1:13">
      <c r="A25" s="2" t="s">
        <v>108</v>
      </c>
      <c r="B25" s="12">
        <f t="shared" ref="B25:M25" si="2">SUM(B5-B44)</f>
        <v>-26</v>
      </c>
      <c r="C25" s="12">
        <f t="shared" si="2"/>
        <v>-46</v>
      </c>
      <c r="D25" s="12">
        <f t="shared" si="2"/>
        <v>-23</v>
      </c>
      <c r="E25" s="12">
        <f t="shared" si="2"/>
        <v>10</v>
      </c>
      <c r="F25" s="12">
        <f t="shared" si="2"/>
        <v>-170</v>
      </c>
      <c r="G25" s="12">
        <f t="shared" si="2"/>
        <v>-194</v>
      </c>
      <c r="H25" s="12">
        <f t="shared" si="2"/>
        <v>-48</v>
      </c>
      <c r="I25" s="12">
        <f t="shared" si="2"/>
        <v>-96</v>
      </c>
      <c r="J25" s="12">
        <f t="shared" si="2"/>
        <v>-204</v>
      </c>
      <c r="K25" s="12">
        <f t="shared" si="2"/>
        <v>-204</v>
      </c>
      <c r="L25" s="12">
        <f t="shared" si="2"/>
        <v>-204</v>
      </c>
      <c r="M25" s="12">
        <f t="shared" si="2"/>
        <v>-184</v>
      </c>
    </row>
    <row r="26" spans="1:13">
      <c r="A26" s="2" t="s">
        <v>109</v>
      </c>
      <c r="B26" s="12">
        <f t="shared" ref="B26:M26" si="3">SUM(B6-B45)</f>
        <v>1</v>
      </c>
      <c r="C26" s="12">
        <f t="shared" si="3"/>
        <v>-49</v>
      </c>
      <c r="D26" s="12">
        <f t="shared" si="3"/>
        <v>4</v>
      </c>
      <c r="E26" s="12">
        <f t="shared" si="3"/>
        <v>46</v>
      </c>
      <c r="F26" s="12">
        <f t="shared" si="3"/>
        <v>-165</v>
      </c>
      <c r="G26" s="12">
        <f t="shared" si="3"/>
        <v>-170</v>
      </c>
      <c r="H26" s="12">
        <f t="shared" si="3"/>
        <v>-100</v>
      </c>
      <c r="I26" s="12">
        <f t="shared" si="3"/>
        <v>-60</v>
      </c>
      <c r="J26" s="12">
        <f t="shared" si="3"/>
        <v>-218</v>
      </c>
      <c r="K26" s="12">
        <f t="shared" si="3"/>
        <v>-218</v>
      </c>
      <c r="L26" s="12">
        <f t="shared" si="3"/>
        <v>-218</v>
      </c>
      <c r="M26" s="12">
        <f t="shared" si="3"/>
        <v>-190</v>
      </c>
    </row>
    <row r="27" spans="1:13">
      <c r="A27" s="2" t="s">
        <v>110</v>
      </c>
      <c r="B27" s="12">
        <f t="shared" ref="B27:M27" si="4">SUM(B7-B46)</f>
        <v>0</v>
      </c>
      <c r="C27" s="12">
        <f t="shared" si="4"/>
        <v>0</v>
      </c>
      <c r="D27" s="12">
        <f t="shared" si="4"/>
        <v>0</v>
      </c>
      <c r="E27" s="12">
        <f t="shared" si="4"/>
        <v>0</v>
      </c>
      <c r="F27" s="12">
        <f t="shared" si="4"/>
        <v>0</v>
      </c>
      <c r="G27" s="12">
        <f t="shared" si="4"/>
        <v>0</v>
      </c>
      <c r="H27" s="12">
        <f t="shared" si="4"/>
        <v>0</v>
      </c>
      <c r="I27" s="12">
        <f t="shared" si="4"/>
        <v>-120</v>
      </c>
      <c r="J27" s="12">
        <f t="shared" si="4"/>
        <v>-220</v>
      </c>
      <c r="K27" s="12">
        <f t="shared" si="4"/>
        <v>-220</v>
      </c>
      <c r="L27" s="12">
        <f t="shared" si="4"/>
        <v>-172</v>
      </c>
      <c r="M27" s="12">
        <f t="shared" si="4"/>
        <v>-165</v>
      </c>
    </row>
    <row r="28" spans="1:13">
      <c r="A28" s="2" t="s">
        <v>111</v>
      </c>
      <c r="B28" s="12">
        <f t="shared" ref="B28:M28" si="5">SUM(B8-B47)</f>
        <v>0</v>
      </c>
      <c r="C28" s="12">
        <f t="shared" si="5"/>
        <v>0</v>
      </c>
      <c r="D28" s="12">
        <f t="shared" si="5"/>
        <v>0</v>
      </c>
      <c r="E28" s="12">
        <f t="shared" si="5"/>
        <v>0</v>
      </c>
      <c r="F28" s="12">
        <f t="shared" si="5"/>
        <v>0</v>
      </c>
      <c r="G28" s="12">
        <f t="shared" si="5"/>
        <v>0</v>
      </c>
      <c r="H28" s="12">
        <f t="shared" si="5"/>
        <v>0</v>
      </c>
      <c r="I28" s="12">
        <f t="shared" si="5"/>
        <v>0</v>
      </c>
      <c r="J28" s="12">
        <f t="shared" si="5"/>
        <v>0</v>
      </c>
      <c r="K28" s="12">
        <f t="shared" si="5"/>
        <v>0</v>
      </c>
      <c r="L28" s="12">
        <f t="shared" si="5"/>
        <v>-115</v>
      </c>
      <c r="M28" s="12">
        <f t="shared" si="5"/>
        <v>-100</v>
      </c>
    </row>
    <row r="29" spans="1:13">
      <c r="A29" s="2" t="s">
        <v>112</v>
      </c>
      <c r="B29" s="12">
        <f t="shared" ref="B29:M29" si="6">SUM(B9-B48)</f>
        <v>-13</v>
      </c>
      <c r="C29" s="12">
        <f t="shared" si="6"/>
        <v>-12</v>
      </c>
      <c r="D29" s="12">
        <f t="shared" si="6"/>
        <v>29</v>
      </c>
      <c r="E29" s="12">
        <f t="shared" si="6"/>
        <v>-8</v>
      </c>
      <c r="F29" s="12">
        <f t="shared" si="6"/>
        <v>-24</v>
      </c>
      <c r="G29" s="12">
        <f t="shared" si="6"/>
        <v>-24</v>
      </c>
      <c r="H29" s="12">
        <f t="shared" si="6"/>
        <v>0</v>
      </c>
      <c r="I29" s="12">
        <f t="shared" si="6"/>
        <v>-10</v>
      </c>
      <c r="J29" s="12">
        <f t="shared" si="6"/>
        <v>-24</v>
      </c>
      <c r="K29" s="12">
        <f t="shared" si="6"/>
        <v>-24</v>
      </c>
      <c r="L29" s="12">
        <f t="shared" si="6"/>
        <v>-24</v>
      </c>
      <c r="M29" s="12">
        <f t="shared" si="6"/>
        <v>-10</v>
      </c>
    </row>
    <row r="30" spans="1:13">
      <c r="A30" s="2" t="s">
        <v>113</v>
      </c>
      <c r="B30" s="12">
        <f t="shared" ref="B30:M30" si="7">SUM(B10-B49)</f>
        <v>0</v>
      </c>
      <c r="C30" s="12">
        <f t="shared" si="7"/>
        <v>0</v>
      </c>
      <c r="D30" s="12">
        <f t="shared" si="7"/>
        <v>0</v>
      </c>
      <c r="E30" s="12">
        <f t="shared" si="7"/>
        <v>0</v>
      </c>
      <c r="F30" s="12">
        <f t="shared" si="7"/>
        <v>0</v>
      </c>
      <c r="G30" s="12">
        <f t="shared" si="7"/>
        <v>0</v>
      </c>
      <c r="H30" s="12">
        <f t="shared" si="7"/>
        <v>0</v>
      </c>
      <c r="I30" s="12">
        <f t="shared" si="7"/>
        <v>0</v>
      </c>
      <c r="J30" s="12">
        <f t="shared" si="7"/>
        <v>0</v>
      </c>
      <c r="K30" s="12">
        <f t="shared" si="7"/>
        <v>0</v>
      </c>
      <c r="L30" s="12">
        <f t="shared" si="7"/>
        <v>0</v>
      </c>
      <c r="M30" s="12">
        <f t="shared" si="7"/>
        <v>0</v>
      </c>
    </row>
    <row r="31" spans="1:13">
      <c r="A31" s="2" t="s">
        <v>114</v>
      </c>
      <c r="B31" s="12">
        <f t="shared" ref="B31:M31" si="8">SUM(B11-B50)</f>
        <v>27</v>
      </c>
      <c r="C31" s="12">
        <f t="shared" si="8"/>
        <v>26</v>
      </c>
      <c r="D31" s="12">
        <f t="shared" si="8"/>
        <v>14</v>
      </c>
      <c r="E31" s="12">
        <f t="shared" si="8"/>
        <v>-13</v>
      </c>
      <c r="F31" s="12">
        <f t="shared" si="8"/>
        <v>-195</v>
      </c>
      <c r="G31" s="12">
        <f t="shared" si="8"/>
        <v>-204</v>
      </c>
      <c r="H31" s="12">
        <f t="shared" si="8"/>
        <v>-102</v>
      </c>
      <c r="I31" s="12">
        <f t="shared" si="8"/>
        <v>-51</v>
      </c>
      <c r="J31" s="12">
        <f t="shared" si="8"/>
        <v>-204</v>
      </c>
      <c r="K31" s="12">
        <f t="shared" si="8"/>
        <v>-204</v>
      </c>
      <c r="L31" s="12">
        <f t="shared" si="8"/>
        <v>-204</v>
      </c>
      <c r="M31" s="12">
        <f t="shared" si="8"/>
        <v>-190</v>
      </c>
    </row>
    <row r="32" spans="1:13">
      <c r="A32" s="2" t="s">
        <v>115</v>
      </c>
      <c r="B32" s="12">
        <f t="shared" ref="B32:M32" si="9">SUM(B12-B51)</f>
        <v>-27</v>
      </c>
      <c r="C32" s="12">
        <f t="shared" si="9"/>
        <v>-108</v>
      </c>
      <c r="D32" s="12">
        <f t="shared" si="9"/>
        <v>14</v>
      </c>
      <c r="E32" s="12">
        <f t="shared" si="9"/>
        <v>-6</v>
      </c>
      <c r="F32" s="12">
        <f t="shared" si="9"/>
        <v>-200</v>
      </c>
      <c r="G32" s="12">
        <f t="shared" si="9"/>
        <v>-110</v>
      </c>
      <c r="H32" s="12">
        <f t="shared" si="9"/>
        <v>-110</v>
      </c>
      <c r="I32" s="12">
        <f t="shared" si="9"/>
        <v>-230</v>
      </c>
      <c r="J32" s="12">
        <f t="shared" si="9"/>
        <v>-230</v>
      </c>
      <c r="K32" s="12">
        <f t="shared" si="9"/>
        <v>-230</v>
      </c>
      <c r="L32" s="12">
        <f t="shared" si="9"/>
        <v>-230</v>
      </c>
      <c r="M32" s="12">
        <f t="shared" si="9"/>
        <v>-210</v>
      </c>
    </row>
    <row r="33" spans="1:13">
      <c r="A33" s="2" t="s">
        <v>116</v>
      </c>
      <c r="B33" s="12">
        <f t="shared" ref="B33:M33" si="10">SUM(B13-B52)</f>
        <v>-60</v>
      </c>
      <c r="C33" s="12">
        <f t="shared" si="10"/>
        <v>32</v>
      </c>
      <c r="D33" s="12">
        <f t="shared" si="10"/>
        <v>12</v>
      </c>
      <c r="E33" s="12">
        <f t="shared" si="10"/>
        <v>53</v>
      </c>
      <c r="F33" s="12">
        <f t="shared" si="10"/>
        <v>-200</v>
      </c>
      <c r="G33" s="12">
        <f t="shared" si="10"/>
        <v>-110</v>
      </c>
      <c r="H33" s="12">
        <f t="shared" si="10"/>
        <v>-110</v>
      </c>
      <c r="I33" s="12">
        <f t="shared" si="10"/>
        <v>-230</v>
      </c>
      <c r="J33" s="12">
        <f t="shared" si="10"/>
        <v>-230</v>
      </c>
      <c r="K33" s="12">
        <f t="shared" si="10"/>
        <v>-230</v>
      </c>
      <c r="L33" s="12">
        <f t="shared" si="10"/>
        <v>-230</v>
      </c>
      <c r="M33" s="12">
        <f t="shared" si="10"/>
        <v>-210</v>
      </c>
    </row>
    <row r="34" spans="1:13">
      <c r="A34" s="2" t="s">
        <v>117</v>
      </c>
      <c r="B34" s="12">
        <f t="shared" ref="B34:M34" si="11">SUM(B14-B53)</f>
        <v>-40</v>
      </c>
      <c r="C34" s="12">
        <f t="shared" si="11"/>
        <v>-81</v>
      </c>
      <c r="D34" s="12">
        <f t="shared" si="11"/>
        <v>25</v>
      </c>
      <c r="E34" s="12">
        <f t="shared" si="11"/>
        <v>-17</v>
      </c>
      <c r="F34" s="12">
        <f t="shared" si="11"/>
        <v>-200</v>
      </c>
      <c r="G34" s="12">
        <f t="shared" si="11"/>
        <v>-105</v>
      </c>
      <c r="H34" s="12">
        <f t="shared" si="11"/>
        <v>-60</v>
      </c>
      <c r="I34" s="12">
        <f t="shared" si="11"/>
        <v>-240</v>
      </c>
      <c r="J34" s="12">
        <f t="shared" si="11"/>
        <v>-240</v>
      </c>
      <c r="K34" s="12">
        <f t="shared" si="11"/>
        <v>-240</v>
      </c>
      <c r="L34" s="12">
        <f t="shared" si="11"/>
        <v>-240</v>
      </c>
      <c r="M34" s="12">
        <f t="shared" si="11"/>
        <v>-200</v>
      </c>
    </row>
    <row r="35" spans="1:13">
      <c r="A35" s="2" t="s">
        <v>118</v>
      </c>
      <c r="B35" s="12">
        <f t="shared" ref="B35:M35" si="12">SUM(B15-B54)</f>
        <v>-81</v>
      </c>
      <c r="C35" s="12">
        <f t="shared" si="12"/>
        <v>-56</v>
      </c>
      <c r="D35" s="12">
        <f t="shared" si="12"/>
        <v>14</v>
      </c>
      <c r="E35" s="12">
        <f t="shared" si="12"/>
        <v>-42</v>
      </c>
      <c r="F35" s="12">
        <f t="shared" si="12"/>
        <v>-160</v>
      </c>
      <c r="G35" s="12">
        <f t="shared" si="12"/>
        <v>-172</v>
      </c>
      <c r="H35" s="12">
        <f t="shared" si="12"/>
        <v>0</v>
      </c>
      <c r="I35" s="12">
        <f t="shared" si="12"/>
        <v>-45</v>
      </c>
      <c r="J35" s="12">
        <f t="shared" si="12"/>
        <v>-172</v>
      </c>
      <c r="K35" s="12">
        <f t="shared" si="12"/>
        <v>-172</v>
      </c>
      <c r="L35" s="12">
        <f t="shared" si="12"/>
        <v>-172</v>
      </c>
      <c r="M35" s="12">
        <f t="shared" si="12"/>
        <v>-165</v>
      </c>
    </row>
    <row r="36" spans="1:13">
      <c r="A36" s="2" t="s">
        <v>119</v>
      </c>
      <c r="B36" s="12">
        <f t="shared" ref="B36:M36" si="13">SUM(B16-B55)</f>
        <v>4</v>
      </c>
      <c r="C36" s="12">
        <f t="shared" si="13"/>
        <v>0</v>
      </c>
      <c r="D36" s="12">
        <f t="shared" si="13"/>
        <v>0</v>
      </c>
      <c r="E36" s="12">
        <f t="shared" si="13"/>
        <v>2</v>
      </c>
      <c r="F36" s="12">
        <f t="shared" si="13"/>
        <v>-150</v>
      </c>
      <c r="G36" s="12">
        <f t="shared" si="13"/>
        <v>-170</v>
      </c>
      <c r="H36" s="12">
        <f t="shared" si="13"/>
        <v>-80</v>
      </c>
      <c r="I36" s="12">
        <f t="shared" si="13"/>
        <v>-48</v>
      </c>
      <c r="J36" s="12">
        <f t="shared" si="13"/>
        <v>-172</v>
      </c>
      <c r="K36" s="12">
        <f t="shared" si="13"/>
        <v>-172</v>
      </c>
      <c r="L36" s="12">
        <f t="shared" si="13"/>
        <v>-172</v>
      </c>
      <c r="M36" s="12">
        <f t="shared" si="13"/>
        <v>-160</v>
      </c>
    </row>
    <row r="37" spans="1:13">
      <c r="A37" s="2" t="s">
        <v>120</v>
      </c>
      <c r="B37" s="12">
        <f>SUM(B17-B56)</f>
        <v>-6</v>
      </c>
      <c r="C37" s="12">
        <f t="shared" ref="C37:M37" si="14">SUM(C17-C56)</f>
        <v>47</v>
      </c>
      <c r="D37" s="12">
        <f t="shared" si="14"/>
        <v>37</v>
      </c>
      <c r="E37" s="12">
        <f t="shared" si="14"/>
        <v>22</v>
      </c>
      <c r="F37" s="12">
        <f t="shared" si="14"/>
        <v>-140</v>
      </c>
      <c r="G37" s="12">
        <f t="shared" si="14"/>
        <v>-140</v>
      </c>
      <c r="H37" s="12">
        <f t="shared" si="14"/>
        <v>-72</v>
      </c>
      <c r="I37" s="12">
        <f t="shared" si="14"/>
        <v>-36</v>
      </c>
      <c r="J37" s="12">
        <f t="shared" si="14"/>
        <v>-144</v>
      </c>
      <c r="K37" s="12">
        <f t="shared" si="14"/>
        <v>-144</v>
      </c>
      <c r="L37" s="12">
        <f t="shared" si="14"/>
        <v>-144</v>
      </c>
      <c r="M37" s="12">
        <f t="shared" si="14"/>
        <v>-144</v>
      </c>
    </row>
    <row r="38" spans="1:13" ht="15" thickBot="1">
      <c r="A38" s="2" t="s">
        <v>220</v>
      </c>
      <c r="B38" s="12">
        <f>SUM(B18-B57)</f>
        <v>0</v>
      </c>
      <c r="C38" s="12">
        <f t="shared" ref="C38:M38" si="15">SUM(C18-C57)</f>
        <v>0</v>
      </c>
      <c r="D38" s="12">
        <f t="shared" si="15"/>
        <v>2</v>
      </c>
      <c r="E38" s="12">
        <f t="shared" si="15"/>
        <v>1</v>
      </c>
      <c r="F38" s="12">
        <f t="shared" si="15"/>
        <v>0</v>
      </c>
      <c r="G38" s="12">
        <f t="shared" si="15"/>
        <v>0</v>
      </c>
      <c r="H38" s="12">
        <f t="shared" si="15"/>
        <v>0</v>
      </c>
      <c r="I38" s="12">
        <f t="shared" si="15"/>
        <v>0</v>
      </c>
      <c r="J38" s="12">
        <f t="shared" si="15"/>
        <v>0</v>
      </c>
      <c r="K38" s="12">
        <f t="shared" si="15"/>
        <v>0</v>
      </c>
      <c r="L38" s="12">
        <f t="shared" si="15"/>
        <v>0</v>
      </c>
      <c r="M38" s="12">
        <f t="shared" si="15"/>
        <v>0</v>
      </c>
    </row>
    <row r="39" spans="1:13" ht="15" thickBot="1">
      <c r="B39" s="11">
        <f t="shared" ref="B39:M39" si="16">SUM(B24:B38)</f>
        <v>-333</v>
      </c>
      <c r="C39" s="11">
        <f t="shared" si="16"/>
        <v>-218</v>
      </c>
      <c r="D39" s="11">
        <f t="shared" si="16"/>
        <v>193</v>
      </c>
      <c r="E39" s="11">
        <f t="shared" si="16"/>
        <v>95</v>
      </c>
      <c r="F39" s="11">
        <f t="shared" si="16"/>
        <v>-1884</v>
      </c>
      <c r="G39" s="11">
        <f t="shared" si="16"/>
        <v>-1544</v>
      </c>
      <c r="H39" s="11">
        <f t="shared" si="16"/>
        <v>-682</v>
      </c>
      <c r="I39" s="11">
        <f t="shared" si="16"/>
        <v>-1241</v>
      </c>
      <c r="J39" s="11">
        <f t="shared" si="16"/>
        <v>-2348</v>
      </c>
      <c r="K39" s="11">
        <f t="shared" si="16"/>
        <v>-2348</v>
      </c>
      <c r="L39" s="11">
        <f t="shared" si="16"/>
        <v>-2415</v>
      </c>
      <c r="M39" s="11">
        <f t="shared" si="16"/>
        <v>-2178</v>
      </c>
    </row>
    <row r="40" spans="1:13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>
      <c r="B41" s="3" t="s">
        <v>0</v>
      </c>
      <c r="C41" s="3" t="s">
        <v>0</v>
      </c>
      <c r="D41" s="3" t="s">
        <v>0</v>
      </c>
      <c r="E41" s="3" t="s">
        <v>0</v>
      </c>
      <c r="F41" s="3" t="s">
        <v>0</v>
      </c>
      <c r="G41" s="3" t="s">
        <v>0</v>
      </c>
      <c r="H41" s="3" t="s">
        <v>0</v>
      </c>
      <c r="I41" s="3" t="s">
        <v>0</v>
      </c>
      <c r="J41" s="3" t="s">
        <v>0</v>
      </c>
      <c r="K41" s="3" t="s">
        <v>0</v>
      </c>
      <c r="L41" s="3" t="s">
        <v>0</v>
      </c>
      <c r="M41" s="3" t="s">
        <v>0</v>
      </c>
    </row>
    <row r="42" spans="1:13">
      <c r="A42" s="1" t="s">
        <v>2</v>
      </c>
      <c r="B42" s="1">
        <f>SUM(B43:B56)</f>
        <v>1704</v>
      </c>
      <c r="C42" s="1">
        <f t="shared" ref="C42:M42" si="17">SUM(C43:C56)</f>
        <v>1824</v>
      </c>
      <c r="D42" s="1">
        <f t="shared" si="17"/>
        <v>1864</v>
      </c>
      <c r="E42" s="1">
        <f t="shared" si="17"/>
        <v>1923</v>
      </c>
      <c r="F42" s="1">
        <f t="shared" si="17"/>
        <v>1884</v>
      </c>
      <c r="G42" s="1">
        <f t="shared" si="17"/>
        <v>1544</v>
      </c>
      <c r="H42" s="1">
        <f t="shared" si="17"/>
        <v>682</v>
      </c>
      <c r="I42" s="1">
        <f t="shared" si="17"/>
        <v>1241</v>
      </c>
      <c r="J42" s="1">
        <f t="shared" si="17"/>
        <v>2348</v>
      </c>
      <c r="K42" s="1">
        <f t="shared" si="17"/>
        <v>2348</v>
      </c>
      <c r="L42" s="1">
        <f t="shared" si="17"/>
        <v>2415</v>
      </c>
      <c r="M42" s="1">
        <f t="shared" si="17"/>
        <v>2178</v>
      </c>
    </row>
    <row r="43" spans="1:13">
      <c r="A43" s="4" t="s">
        <v>107</v>
      </c>
      <c r="B43" s="4">
        <v>290</v>
      </c>
      <c r="C43" s="4">
        <v>290</v>
      </c>
      <c r="D43" s="4">
        <v>290</v>
      </c>
      <c r="E43" s="4">
        <v>290</v>
      </c>
      <c r="F43" s="4">
        <v>280</v>
      </c>
      <c r="G43" s="4">
        <v>145</v>
      </c>
      <c r="H43" s="4">
        <v>0</v>
      </c>
      <c r="I43" s="4">
        <v>75</v>
      </c>
      <c r="J43" s="4">
        <v>290</v>
      </c>
      <c r="K43" s="4">
        <v>290</v>
      </c>
      <c r="L43" s="4">
        <v>290</v>
      </c>
      <c r="M43" s="4">
        <v>250</v>
      </c>
    </row>
    <row r="44" spans="1:13">
      <c r="A44" s="4" t="s">
        <v>108</v>
      </c>
      <c r="B44" s="4">
        <v>204</v>
      </c>
      <c r="C44" s="4">
        <v>204</v>
      </c>
      <c r="D44" s="4">
        <v>204</v>
      </c>
      <c r="E44" s="4">
        <v>182</v>
      </c>
      <c r="F44" s="4">
        <v>170</v>
      </c>
      <c r="G44" s="4">
        <v>194</v>
      </c>
      <c r="H44" s="4">
        <v>48</v>
      </c>
      <c r="I44" s="4">
        <v>96</v>
      </c>
      <c r="J44" s="4">
        <v>204</v>
      </c>
      <c r="K44" s="4">
        <v>204</v>
      </c>
      <c r="L44" s="4">
        <v>204</v>
      </c>
      <c r="M44" s="4">
        <v>184</v>
      </c>
    </row>
    <row r="45" spans="1:13">
      <c r="A45" s="4" t="s">
        <v>109</v>
      </c>
      <c r="B45" s="4">
        <v>196</v>
      </c>
      <c r="C45" s="4">
        <v>196</v>
      </c>
      <c r="D45" s="4">
        <v>196</v>
      </c>
      <c r="E45" s="4">
        <v>173</v>
      </c>
      <c r="F45" s="4">
        <v>165</v>
      </c>
      <c r="G45" s="4">
        <v>170</v>
      </c>
      <c r="H45" s="4">
        <v>100</v>
      </c>
      <c r="I45" s="4">
        <v>60</v>
      </c>
      <c r="J45" s="4">
        <v>218</v>
      </c>
      <c r="K45" s="4">
        <v>218</v>
      </c>
      <c r="L45" s="4">
        <v>218</v>
      </c>
      <c r="M45" s="4">
        <v>190</v>
      </c>
    </row>
    <row r="46" spans="1:13">
      <c r="A46" s="4" t="s">
        <v>110</v>
      </c>
      <c r="B46" s="4"/>
      <c r="C46" s="4"/>
      <c r="D46" s="4"/>
      <c r="E46" s="4"/>
      <c r="F46" s="4"/>
      <c r="G46" s="4"/>
      <c r="H46" s="4"/>
      <c r="I46" s="4">
        <v>120</v>
      </c>
      <c r="J46" s="4">
        <v>220</v>
      </c>
      <c r="K46" s="4">
        <v>220</v>
      </c>
      <c r="L46" s="4">
        <v>172</v>
      </c>
      <c r="M46" s="4">
        <v>165</v>
      </c>
    </row>
    <row r="47" spans="1:13">
      <c r="A47" s="4" t="s">
        <v>111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>
        <v>115</v>
      </c>
      <c r="M47" s="4">
        <v>100</v>
      </c>
    </row>
    <row r="48" spans="1:13">
      <c r="A48" s="4" t="s">
        <v>112</v>
      </c>
      <c r="B48" s="4">
        <v>24</v>
      </c>
      <c r="C48" s="4">
        <v>24</v>
      </c>
      <c r="D48" s="4">
        <v>24</v>
      </c>
      <c r="E48" s="4">
        <v>24</v>
      </c>
      <c r="F48" s="4">
        <v>24</v>
      </c>
      <c r="G48" s="4">
        <v>24</v>
      </c>
      <c r="H48" s="4">
        <v>0</v>
      </c>
      <c r="I48" s="4">
        <v>10</v>
      </c>
      <c r="J48" s="4">
        <v>24</v>
      </c>
      <c r="K48" s="4">
        <v>24</v>
      </c>
      <c r="L48" s="4">
        <v>24</v>
      </c>
      <c r="M48" s="4">
        <v>10</v>
      </c>
    </row>
    <row r="49" spans="1:13">
      <c r="A49" s="4" t="s">
        <v>113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 t="s">
        <v>114</v>
      </c>
      <c r="B50" s="4">
        <v>204</v>
      </c>
      <c r="C50" s="4">
        <v>204</v>
      </c>
      <c r="D50" s="4">
        <v>204</v>
      </c>
      <c r="E50" s="4">
        <v>204</v>
      </c>
      <c r="F50" s="4">
        <v>195</v>
      </c>
      <c r="G50" s="4">
        <v>204</v>
      </c>
      <c r="H50" s="4">
        <v>102</v>
      </c>
      <c r="I50" s="4">
        <v>51</v>
      </c>
      <c r="J50" s="4">
        <v>204</v>
      </c>
      <c r="K50" s="4">
        <v>204</v>
      </c>
      <c r="L50" s="4">
        <v>204</v>
      </c>
      <c r="M50" s="4">
        <v>190</v>
      </c>
    </row>
    <row r="51" spans="1:13">
      <c r="A51" s="4" t="s">
        <v>115</v>
      </c>
      <c r="B51" s="4">
        <v>190</v>
      </c>
      <c r="C51" s="4">
        <v>190</v>
      </c>
      <c r="D51" s="4">
        <v>210</v>
      </c>
      <c r="E51" s="4">
        <v>200</v>
      </c>
      <c r="F51" s="4">
        <v>200</v>
      </c>
      <c r="G51" s="4">
        <v>110</v>
      </c>
      <c r="H51" s="4">
        <v>110</v>
      </c>
      <c r="I51" s="4">
        <v>230</v>
      </c>
      <c r="J51" s="4">
        <v>230</v>
      </c>
      <c r="K51" s="4">
        <v>230</v>
      </c>
      <c r="L51" s="4">
        <v>230</v>
      </c>
      <c r="M51" s="4">
        <v>210</v>
      </c>
    </row>
    <row r="52" spans="1:13">
      <c r="A52" s="4" t="s">
        <v>116</v>
      </c>
      <c r="B52" s="4">
        <v>190</v>
      </c>
      <c r="C52" s="4">
        <v>190</v>
      </c>
      <c r="D52" s="4">
        <v>210</v>
      </c>
      <c r="E52" s="4">
        <v>200</v>
      </c>
      <c r="F52" s="4">
        <v>200</v>
      </c>
      <c r="G52" s="4">
        <v>110</v>
      </c>
      <c r="H52" s="4">
        <v>110</v>
      </c>
      <c r="I52" s="4">
        <v>230</v>
      </c>
      <c r="J52" s="4">
        <v>230</v>
      </c>
      <c r="K52" s="4">
        <v>230</v>
      </c>
      <c r="L52" s="4">
        <v>230</v>
      </c>
      <c r="M52" s="4">
        <v>210</v>
      </c>
    </row>
    <row r="53" spans="1:13">
      <c r="A53" s="4" t="s">
        <v>117</v>
      </c>
      <c r="B53" s="4">
        <v>90</v>
      </c>
      <c r="C53" s="4">
        <v>210</v>
      </c>
      <c r="D53" s="4">
        <v>210</v>
      </c>
      <c r="E53" s="4">
        <v>200</v>
      </c>
      <c r="F53" s="4">
        <v>200</v>
      </c>
      <c r="G53" s="4">
        <v>105</v>
      </c>
      <c r="H53" s="4">
        <v>60</v>
      </c>
      <c r="I53" s="4">
        <v>240</v>
      </c>
      <c r="J53" s="4">
        <v>240</v>
      </c>
      <c r="K53" s="4">
        <v>240</v>
      </c>
      <c r="L53" s="4">
        <v>240</v>
      </c>
      <c r="M53" s="4">
        <v>200</v>
      </c>
    </row>
    <row r="54" spans="1:13">
      <c r="A54" s="4" t="s">
        <v>118</v>
      </c>
      <c r="B54" s="4">
        <v>172</v>
      </c>
      <c r="C54" s="4">
        <v>172</v>
      </c>
      <c r="D54" s="4">
        <v>172</v>
      </c>
      <c r="E54" s="4">
        <v>160</v>
      </c>
      <c r="F54" s="4">
        <v>160</v>
      </c>
      <c r="G54" s="4">
        <v>172</v>
      </c>
      <c r="H54" s="4">
        <v>0</v>
      </c>
      <c r="I54" s="4">
        <v>45</v>
      </c>
      <c r="J54" s="4">
        <v>172</v>
      </c>
      <c r="K54" s="4">
        <v>172</v>
      </c>
      <c r="L54" s="4">
        <v>172</v>
      </c>
      <c r="M54" s="4">
        <v>165</v>
      </c>
    </row>
    <row r="55" spans="1:13">
      <c r="A55" s="4" t="s">
        <v>119</v>
      </c>
      <c r="B55" s="4">
        <v>0</v>
      </c>
      <c r="C55" s="4">
        <v>0</v>
      </c>
      <c r="D55" s="4">
        <v>0</v>
      </c>
      <c r="E55" s="4">
        <v>150</v>
      </c>
      <c r="F55" s="4">
        <v>150</v>
      </c>
      <c r="G55" s="4">
        <v>170</v>
      </c>
      <c r="H55" s="4">
        <v>80</v>
      </c>
      <c r="I55" s="4">
        <v>48</v>
      </c>
      <c r="J55" s="4">
        <v>172</v>
      </c>
      <c r="K55" s="4">
        <v>172</v>
      </c>
      <c r="L55" s="4">
        <v>172</v>
      </c>
      <c r="M55" s="4">
        <v>160</v>
      </c>
    </row>
    <row r="56" spans="1:13">
      <c r="A56" s="4" t="s">
        <v>120</v>
      </c>
      <c r="B56" s="4">
        <v>144</v>
      </c>
      <c r="C56" s="4">
        <v>144</v>
      </c>
      <c r="D56" s="4">
        <v>144</v>
      </c>
      <c r="E56" s="4">
        <v>140</v>
      </c>
      <c r="F56" s="4">
        <v>140</v>
      </c>
      <c r="G56" s="4">
        <v>140</v>
      </c>
      <c r="H56" s="4">
        <v>72</v>
      </c>
      <c r="I56" s="4">
        <v>36</v>
      </c>
      <c r="J56" s="4">
        <v>144</v>
      </c>
      <c r="K56" s="4">
        <v>144</v>
      </c>
      <c r="L56" s="4">
        <v>144</v>
      </c>
      <c r="M56" s="4">
        <v>144</v>
      </c>
    </row>
    <row r="57" spans="1:13">
      <c r="A57" s="96" t="s">
        <v>220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E331-DA01-4225-AFD8-60BF1E05A9DB}">
  <dimension ref="A1:M47"/>
  <sheetViews>
    <sheetView topLeftCell="A13" workbookViewId="0">
      <selection activeCell="E13" sqref="E13"/>
    </sheetView>
  </sheetViews>
  <sheetFormatPr defaultRowHeight="14.4"/>
  <cols>
    <col min="1" max="1" width="32.33203125" bestFit="1" customWidth="1"/>
    <col min="2" max="3" width="11" bestFit="1" customWidth="1"/>
  </cols>
  <sheetData>
    <row r="1" spans="1:13" s="2" customFormat="1">
      <c r="A1" s="5" t="s">
        <v>3</v>
      </c>
      <c r="B1" s="6">
        <v>46063</v>
      </c>
      <c r="C1" s="6">
        <v>46086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s="9" customFormat="1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 s="2" customFormat="1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>
      <c r="A4" t="s">
        <v>121</v>
      </c>
      <c r="B4" s="10">
        <v>139</v>
      </c>
      <c r="C4" s="10">
        <v>97</v>
      </c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>
      <c r="A5" t="s">
        <v>164</v>
      </c>
      <c r="B5" s="10">
        <v>227</v>
      </c>
      <c r="C5" s="10">
        <v>197</v>
      </c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>
      <c r="A6" t="s">
        <v>165</v>
      </c>
      <c r="B6" s="10">
        <v>178</v>
      </c>
      <c r="C6" s="10">
        <v>0</v>
      </c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>
      <c r="A7" t="s">
        <v>122</v>
      </c>
      <c r="B7" s="10">
        <v>131</v>
      </c>
      <c r="C7" s="10">
        <v>111</v>
      </c>
      <c r="D7" s="10">
        <v>115</v>
      </c>
      <c r="E7" s="10">
        <v>159</v>
      </c>
      <c r="F7" s="10"/>
      <c r="G7" s="10"/>
      <c r="H7" s="10"/>
      <c r="I7" s="10"/>
      <c r="J7" s="10"/>
      <c r="K7" s="10"/>
      <c r="L7" s="10"/>
      <c r="M7" s="10"/>
    </row>
    <row r="8" spans="1:13">
      <c r="A8" t="s">
        <v>163</v>
      </c>
      <c r="B8" s="10">
        <v>6</v>
      </c>
      <c r="C8" s="10">
        <v>0</v>
      </c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>
      <c r="A9" t="s">
        <v>123</v>
      </c>
      <c r="B9" s="10">
        <v>37</v>
      </c>
      <c r="C9" s="10">
        <v>101</v>
      </c>
      <c r="D9" s="10">
        <v>154</v>
      </c>
      <c r="E9" s="10">
        <v>121</v>
      </c>
      <c r="F9" s="10"/>
      <c r="G9" s="10"/>
      <c r="H9" s="10"/>
      <c r="I9" s="10"/>
      <c r="J9" s="10"/>
      <c r="K9" s="10"/>
      <c r="L9" s="10"/>
      <c r="M9" s="10"/>
    </row>
    <row r="10" spans="1:13">
      <c r="A10" t="s">
        <v>124</v>
      </c>
      <c r="B10" s="10"/>
      <c r="C10" s="10">
        <v>20</v>
      </c>
      <c r="D10" s="10">
        <v>47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>
      <c r="A11" t="s">
        <v>166</v>
      </c>
      <c r="B11" s="10"/>
      <c r="C11" s="10"/>
      <c r="D11" s="10">
        <v>212</v>
      </c>
      <c r="E11" s="10">
        <v>199</v>
      </c>
      <c r="F11" s="10"/>
      <c r="G11" s="10"/>
      <c r="H11" s="10"/>
      <c r="I11" s="10"/>
      <c r="J11" s="10"/>
      <c r="K11" s="10"/>
      <c r="L11" s="10"/>
      <c r="M11" s="10"/>
    </row>
    <row r="12" spans="1:13">
      <c r="A12" t="s">
        <v>197</v>
      </c>
      <c r="B12" s="10"/>
      <c r="C12" s="10"/>
      <c r="D12" s="10"/>
      <c r="E12" s="10">
        <v>30</v>
      </c>
      <c r="F12" s="10"/>
      <c r="G12" s="10"/>
      <c r="H12" s="10"/>
      <c r="I12" s="10"/>
      <c r="J12" s="10"/>
      <c r="K12" s="10"/>
      <c r="L12" s="10"/>
      <c r="M12" s="10"/>
    </row>
    <row r="13" spans="1:13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" thickBot="1">
      <c r="B18" s="11">
        <f t="shared" ref="B18:M18" si="0">SUM(B4:B17)</f>
        <v>718</v>
      </c>
      <c r="C18" s="11">
        <f t="shared" si="0"/>
        <v>526</v>
      </c>
      <c r="D18" s="11">
        <f t="shared" si="0"/>
        <v>528</v>
      </c>
      <c r="E18" s="11">
        <f t="shared" si="0"/>
        <v>509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3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3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>
      <c r="A22" t="s">
        <v>121</v>
      </c>
      <c r="B22" s="12">
        <f t="shared" ref="B22:M22" si="1">SUM(B4-B40)</f>
        <v>-61</v>
      </c>
      <c r="C22" s="12">
        <f t="shared" si="1"/>
        <v>-103</v>
      </c>
      <c r="D22" s="12">
        <f t="shared" si="1"/>
        <v>-204</v>
      </c>
      <c r="E22" s="12">
        <f t="shared" si="1"/>
        <v>-204</v>
      </c>
      <c r="F22" s="12">
        <f t="shared" si="1"/>
        <v>-204</v>
      </c>
      <c r="G22" s="12">
        <f t="shared" si="1"/>
        <v>-180</v>
      </c>
      <c r="H22" s="12">
        <f t="shared" si="1"/>
        <v>-100</v>
      </c>
      <c r="I22" s="12">
        <f t="shared" si="1"/>
        <v>-180</v>
      </c>
      <c r="J22" s="12">
        <f t="shared" si="1"/>
        <v>-204</v>
      </c>
      <c r="K22" s="12">
        <f t="shared" si="1"/>
        <v>-200</v>
      </c>
      <c r="L22" s="12">
        <f t="shared" si="1"/>
        <v>-204</v>
      </c>
      <c r="M22" s="12">
        <f t="shared" si="1"/>
        <v>-180</v>
      </c>
    </row>
    <row r="23" spans="1:13">
      <c r="A23" t="s">
        <v>164</v>
      </c>
      <c r="B23" s="12">
        <f t="shared" ref="B23:M23" si="2">SUM(B5-B41)</f>
        <v>27</v>
      </c>
      <c r="C23" s="12">
        <f t="shared" si="2"/>
        <v>-3</v>
      </c>
      <c r="D23" s="12">
        <f t="shared" si="2"/>
        <v>-240</v>
      </c>
      <c r="E23" s="12">
        <f t="shared" si="2"/>
        <v>-240</v>
      </c>
      <c r="F23" s="12">
        <f t="shared" si="2"/>
        <v>-240</v>
      </c>
      <c r="G23" s="12">
        <f t="shared" si="2"/>
        <v>-180</v>
      </c>
      <c r="H23" s="12">
        <f t="shared" si="2"/>
        <v>-100</v>
      </c>
      <c r="I23" s="12">
        <f t="shared" si="2"/>
        <v>-180</v>
      </c>
      <c r="J23" s="12">
        <f t="shared" si="2"/>
        <v>-240</v>
      </c>
      <c r="K23" s="12">
        <f t="shared" si="2"/>
        <v>-200</v>
      </c>
      <c r="L23" s="12">
        <f t="shared" si="2"/>
        <v>-240</v>
      </c>
      <c r="M23" s="12">
        <f t="shared" si="2"/>
        <v>-180</v>
      </c>
    </row>
    <row r="24" spans="1:13">
      <c r="A24" t="s">
        <v>165</v>
      </c>
      <c r="B24" s="12">
        <f t="shared" ref="B24:M24" si="3">SUM(B6-B42)</f>
        <v>-22</v>
      </c>
      <c r="C24" s="12">
        <f t="shared" si="3"/>
        <v>-240</v>
      </c>
      <c r="D24" s="12">
        <f t="shared" si="3"/>
        <v>-240</v>
      </c>
      <c r="E24" s="12">
        <f t="shared" si="3"/>
        <v>-240</v>
      </c>
      <c r="F24" s="12">
        <f t="shared" si="3"/>
        <v>-240</v>
      </c>
      <c r="G24" s="12">
        <f t="shared" si="3"/>
        <v>-200</v>
      </c>
      <c r="H24" s="12">
        <f t="shared" si="3"/>
        <v>-100</v>
      </c>
      <c r="I24" s="12">
        <f t="shared" si="3"/>
        <v>-200</v>
      </c>
      <c r="J24" s="12">
        <f t="shared" si="3"/>
        <v>-240</v>
      </c>
      <c r="K24" s="12">
        <f t="shared" si="3"/>
        <v>-240</v>
      </c>
      <c r="L24" s="12">
        <f t="shared" si="3"/>
        <v>-240</v>
      </c>
      <c r="M24" s="12">
        <f t="shared" si="3"/>
        <v>-200</v>
      </c>
    </row>
    <row r="25" spans="1:13">
      <c r="A25" t="s">
        <v>122</v>
      </c>
      <c r="B25" s="12">
        <f t="shared" ref="B25:M25" si="4">SUM(B7-B43)</f>
        <v>-69</v>
      </c>
      <c r="C25" s="12">
        <f t="shared" si="4"/>
        <v>-89</v>
      </c>
      <c r="D25" s="12">
        <f t="shared" si="4"/>
        <v>-125</v>
      </c>
      <c r="E25" s="12">
        <f t="shared" si="4"/>
        <v>-81</v>
      </c>
      <c r="F25" s="12">
        <f t="shared" si="4"/>
        <v>-240</v>
      </c>
      <c r="G25" s="12">
        <f t="shared" si="4"/>
        <v>-180</v>
      </c>
      <c r="H25" s="12">
        <f t="shared" si="4"/>
        <v>-100</v>
      </c>
      <c r="I25" s="12">
        <f t="shared" si="4"/>
        <v>-180</v>
      </c>
      <c r="J25" s="12">
        <f t="shared" si="4"/>
        <v>-240</v>
      </c>
      <c r="K25" s="12">
        <f t="shared" si="4"/>
        <v>-200</v>
      </c>
      <c r="L25" s="12">
        <f t="shared" si="4"/>
        <v>-240</v>
      </c>
      <c r="M25" s="12">
        <f t="shared" si="4"/>
        <v>-180</v>
      </c>
    </row>
    <row r="26" spans="1:13">
      <c r="A26" t="s">
        <v>163</v>
      </c>
      <c r="B26" s="12">
        <f t="shared" ref="B26:M26" si="5">SUM(B8-B44)</f>
        <v>-144</v>
      </c>
      <c r="C26" s="12">
        <f t="shared" si="5"/>
        <v>0</v>
      </c>
      <c r="D26" s="12">
        <f t="shared" si="5"/>
        <v>0</v>
      </c>
      <c r="E26" s="12">
        <f t="shared" si="5"/>
        <v>0</v>
      </c>
      <c r="F26" s="12">
        <f t="shared" si="5"/>
        <v>0</v>
      </c>
      <c r="G26" s="12">
        <f t="shared" si="5"/>
        <v>0</v>
      </c>
      <c r="H26" s="12">
        <f t="shared" si="5"/>
        <v>0</v>
      </c>
      <c r="I26" s="12">
        <f t="shared" si="5"/>
        <v>0</v>
      </c>
      <c r="J26" s="12">
        <f t="shared" si="5"/>
        <v>0</v>
      </c>
      <c r="K26" s="12">
        <f t="shared" si="5"/>
        <v>0</v>
      </c>
      <c r="L26" s="12">
        <f t="shared" si="5"/>
        <v>0</v>
      </c>
      <c r="M26" s="12">
        <f t="shared" si="5"/>
        <v>0</v>
      </c>
    </row>
    <row r="27" spans="1:13">
      <c r="A27" t="s">
        <v>123</v>
      </c>
      <c r="B27" s="12">
        <f t="shared" ref="B27:M27" si="6">SUM(B9-B45)</f>
        <v>37</v>
      </c>
      <c r="C27" s="12">
        <f t="shared" si="6"/>
        <v>101</v>
      </c>
      <c r="D27" s="12">
        <f t="shared" si="6"/>
        <v>154</v>
      </c>
      <c r="E27" s="12">
        <f t="shared" si="6"/>
        <v>121</v>
      </c>
      <c r="F27" s="12">
        <f t="shared" si="6"/>
        <v>0</v>
      </c>
      <c r="G27" s="12">
        <f t="shared" si="6"/>
        <v>0</v>
      </c>
      <c r="H27" s="12">
        <f t="shared" si="6"/>
        <v>0</v>
      </c>
      <c r="I27" s="12">
        <f t="shared" si="6"/>
        <v>0</v>
      </c>
      <c r="J27" s="12">
        <f t="shared" si="6"/>
        <v>0</v>
      </c>
      <c r="K27" s="12">
        <f t="shared" si="6"/>
        <v>0</v>
      </c>
      <c r="L27" s="12">
        <f t="shared" si="6"/>
        <v>0</v>
      </c>
      <c r="M27" s="12">
        <f t="shared" si="6"/>
        <v>0</v>
      </c>
    </row>
    <row r="28" spans="1:13">
      <c r="A28" t="s">
        <v>124</v>
      </c>
      <c r="B28" s="12">
        <f t="shared" ref="B28:M28" si="7">SUM(B10-B46)</f>
        <v>0</v>
      </c>
      <c r="C28" s="12">
        <f t="shared" si="7"/>
        <v>20</v>
      </c>
      <c r="D28" s="12">
        <f t="shared" si="7"/>
        <v>47</v>
      </c>
      <c r="E28" s="12">
        <f t="shared" si="7"/>
        <v>0</v>
      </c>
      <c r="F28" s="12">
        <f t="shared" si="7"/>
        <v>0</v>
      </c>
      <c r="G28" s="12">
        <f t="shared" si="7"/>
        <v>0</v>
      </c>
      <c r="H28" s="12">
        <f t="shared" si="7"/>
        <v>0</v>
      </c>
      <c r="I28" s="12">
        <f t="shared" si="7"/>
        <v>0</v>
      </c>
      <c r="J28" s="12">
        <f t="shared" si="7"/>
        <v>0</v>
      </c>
      <c r="K28" s="12">
        <f t="shared" si="7"/>
        <v>0</v>
      </c>
      <c r="L28" s="12">
        <f t="shared" si="7"/>
        <v>0</v>
      </c>
      <c r="M28" s="12">
        <f t="shared" si="7"/>
        <v>0</v>
      </c>
    </row>
    <row r="29" spans="1:13">
      <c r="A29" t="s">
        <v>166</v>
      </c>
      <c r="B29" s="12">
        <f t="shared" ref="B29:M29" si="8">SUM(B11-B47)</f>
        <v>0</v>
      </c>
      <c r="C29" s="12">
        <f t="shared" si="8"/>
        <v>0</v>
      </c>
      <c r="D29" s="12">
        <f t="shared" si="8"/>
        <v>212</v>
      </c>
      <c r="E29" s="12">
        <f t="shared" si="8"/>
        <v>199</v>
      </c>
      <c r="F29" s="12">
        <f t="shared" si="8"/>
        <v>0</v>
      </c>
      <c r="G29" s="12">
        <f t="shared" si="8"/>
        <v>0</v>
      </c>
      <c r="H29" s="12">
        <f t="shared" si="8"/>
        <v>0</v>
      </c>
      <c r="I29" s="12">
        <f t="shared" si="8"/>
        <v>0</v>
      </c>
      <c r="J29" s="12">
        <f t="shared" si="8"/>
        <v>0</v>
      </c>
      <c r="K29" s="12">
        <f t="shared" si="8"/>
        <v>0</v>
      </c>
      <c r="L29" s="12">
        <f t="shared" si="8"/>
        <v>0</v>
      </c>
      <c r="M29" s="12">
        <f t="shared" si="8"/>
        <v>0</v>
      </c>
    </row>
    <row r="30" spans="1:13">
      <c r="B30" s="12">
        <f t="shared" ref="B30:M30" si="9">SUM(B12-B48)</f>
        <v>0</v>
      </c>
      <c r="C30" s="12">
        <f t="shared" si="9"/>
        <v>0</v>
      </c>
      <c r="D30" s="12">
        <f t="shared" si="9"/>
        <v>0</v>
      </c>
      <c r="E30" s="12">
        <f t="shared" si="9"/>
        <v>30</v>
      </c>
      <c r="F30" s="12">
        <f t="shared" si="9"/>
        <v>0</v>
      </c>
      <c r="G30" s="12">
        <f t="shared" si="9"/>
        <v>0</v>
      </c>
      <c r="H30" s="12">
        <f t="shared" si="9"/>
        <v>0</v>
      </c>
      <c r="I30" s="12">
        <f t="shared" si="9"/>
        <v>0</v>
      </c>
      <c r="J30" s="12">
        <f t="shared" si="9"/>
        <v>0</v>
      </c>
      <c r="K30" s="12">
        <f t="shared" si="9"/>
        <v>0</v>
      </c>
      <c r="L30" s="12">
        <f t="shared" si="9"/>
        <v>0</v>
      </c>
      <c r="M30" s="12">
        <f t="shared" si="9"/>
        <v>0</v>
      </c>
    </row>
    <row r="31" spans="1:13">
      <c r="B31" s="12">
        <f t="shared" ref="B31:M31" si="10">SUM(B13-B49)</f>
        <v>0</v>
      </c>
      <c r="C31" s="12">
        <f t="shared" si="10"/>
        <v>0</v>
      </c>
      <c r="D31" s="12">
        <f t="shared" si="10"/>
        <v>0</v>
      </c>
      <c r="E31" s="12">
        <f t="shared" si="10"/>
        <v>0</v>
      </c>
      <c r="F31" s="12">
        <f t="shared" si="10"/>
        <v>0</v>
      </c>
      <c r="G31" s="12">
        <f t="shared" si="10"/>
        <v>0</v>
      </c>
      <c r="H31" s="12">
        <f t="shared" si="10"/>
        <v>0</v>
      </c>
      <c r="I31" s="12">
        <f t="shared" si="10"/>
        <v>0</v>
      </c>
      <c r="J31" s="12">
        <f t="shared" si="10"/>
        <v>0</v>
      </c>
      <c r="K31" s="12">
        <f t="shared" si="10"/>
        <v>0</v>
      </c>
      <c r="L31" s="12">
        <f t="shared" si="10"/>
        <v>0</v>
      </c>
      <c r="M31" s="12">
        <f t="shared" si="10"/>
        <v>0</v>
      </c>
    </row>
    <row r="32" spans="1:13">
      <c r="B32" s="12">
        <f t="shared" ref="B32:M32" si="11">SUM(B14-B50)</f>
        <v>0</v>
      </c>
      <c r="C32" s="12">
        <f t="shared" si="11"/>
        <v>0</v>
      </c>
      <c r="D32" s="12">
        <f t="shared" si="11"/>
        <v>0</v>
      </c>
      <c r="E32" s="12">
        <f t="shared" si="11"/>
        <v>0</v>
      </c>
      <c r="F32" s="12">
        <f t="shared" si="11"/>
        <v>0</v>
      </c>
      <c r="G32" s="12">
        <f t="shared" si="11"/>
        <v>0</v>
      </c>
      <c r="H32" s="12">
        <f t="shared" si="11"/>
        <v>0</v>
      </c>
      <c r="I32" s="12">
        <f t="shared" si="11"/>
        <v>0</v>
      </c>
      <c r="J32" s="12">
        <f t="shared" si="11"/>
        <v>0</v>
      </c>
      <c r="K32" s="12">
        <f t="shared" si="11"/>
        <v>0</v>
      </c>
      <c r="L32" s="12">
        <f t="shared" si="11"/>
        <v>0</v>
      </c>
      <c r="M32" s="12">
        <f t="shared" si="11"/>
        <v>0</v>
      </c>
    </row>
    <row r="33" spans="1:13">
      <c r="B33" s="12">
        <f t="shared" ref="B33:M33" si="12">SUM(B15-B51)</f>
        <v>0</v>
      </c>
      <c r="C33" s="12">
        <f t="shared" si="12"/>
        <v>0</v>
      </c>
      <c r="D33" s="12">
        <f t="shared" si="12"/>
        <v>0</v>
      </c>
      <c r="E33" s="12">
        <f t="shared" si="12"/>
        <v>0</v>
      </c>
      <c r="F33" s="12">
        <f t="shared" si="12"/>
        <v>0</v>
      </c>
      <c r="G33" s="12">
        <f t="shared" si="12"/>
        <v>0</v>
      </c>
      <c r="H33" s="12">
        <f t="shared" si="12"/>
        <v>0</v>
      </c>
      <c r="I33" s="12">
        <f t="shared" si="12"/>
        <v>0</v>
      </c>
      <c r="J33" s="12">
        <f t="shared" si="12"/>
        <v>0</v>
      </c>
      <c r="K33" s="12">
        <f t="shared" si="12"/>
        <v>0</v>
      </c>
      <c r="L33" s="12">
        <f t="shared" si="12"/>
        <v>0</v>
      </c>
      <c r="M33" s="12">
        <f t="shared" si="12"/>
        <v>0</v>
      </c>
    </row>
    <row r="34" spans="1:13">
      <c r="B34" s="12">
        <f t="shared" ref="B34:M34" si="13">SUM(B16-B52)</f>
        <v>0</v>
      </c>
      <c r="C34" s="12">
        <f t="shared" si="13"/>
        <v>0</v>
      </c>
      <c r="D34" s="12">
        <f t="shared" si="13"/>
        <v>0</v>
      </c>
      <c r="E34" s="12">
        <f t="shared" si="13"/>
        <v>0</v>
      </c>
      <c r="F34" s="12">
        <f t="shared" si="13"/>
        <v>0</v>
      </c>
      <c r="G34" s="12">
        <f t="shared" si="13"/>
        <v>0</v>
      </c>
      <c r="H34" s="12">
        <f t="shared" si="13"/>
        <v>0</v>
      </c>
      <c r="I34" s="12">
        <f t="shared" si="13"/>
        <v>0</v>
      </c>
      <c r="J34" s="12">
        <f t="shared" si="13"/>
        <v>0</v>
      </c>
      <c r="K34" s="12">
        <f t="shared" si="13"/>
        <v>0</v>
      </c>
      <c r="L34" s="12">
        <f t="shared" si="13"/>
        <v>0</v>
      </c>
      <c r="M34" s="12">
        <f t="shared" si="13"/>
        <v>0</v>
      </c>
    </row>
    <row r="35" spans="1:13" ht="15" thickBot="1">
      <c r="B35" s="12">
        <f t="shared" ref="B35:M35" si="14">SUM(B17-B53)</f>
        <v>0</v>
      </c>
      <c r="C35" s="12">
        <f t="shared" si="14"/>
        <v>0</v>
      </c>
      <c r="D35" s="12">
        <f t="shared" si="14"/>
        <v>0</v>
      </c>
      <c r="E35" s="12">
        <f t="shared" si="14"/>
        <v>0</v>
      </c>
      <c r="F35" s="12">
        <f t="shared" si="14"/>
        <v>0</v>
      </c>
      <c r="G35" s="12">
        <f t="shared" si="14"/>
        <v>0</v>
      </c>
      <c r="H35" s="12">
        <f t="shared" si="14"/>
        <v>0</v>
      </c>
      <c r="I35" s="12">
        <f t="shared" si="14"/>
        <v>0</v>
      </c>
      <c r="J35" s="12">
        <f t="shared" si="14"/>
        <v>0</v>
      </c>
      <c r="K35" s="12">
        <f t="shared" si="14"/>
        <v>0</v>
      </c>
      <c r="L35" s="12">
        <f t="shared" si="14"/>
        <v>0</v>
      </c>
      <c r="M35" s="12">
        <f t="shared" si="14"/>
        <v>0</v>
      </c>
    </row>
    <row r="36" spans="1:13" ht="15" thickBot="1">
      <c r="B36" s="11">
        <f t="shared" ref="B36:M36" si="15">SUM(B22:B35)</f>
        <v>-232</v>
      </c>
      <c r="C36" s="11">
        <f t="shared" si="15"/>
        <v>-314</v>
      </c>
      <c r="D36" s="11">
        <f t="shared" si="15"/>
        <v>-396</v>
      </c>
      <c r="E36" s="11">
        <f t="shared" si="15"/>
        <v>-415</v>
      </c>
      <c r="F36" s="11">
        <f t="shared" si="15"/>
        <v>-924</v>
      </c>
      <c r="G36" s="11">
        <f t="shared" si="15"/>
        <v>-740</v>
      </c>
      <c r="H36" s="11">
        <f t="shared" si="15"/>
        <v>-400</v>
      </c>
      <c r="I36" s="11">
        <f t="shared" si="15"/>
        <v>-740</v>
      </c>
      <c r="J36" s="11">
        <f t="shared" si="15"/>
        <v>-924</v>
      </c>
      <c r="K36" s="11">
        <f t="shared" si="15"/>
        <v>-840</v>
      </c>
      <c r="L36" s="11">
        <f t="shared" si="15"/>
        <v>-924</v>
      </c>
      <c r="M36" s="11">
        <f t="shared" si="15"/>
        <v>-740</v>
      </c>
    </row>
    <row r="38" spans="1:13" s="2" customFormat="1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2" t="s">
        <v>0</v>
      </c>
      <c r="M38" s="2" t="s">
        <v>0</v>
      </c>
    </row>
    <row r="39" spans="1:13">
      <c r="A39" s="1" t="s">
        <v>2</v>
      </c>
      <c r="B39" s="1">
        <f>SUM(B40:B47)</f>
        <v>950</v>
      </c>
      <c r="C39" s="1">
        <f t="shared" ref="C39:M39" si="16">SUM(C40:C47)</f>
        <v>840</v>
      </c>
      <c r="D39" s="1">
        <f t="shared" si="16"/>
        <v>924</v>
      </c>
      <c r="E39" s="1">
        <f t="shared" si="16"/>
        <v>924</v>
      </c>
      <c r="F39" s="1">
        <f t="shared" si="16"/>
        <v>924</v>
      </c>
      <c r="G39" s="1">
        <f t="shared" si="16"/>
        <v>740</v>
      </c>
      <c r="H39" s="1">
        <f t="shared" si="16"/>
        <v>400</v>
      </c>
      <c r="I39" s="1">
        <f t="shared" si="16"/>
        <v>740</v>
      </c>
      <c r="J39" s="1">
        <f t="shared" si="16"/>
        <v>924</v>
      </c>
      <c r="K39" s="1">
        <f t="shared" si="16"/>
        <v>840</v>
      </c>
      <c r="L39" s="1">
        <f t="shared" si="16"/>
        <v>924</v>
      </c>
      <c r="M39" s="1">
        <f t="shared" si="16"/>
        <v>740</v>
      </c>
    </row>
    <row r="40" spans="1:13">
      <c r="A40" t="s">
        <v>121</v>
      </c>
      <c r="B40">
        <v>200</v>
      </c>
      <c r="C40">
        <v>200</v>
      </c>
      <c r="D40">
        <v>204</v>
      </c>
      <c r="E40">
        <v>204</v>
      </c>
      <c r="F40">
        <v>204</v>
      </c>
      <c r="G40">
        <v>180</v>
      </c>
      <c r="H40">
        <v>100</v>
      </c>
      <c r="I40">
        <v>180</v>
      </c>
      <c r="J40">
        <v>204</v>
      </c>
      <c r="K40">
        <v>200</v>
      </c>
      <c r="L40">
        <v>204</v>
      </c>
      <c r="M40">
        <v>180</v>
      </c>
    </row>
    <row r="41" spans="1:13">
      <c r="A41" t="s">
        <v>164</v>
      </c>
      <c r="B41">
        <v>200</v>
      </c>
      <c r="C41">
        <v>200</v>
      </c>
      <c r="D41">
        <v>240</v>
      </c>
      <c r="E41">
        <v>240</v>
      </c>
      <c r="F41">
        <v>240</v>
      </c>
      <c r="G41">
        <v>180</v>
      </c>
      <c r="H41">
        <v>100</v>
      </c>
      <c r="I41">
        <v>180</v>
      </c>
      <c r="J41">
        <v>240</v>
      </c>
      <c r="K41">
        <v>200</v>
      </c>
      <c r="L41">
        <v>240</v>
      </c>
      <c r="M41">
        <v>180</v>
      </c>
    </row>
    <row r="42" spans="1:13">
      <c r="A42" t="s">
        <v>165</v>
      </c>
      <c r="B42">
        <v>200</v>
      </c>
      <c r="C42">
        <v>240</v>
      </c>
      <c r="D42">
        <v>240</v>
      </c>
      <c r="E42">
        <v>240</v>
      </c>
      <c r="F42">
        <v>240</v>
      </c>
      <c r="G42">
        <v>200</v>
      </c>
      <c r="H42">
        <v>100</v>
      </c>
      <c r="I42">
        <v>200</v>
      </c>
      <c r="J42">
        <v>240</v>
      </c>
      <c r="K42">
        <v>240</v>
      </c>
      <c r="L42">
        <v>240</v>
      </c>
      <c r="M42">
        <v>200</v>
      </c>
    </row>
    <row r="43" spans="1:13">
      <c r="A43" t="s">
        <v>122</v>
      </c>
      <c r="B43">
        <v>200</v>
      </c>
      <c r="C43">
        <v>200</v>
      </c>
      <c r="D43">
        <v>240</v>
      </c>
      <c r="E43">
        <v>240</v>
      </c>
      <c r="F43">
        <v>240</v>
      </c>
      <c r="G43">
        <v>180</v>
      </c>
      <c r="H43">
        <v>100</v>
      </c>
      <c r="I43">
        <v>180</v>
      </c>
      <c r="J43">
        <v>240</v>
      </c>
      <c r="K43">
        <v>200</v>
      </c>
      <c r="L43">
        <v>240</v>
      </c>
      <c r="M43">
        <v>180</v>
      </c>
    </row>
    <row r="44" spans="1:13">
      <c r="A44" t="s">
        <v>163</v>
      </c>
      <c r="B44">
        <v>150</v>
      </c>
      <c r="C44">
        <v>0</v>
      </c>
    </row>
    <row r="45" spans="1:13">
      <c r="A45" t="s">
        <v>123</v>
      </c>
    </row>
    <row r="46" spans="1:13">
      <c r="A46" t="s">
        <v>124</v>
      </c>
    </row>
    <row r="47" spans="1:13">
      <c r="A47" t="s">
        <v>166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DDB3-A4D1-416F-967B-52ED0847126E}">
  <dimension ref="A1:M48"/>
  <sheetViews>
    <sheetView topLeftCell="A13" workbookViewId="0">
      <selection activeCell="E14" sqref="E14"/>
    </sheetView>
  </sheetViews>
  <sheetFormatPr defaultRowHeight="14.4"/>
  <cols>
    <col min="1" max="1" width="32.33203125" bestFit="1" customWidth="1"/>
    <col min="2" max="3" width="11" bestFit="1" customWidth="1"/>
  </cols>
  <sheetData>
    <row r="1" spans="1:13" s="2" customFormat="1">
      <c r="A1" s="5" t="s">
        <v>3</v>
      </c>
      <c r="B1" s="6">
        <v>46063</v>
      </c>
      <c r="C1" s="6">
        <v>46086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s="9" customFormat="1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 s="2" customFormat="1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>
      <c r="A4" t="s">
        <v>167</v>
      </c>
      <c r="B4" s="10">
        <v>229</v>
      </c>
      <c r="C4" s="10">
        <v>283</v>
      </c>
      <c r="D4" s="10">
        <v>358</v>
      </c>
      <c r="E4" s="10">
        <v>213</v>
      </c>
      <c r="F4" s="10"/>
      <c r="G4" s="10"/>
      <c r="H4" s="10"/>
      <c r="I4" s="10"/>
      <c r="J4" s="10"/>
      <c r="K4" s="10"/>
      <c r="L4" s="10"/>
      <c r="M4" s="10"/>
    </row>
    <row r="5" spans="1:13">
      <c r="A5" t="s">
        <v>168</v>
      </c>
      <c r="B5" s="10">
        <v>251</v>
      </c>
      <c r="C5" s="10">
        <v>220</v>
      </c>
      <c r="D5" s="10">
        <v>264</v>
      </c>
      <c r="E5" s="10">
        <v>241</v>
      </c>
      <c r="F5" s="10"/>
      <c r="G5" s="10"/>
      <c r="H5" s="10"/>
      <c r="I5" s="10"/>
      <c r="J5" s="10"/>
      <c r="K5" s="10"/>
      <c r="L5" s="10"/>
      <c r="M5" s="10"/>
    </row>
    <row r="6" spans="1:13">
      <c r="A6" t="s">
        <v>169</v>
      </c>
      <c r="B6" s="10">
        <v>274</v>
      </c>
      <c r="C6" s="10">
        <v>193</v>
      </c>
      <c r="D6" s="10">
        <v>274</v>
      </c>
      <c r="E6" s="10">
        <v>290</v>
      </c>
      <c r="F6" s="10"/>
      <c r="G6" s="10"/>
      <c r="H6" s="10"/>
      <c r="I6" s="10"/>
      <c r="J6" s="10"/>
      <c r="K6" s="10"/>
      <c r="L6" s="10"/>
      <c r="M6" s="10"/>
    </row>
    <row r="7" spans="1:13">
      <c r="A7" t="s">
        <v>170</v>
      </c>
      <c r="B7" s="10">
        <v>170</v>
      </c>
      <c r="C7" s="10">
        <v>112</v>
      </c>
      <c r="D7" s="10">
        <v>99</v>
      </c>
      <c r="E7" s="10">
        <v>187</v>
      </c>
      <c r="F7" s="10"/>
      <c r="G7" s="10"/>
      <c r="H7" s="10"/>
      <c r="I7" s="10"/>
      <c r="J7" s="10"/>
      <c r="K7" s="10"/>
      <c r="L7" s="10"/>
      <c r="M7" s="10"/>
    </row>
    <row r="8" spans="1:13">
      <c r="A8" t="s">
        <v>125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>
      <c r="A9" t="s">
        <v>126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>
      <c r="A10" t="s">
        <v>127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>
      <c r="A11" t="s">
        <v>128</v>
      </c>
      <c r="B11" s="10">
        <v>0</v>
      </c>
      <c r="C11" s="10">
        <v>13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>
      <c r="A12" t="s">
        <v>129</v>
      </c>
      <c r="B12" s="10">
        <v>0</v>
      </c>
      <c r="C12" s="10">
        <v>138</v>
      </c>
      <c r="D12" s="10">
        <v>208</v>
      </c>
      <c r="E12" s="10">
        <v>186</v>
      </c>
      <c r="F12" s="10"/>
      <c r="G12" s="10"/>
      <c r="H12" s="10"/>
      <c r="I12" s="10"/>
      <c r="J12" s="10"/>
      <c r="K12" s="10"/>
      <c r="L12" s="10"/>
      <c r="M12" s="10"/>
    </row>
    <row r="13" spans="1:13">
      <c r="A13" t="s">
        <v>198</v>
      </c>
      <c r="B13" s="10"/>
      <c r="C13" s="10"/>
      <c r="D13" s="10"/>
      <c r="E13" s="10">
        <v>29</v>
      </c>
      <c r="F13" s="10"/>
      <c r="G13" s="10"/>
      <c r="H13" s="10"/>
      <c r="I13" s="10"/>
      <c r="J13" s="10"/>
      <c r="K13" s="10"/>
      <c r="L13" s="10"/>
      <c r="M13" s="10"/>
    </row>
    <row r="14" spans="1:1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" thickBot="1">
      <c r="B18" s="11">
        <f t="shared" ref="B18:M18" si="0">SUM(B4:B17)</f>
        <v>924</v>
      </c>
      <c r="C18" s="11">
        <f t="shared" si="0"/>
        <v>959</v>
      </c>
      <c r="D18" s="11">
        <f t="shared" si="0"/>
        <v>1203</v>
      </c>
      <c r="E18" s="11">
        <f t="shared" si="0"/>
        <v>1146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3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3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>
      <c r="A22" t="s">
        <v>167</v>
      </c>
      <c r="B22" s="12">
        <f t="shared" ref="B22:M35" si="1">SUM(B4-B40)</f>
        <v>79</v>
      </c>
      <c r="C22" s="12">
        <f t="shared" si="1"/>
        <v>123</v>
      </c>
      <c r="D22" s="12">
        <f t="shared" si="1"/>
        <v>183</v>
      </c>
      <c r="E22" s="12">
        <f t="shared" si="1"/>
        <v>38</v>
      </c>
      <c r="F22" s="12">
        <f t="shared" si="1"/>
        <v>-180</v>
      </c>
      <c r="G22" s="12">
        <f t="shared" si="1"/>
        <v>-90</v>
      </c>
      <c r="H22" s="12">
        <f t="shared" si="1"/>
        <v>-90</v>
      </c>
      <c r="I22" s="12">
        <f t="shared" si="1"/>
        <v>-180</v>
      </c>
      <c r="J22" s="12">
        <f t="shared" si="1"/>
        <v>-175</v>
      </c>
      <c r="K22" s="12">
        <f t="shared" si="1"/>
        <v>-175</v>
      </c>
      <c r="L22" s="12">
        <f t="shared" si="1"/>
        <v>-160</v>
      </c>
      <c r="M22" s="12">
        <f t="shared" si="1"/>
        <v>-150</v>
      </c>
    </row>
    <row r="23" spans="1:13">
      <c r="A23" t="s">
        <v>168</v>
      </c>
      <c r="B23" s="12">
        <f t="shared" si="1"/>
        <v>71</v>
      </c>
      <c r="C23" s="12">
        <f t="shared" si="1"/>
        <v>25</v>
      </c>
      <c r="D23" s="12">
        <f t="shared" si="1"/>
        <v>24</v>
      </c>
      <c r="E23" s="12">
        <f t="shared" si="1"/>
        <v>26</v>
      </c>
      <c r="F23" s="12">
        <f t="shared" si="1"/>
        <v>-240</v>
      </c>
      <c r="G23" s="12">
        <f t="shared" si="1"/>
        <v>-190</v>
      </c>
      <c r="H23" s="12">
        <f t="shared" si="1"/>
        <v>-40</v>
      </c>
      <c r="I23" s="12">
        <f t="shared" si="1"/>
        <v>-200</v>
      </c>
      <c r="J23" s="12">
        <f t="shared" si="1"/>
        <v>-235</v>
      </c>
      <c r="K23" s="12">
        <f t="shared" si="1"/>
        <v>-240</v>
      </c>
      <c r="L23" s="12">
        <f t="shared" si="1"/>
        <v>-215</v>
      </c>
      <c r="M23" s="12">
        <f t="shared" si="1"/>
        <v>-190</v>
      </c>
    </row>
    <row r="24" spans="1:13">
      <c r="A24" t="s">
        <v>169</v>
      </c>
      <c r="B24" s="12">
        <f t="shared" si="1"/>
        <v>84</v>
      </c>
      <c r="C24" s="12">
        <f t="shared" si="1"/>
        <v>-7</v>
      </c>
      <c r="D24" s="12">
        <f t="shared" si="1"/>
        <v>34</v>
      </c>
      <c r="E24" s="12">
        <f t="shared" si="1"/>
        <v>70</v>
      </c>
      <c r="F24" s="12">
        <f t="shared" si="1"/>
        <v>-240</v>
      </c>
      <c r="G24" s="12">
        <f t="shared" si="1"/>
        <v>-190</v>
      </c>
      <c r="H24" s="12">
        <f t="shared" si="1"/>
        <v>-40</v>
      </c>
      <c r="I24" s="12">
        <f t="shared" si="1"/>
        <v>-230</v>
      </c>
      <c r="J24" s="12">
        <f t="shared" si="1"/>
        <v>-240</v>
      </c>
      <c r="K24" s="12">
        <f t="shared" si="1"/>
        <v>-235</v>
      </c>
      <c r="L24" s="12">
        <f t="shared" si="1"/>
        <v>-215</v>
      </c>
      <c r="M24" s="12">
        <f t="shared" si="1"/>
        <v>-190</v>
      </c>
    </row>
    <row r="25" spans="1:13">
      <c r="A25" t="s">
        <v>170</v>
      </c>
      <c r="B25" s="12">
        <f t="shared" si="1"/>
        <v>-20</v>
      </c>
      <c r="C25" s="12">
        <f t="shared" si="1"/>
        <v>-78</v>
      </c>
      <c r="D25" s="12">
        <f t="shared" si="1"/>
        <v>-121</v>
      </c>
      <c r="E25" s="12">
        <f t="shared" si="1"/>
        <v>-33</v>
      </c>
      <c r="F25" s="12">
        <f t="shared" si="1"/>
        <v>-240</v>
      </c>
      <c r="G25" s="12">
        <f t="shared" si="1"/>
        <v>-190</v>
      </c>
      <c r="H25" s="12">
        <f t="shared" si="1"/>
        <v>-30</v>
      </c>
      <c r="I25" s="12">
        <f t="shared" si="1"/>
        <v>-200</v>
      </c>
      <c r="J25" s="12">
        <f t="shared" si="1"/>
        <v>-240</v>
      </c>
      <c r="K25" s="12">
        <f t="shared" si="1"/>
        <v>-230</v>
      </c>
      <c r="L25" s="12">
        <f t="shared" si="1"/>
        <v>-215</v>
      </c>
      <c r="M25" s="12">
        <f t="shared" si="1"/>
        <v>-190</v>
      </c>
    </row>
    <row r="26" spans="1:13">
      <c r="A26" t="s">
        <v>125</v>
      </c>
      <c r="B26" s="12">
        <f t="shared" si="1"/>
        <v>0</v>
      </c>
      <c r="C26" s="12">
        <f t="shared" si="1"/>
        <v>0</v>
      </c>
      <c r="D26" s="12">
        <f t="shared" si="1"/>
        <v>0</v>
      </c>
      <c r="E26" s="12">
        <f t="shared" si="1"/>
        <v>0</v>
      </c>
      <c r="F26" s="12">
        <f t="shared" si="1"/>
        <v>-40</v>
      </c>
      <c r="G26" s="12">
        <f t="shared" si="1"/>
        <v>-40</v>
      </c>
      <c r="H26" s="12">
        <f t="shared" si="1"/>
        <v>0</v>
      </c>
      <c r="I26" s="12">
        <f t="shared" si="1"/>
        <v>0</v>
      </c>
      <c r="J26" s="12">
        <f t="shared" si="1"/>
        <v>-160</v>
      </c>
      <c r="K26" s="12">
        <f t="shared" si="1"/>
        <v>-168</v>
      </c>
      <c r="L26" s="12">
        <f t="shared" si="1"/>
        <v>-168</v>
      </c>
      <c r="M26" s="12">
        <f t="shared" si="1"/>
        <v>-130</v>
      </c>
    </row>
    <row r="27" spans="1:13">
      <c r="A27" t="s">
        <v>126</v>
      </c>
      <c r="B27" s="12">
        <f t="shared" si="1"/>
        <v>-180</v>
      </c>
      <c r="C27" s="12">
        <f t="shared" si="1"/>
        <v>-180</v>
      </c>
      <c r="D27" s="12">
        <f t="shared" si="1"/>
        <v>-180</v>
      </c>
      <c r="E27" s="12">
        <f t="shared" si="1"/>
        <v>0</v>
      </c>
      <c r="F27" s="12">
        <f t="shared" si="1"/>
        <v>0</v>
      </c>
      <c r="G27" s="12">
        <f t="shared" si="1"/>
        <v>0</v>
      </c>
      <c r="H27" s="12">
        <f t="shared" si="1"/>
        <v>0</v>
      </c>
      <c r="I27" s="12">
        <f t="shared" si="1"/>
        <v>0</v>
      </c>
      <c r="J27" s="12">
        <f t="shared" si="1"/>
        <v>0</v>
      </c>
      <c r="K27" s="12">
        <f t="shared" si="1"/>
        <v>0</v>
      </c>
      <c r="L27" s="12">
        <f t="shared" si="1"/>
        <v>0</v>
      </c>
      <c r="M27" s="12">
        <f t="shared" si="1"/>
        <v>0</v>
      </c>
    </row>
    <row r="28" spans="1:13">
      <c r="A28" t="s">
        <v>127</v>
      </c>
      <c r="B28" s="12">
        <f t="shared" si="1"/>
        <v>0</v>
      </c>
      <c r="C28" s="12">
        <f t="shared" si="1"/>
        <v>-180</v>
      </c>
      <c r="D28" s="12">
        <f t="shared" si="1"/>
        <v>-240</v>
      </c>
      <c r="E28" s="12">
        <f t="shared" si="1"/>
        <v>-220</v>
      </c>
      <c r="F28" s="12">
        <f t="shared" si="1"/>
        <v>-240</v>
      </c>
      <c r="G28" s="12">
        <f t="shared" si="1"/>
        <v>-190</v>
      </c>
      <c r="H28" s="12">
        <f t="shared" si="1"/>
        <v>-40</v>
      </c>
      <c r="I28" s="12">
        <f t="shared" si="1"/>
        <v>-230</v>
      </c>
      <c r="J28" s="12">
        <f t="shared" si="1"/>
        <v>-235</v>
      </c>
      <c r="K28" s="12">
        <f t="shared" si="1"/>
        <v>-235</v>
      </c>
      <c r="L28" s="12">
        <f t="shared" si="1"/>
        <v>-215</v>
      </c>
      <c r="M28" s="12">
        <f t="shared" si="1"/>
        <v>-190</v>
      </c>
    </row>
    <row r="29" spans="1:13">
      <c r="A29" t="s">
        <v>128</v>
      </c>
      <c r="B29" s="12">
        <f t="shared" si="1"/>
        <v>0</v>
      </c>
      <c r="C29" s="12">
        <f t="shared" si="1"/>
        <v>13</v>
      </c>
      <c r="D29" s="12">
        <f t="shared" si="1"/>
        <v>0</v>
      </c>
      <c r="E29" s="12">
        <f t="shared" si="1"/>
        <v>0</v>
      </c>
      <c r="F29" s="12">
        <f t="shared" si="1"/>
        <v>0</v>
      </c>
      <c r="G29" s="12">
        <f t="shared" si="1"/>
        <v>0</v>
      </c>
      <c r="H29" s="12">
        <f t="shared" si="1"/>
        <v>0</v>
      </c>
      <c r="I29" s="12">
        <f t="shared" si="1"/>
        <v>0</v>
      </c>
      <c r="J29" s="12">
        <f t="shared" si="1"/>
        <v>0</v>
      </c>
      <c r="K29" s="12">
        <f t="shared" si="1"/>
        <v>0</v>
      </c>
      <c r="L29" s="12">
        <f t="shared" si="1"/>
        <v>0</v>
      </c>
      <c r="M29" s="12">
        <f t="shared" si="1"/>
        <v>0</v>
      </c>
    </row>
    <row r="30" spans="1:13">
      <c r="A30" t="s">
        <v>129</v>
      </c>
      <c r="B30" s="12">
        <f t="shared" si="1"/>
        <v>0</v>
      </c>
      <c r="C30" s="12">
        <f t="shared" si="1"/>
        <v>138</v>
      </c>
      <c r="D30" s="12">
        <f>SUM(D12-D48)</f>
        <v>208</v>
      </c>
      <c r="E30" s="12">
        <f t="shared" si="1"/>
        <v>186</v>
      </c>
      <c r="F30" s="12">
        <f t="shared" si="1"/>
        <v>0</v>
      </c>
      <c r="G30" s="12">
        <f t="shared" si="1"/>
        <v>0</v>
      </c>
      <c r="H30" s="12">
        <f t="shared" si="1"/>
        <v>0</v>
      </c>
      <c r="I30" s="12">
        <f t="shared" si="1"/>
        <v>0</v>
      </c>
      <c r="J30" s="12">
        <f t="shared" si="1"/>
        <v>0</v>
      </c>
      <c r="K30" s="12">
        <f t="shared" si="1"/>
        <v>0</v>
      </c>
      <c r="L30" s="12">
        <f t="shared" si="1"/>
        <v>0</v>
      </c>
      <c r="M30" s="12">
        <f t="shared" si="1"/>
        <v>0</v>
      </c>
    </row>
    <row r="31" spans="1:13">
      <c r="B31" s="12">
        <f t="shared" si="1"/>
        <v>0</v>
      </c>
      <c r="C31" s="12">
        <f t="shared" si="1"/>
        <v>0</v>
      </c>
      <c r="D31" s="12">
        <f t="shared" si="1"/>
        <v>0</v>
      </c>
      <c r="E31" s="12">
        <f t="shared" si="1"/>
        <v>29</v>
      </c>
      <c r="F31" s="12">
        <f t="shared" si="1"/>
        <v>0</v>
      </c>
      <c r="G31" s="12">
        <f t="shared" si="1"/>
        <v>0</v>
      </c>
      <c r="H31" s="12">
        <f t="shared" si="1"/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</row>
    <row r="32" spans="1:13">
      <c r="B32" s="12">
        <f t="shared" si="1"/>
        <v>0</v>
      </c>
      <c r="C32" s="12">
        <f t="shared" si="1"/>
        <v>0</v>
      </c>
      <c r="D32" s="12">
        <f t="shared" si="1"/>
        <v>0</v>
      </c>
      <c r="E32" s="12">
        <f t="shared" si="1"/>
        <v>0</v>
      </c>
      <c r="F32" s="12">
        <f t="shared" si="1"/>
        <v>0</v>
      </c>
      <c r="G32" s="12">
        <f t="shared" si="1"/>
        <v>0</v>
      </c>
      <c r="H32" s="12">
        <f t="shared" si="1"/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</row>
    <row r="33" spans="1:13">
      <c r="B33" s="12">
        <f t="shared" si="1"/>
        <v>0</v>
      </c>
      <c r="C33" s="12">
        <f t="shared" si="1"/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</row>
    <row r="34" spans="1:13">
      <c r="B34" s="12">
        <f t="shared" si="1"/>
        <v>0</v>
      </c>
      <c r="C34" s="12">
        <f t="shared" si="1"/>
        <v>0</v>
      </c>
      <c r="D34" s="12">
        <f t="shared" si="1"/>
        <v>0</v>
      </c>
      <c r="E34" s="12">
        <f t="shared" si="1"/>
        <v>0</v>
      </c>
      <c r="F34" s="12">
        <f t="shared" si="1"/>
        <v>0</v>
      </c>
      <c r="G34" s="12">
        <f t="shared" si="1"/>
        <v>0</v>
      </c>
      <c r="H34" s="12">
        <f t="shared" si="1"/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</row>
    <row r="35" spans="1:13" ht="15" thickBot="1">
      <c r="B35" s="12">
        <f t="shared" si="1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</row>
    <row r="36" spans="1:13" ht="15" thickBot="1">
      <c r="B36" s="11">
        <f t="shared" ref="B36:M36" si="2">SUM(B22:B35)</f>
        <v>34</v>
      </c>
      <c r="C36" s="11">
        <f t="shared" si="2"/>
        <v>-146</v>
      </c>
      <c r="D36" s="11">
        <f>SUM(D22:D35)</f>
        <v>-92</v>
      </c>
      <c r="E36" s="11">
        <f t="shared" si="2"/>
        <v>96</v>
      </c>
      <c r="F36" s="11">
        <f t="shared" si="2"/>
        <v>-1180</v>
      </c>
      <c r="G36" s="11">
        <f t="shared" si="2"/>
        <v>-890</v>
      </c>
      <c r="H36" s="11">
        <f t="shared" si="2"/>
        <v>-240</v>
      </c>
      <c r="I36" s="11">
        <f t="shared" si="2"/>
        <v>-1040</v>
      </c>
      <c r="J36" s="11">
        <f t="shared" si="2"/>
        <v>-1285</v>
      </c>
      <c r="K36" s="11">
        <f t="shared" si="2"/>
        <v>-1283</v>
      </c>
      <c r="L36" s="11">
        <f t="shared" si="2"/>
        <v>-1188</v>
      </c>
      <c r="M36" s="11">
        <f t="shared" si="2"/>
        <v>-1040</v>
      </c>
    </row>
    <row r="38" spans="1:13" s="2" customFormat="1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2" t="s">
        <v>0</v>
      </c>
      <c r="M38" s="2" t="s">
        <v>0</v>
      </c>
    </row>
    <row r="39" spans="1:13">
      <c r="A39" s="1" t="s">
        <v>2</v>
      </c>
      <c r="B39" s="1">
        <f>SUM(B40:B48)</f>
        <v>890</v>
      </c>
      <c r="C39" s="1">
        <f t="shared" ref="C39:M39" si="3">SUM(C40:C48)</f>
        <v>1105</v>
      </c>
      <c r="D39" s="1">
        <f t="shared" si="3"/>
        <v>1295</v>
      </c>
      <c r="E39" s="1">
        <f t="shared" si="3"/>
        <v>1050</v>
      </c>
      <c r="F39" s="1">
        <f t="shared" si="3"/>
        <v>1180</v>
      </c>
      <c r="G39" s="1">
        <f t="shared" si="3"/>
        <v>890</v>
      </c>
      <c r="H39" s="1">
        <f t="shared" si="3"/>
        <v>240</v>
      </c>
      <c r="I39" s="1">
        <f t="shared" si="3"/>
        <v>1040</v>
      </c>
      <c r="J39" s="1">
        <f t="shared" si="3"/>
        <v>1285</v>
      </c>
      <c r="K39" s="1">
        <f t="shared" si="3"/>
        <v>1283</v>
      </c>
      <c r="L39" s="1">
        <f t="shared" si="3"/>
        <v>1188</v>
      </c>
      <c r="M39" s="1">
        <f t="shared" si="3"/>
        <v>1040</v>
      </c>
    </row>
    <row r="40" spans="1:13">
      <c r="A40" s="32" t="s">
        <v>167</v>
      </c>
      <c r="B40" s="32">
        <v>150</v>
      </c>
      <c r="C40" s="32">
        <v>160</v>
      </c>
      <c r="D40" s="32">
        <v>175</v>
      </c>
      <c r="E40" s="32">
        <v>175</v>
      </c>
      <c r="F40" s="32">
        <v>180</v>
      </c>
      <c r="G40" s="32">
        <v>90</v>
      </c>
      <c r="H40" s="32">
        <v>90</v>
      </c>
      <c r="I40" s="32">
        <v>180</v>
      </c>
      <c r="J40" s="32">
        <v>175</v>
      </c>
      <c r="K40" s="32">
        <v>175</v>
      </c>
      <c r="L40" s="32">
        <v>160</v>
      </c>
      <c r="M40" s="32">
        <v>150</v>
      </c>
    </row>
    <row r="41" spans="1:13">
      <c r="A41" s="32" t="s">
        <v>168</v>
      </c>
      <c r="B41" s="32">
        <v>180</v>
      </c>
      <c r="C41" s="32">
        <v>195</v>
      </c>
      <c r="D41" s="32">
        <v>240</v>
      </c>
      <c r="E41" s="32">
        <v>215</v>
      </c>
      <c r="F41" s="32">
        <v>240</v>
      </c>
      <c r="G41" s="32">
        <v>190</v>
      </c>
      <c r="H41" s="32">
        <v>40</v>
      </c>
      <c r="I41" s="32">
        <v>200</v>
      </c>
      <c r="J41" s="32">
        <v>235</v>
      </c>
      <c r="K41" s="32">
        <v>240</v>
      </c>
      <c r="L41" s="32">
        <v>215</v>
      </c>
      <c r="M41" s="32">
        <v>190</v>
      </c>
    </row>
    <row r="42" spans="1:13">
      <c r="A42" s="32" t="s">
        <v>169</v>
      </c>
      <c r="B42" s="32">
        <v>190</v>
      </c>
      <c r="C42" s="32">
        <v>200</v>
      </c>
      <c r="D42" s="32">
        <v>240</v>
      </c>
      <c r="E42" s="32">
        <v>220</v>
      </c>
      <c r="F42" s="32">
        <v>240</v>
      </c>
      <c r="G42" s="32">
        <v>190</v>
      </c>
      <c r="H42" s="32">
        <v>40</v>
      </c>
      <c r="I42" s="32">
        <v>230</v>
      </c>
      <c r="J42" s="32">
        <v>240</v>
      </c>
      <c r="K42" s="32">
        <v>235</v>
      </c>
      <c r="L42" s="32">
        <v>215</v>
      </c>
      <c r="M42" s="32">
        <v>190</v>
      </c>
    </row>
    <row r="43" spans="1:13">
      <c r="A43" s="32" t="s">
        <v>170</v>
      </c>
      <c r="B43" s="32">
        <v>190</v>
      </c>
      <c r="C43" s="32">
        <v>190</v>
      </c>
      <c r="D43" s="32">
        <v>220</v>
      </c>
      <c r="E43" s="32">
        <v>220</v>
      </c>
      <c r="F43" s="32">
        <v>240</v>
      </c>
      <c r="G43" s="32">
        <v>190</v>
      </c>
      <c r="H43" s="32">
        <v>30</v>
      </c>
      <c r="I43" s="32">
        <v>200</v>
      </c>
      <c r="J43" s="32">
        <v>240</v>
      </c>
      <c r="K43" s="32">
        <v>230</v>
      </c>
      <c r="L43" s="32">
        <v>215</v>
      </c>
      <c r="M43" s="32">
        <v>190</v>
      </c>
    </row>
    <row r="44" spans="1:13">
      <c r="A44" s="32" t="s">
        <v>125</v>
      </c>
      <c r="B44" s="32"/>
      <c r="C44" s="32"/>
      <c r="D44" s="32"/>
      <c r="E44" s="32"/>
      <c r="F44" s="32">
        <v>40</v>
      </c>
      <c r="G44" s="32">
        <v>40</v>
      </c>
      <c r="H44" s="32"/>
      <c r="I44" s="32"/>
      <c r="J44" s="32">
        <v>160</v>
      </c>
      <c r="K44" s="32">
        <v>168</v>
      </c>
      <c r="L44" s="32">
        <v>168</v>
      </c>
      <c r="M44" s="32">
        <v>130</v>
      </c>
    </row>
    <row r="45" spans="1:13">
      <c r="A45" s="32" t="s">
        <v>126</v>
      </c>
      <c r="B45" s="32">
        <v>180</v>
      </c>
      <c r="C45" s="32">
        <v>180</v>
      </c>
      <c r="D45" s="32">
        <v>180</v>
      </c>
      <c r="E45" s="32"/>
      <c r="F45" s="32"/>
      <c r="G45" s="32"/>
      <c r="H45" s="32"/>
      <c r="I45" s="32"/>
      <c r="J45" s="32"/>
      <c r="K45" s="32"/>
      <c r="L45" s="32"/>
      <c r="M45" s="32"/>
    </row>
    <row r="46" spans="1:13">
      <c r="A46" s="32" t="s">
        <v>127</v>
      </c>
      <c r="B46" s="32"/>
      <c r="C46" s="32">
        <v>180</v>
      </c>
      <c r="D46" s="32">
        <v>240</v>
      </c>
      <c r="E46" s="32">
        <v>220</v>
      </c>
      <c r="F46" s="32">
        <v>240</v>
      </c>
      <c r="G46" s="32">
        <v>190</v>
      </c>
      <c r="H46" s="32">
        <v>40</v>
      </c>
      <c r="I46" s="32">
        <v>230</v>
      </c>
      <c r="J46" s="32">
        <v>235</v>
      </c>
      <c r="K46" s="32">
        <v>235</v>
      </c>
      <c r="L46" s="32">
        <v>215</v>
      </c>
      <c r="M46" s="32">
        <v>190</v>
      </c>
    </row>
    <row r="47" spans="1:13">
      <c r="A47" s="32" t="s">
        <v>128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>
      <c r="A48" s="32" t="s">
        <v>129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F0D0-A162-4FB1-82AA-A6D28778B0A9}">
  <dimension ref="A1:M49"/>
  <sheetViews>
    <sheetView topLeftCell="A13" workbookViewId="0">
      <selection activeCell="E13" sqref="E13"/>
    </sheetView>
  </sheetViews>
  <sheetFormatPr defaultRowHeight="14.4"/>
  <cols>
    <col min="1" max="1" width="36.44140625" bestFit="1" customWidth="1"/>
    <col min="2" max="3" width="11" bestFit="1" customWidth="1"/>
  </cols>
  <sheetData>
    <row r="1" spans="1:13" s="2" customFormat="1">
      <c r="A1" s="5" t="s">
        <v>3</v>
      </c>
      <c r="B1" s="6">
        <v>46063</v>
      </c>
      <c r="C1" s="6">
        <v>46086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s="9" customFormat="1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</row>
    <row r="3" spans="1:13" s="2" customFormat="1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>
      <c r="A4" t="s">
        <v>130</v>
      </c>
      <c r="B4" s="10">
        <v>0</v>
      </c>
      <c r="C4" s="10">
        <v>128</v>
      </c>
      <c r="D4" s="10">
        <v>185</v>
      </c>
      <c r="E4" s="10">
        <v>141</v>
      </c>
      <c r="F4" s="10"/>
      <c r="G4" s="10"/>
      <c r="H4" s="10"/>
      <c r="I4" s="10"/>
      <c r="J4" s="10"/>
      <c r="K4" s="10"/>
      <c r="L4" s="10"/>
      <c r="M4" s="10"/>
    </row>
    <row r="5" spans="1:13">
      <c r="A5" t="s">
        <v>131</v>
      </c>
      <c r="B5" s="10">
        <v>228</v>
      </c>
      <c r="C5" s="10">
        <v>249</v>
      </c>
      <c r="D5" s="10">
        <v>353</v>
      </c>
      <c r="E5" s="10">
        <v>244</v>
      </c>
      <c r="F5" s="10"/>
      <c r="G5" s="10"/>
      <c r="H5" s="10"/>
      <c r="I5" s="10"/>
      <c r="J5" s="10"/>
      <c r="K5" s="10"/>
      <c r="L5" s="10"/>
      <c r="M5" s="10"/>
    </row>
    <row r="6" spans="1:13">
      <c r="A6" t="s">
        <v>132</v>
      </c>
      <c r="B6" s="10">
        <v>158</v>
      </c>
      <c r="C6" s="10">
        <v>227</v>
      </c>
      <c r="D6" s="10">
        <v>219</v>
      </c>
      <c r="E6" s="10">
        <v>232</v>
      </c>
      <c r="F6" s="10"/>
      <c r="G6" s="10"/>
      <c r="H6" s="10"/>
      <c r="I6" s="10"/>
      <c r="J6" s="10"/>
      <c r="K6" s="10"/>
      <c r="L6" s="10"/>
      <c r="M6" s="10"/>
    </row>
    <row r="7" spans="1:13">
      <c r="A7" t="s">
        <v>133</v>
      </c>
      <c r="B7" s="10">
        <v>6</v>
      </c>
      <c r="C7" s="10">
        <v>0</v>
      </c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>
      <c r="A8" t="s">
        <v>134</v>
      </c>
      <c r="B8" s="10">
        <v>88</v>
      </c>
      <c r="C8" s="10">
        <v>100</v>
      </c>
      <c r="D8" s="10">
        <v>171</v>
      </c>
      <c r="E8" s="10">
        <v>173</v>
      </c>
      <c r="F8" s="10"/>
      <c r="G8" s="10"/>
      <c r="H8" s="10"/>
      <c r="I8" s="10"/>
      <c r="J8" s="10"/>
      <c r="K8" s="10"/>
      <c r="L8" s="10"/>
      <c r="M8" s="10"/>
    </row>
    <row r="9" spans="1:13">
      <c r="A9" t="s">
        <v>135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>
      <c r="A10" t="s">
        <v>136</v>
      </c>
      <c r="B10" s="10">
        <v>121</v>
      </c>
      <c r="C10" s="10">
        <v>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>
      <c r="A11" t="s">
        <v>137</v>
      </c>
      <c r="B11" s="10">
        <v>231</v>
      </c>
      <c r="C11" s="10">
        <v>245</v>
      </c>
      <c r="D11" s="10">
        <v>168</v>
      </c>
      <c r="E11" s="10">
        <v>232</v>
      </c>
      <c r="F11" s="10"/>
      <c r="G11" s="10"/>
      <c r="H11" s="10"/>
      <c r="I11" s="10"/>
      <c r="J11" s="10"/>
      <c r="K11" s="10"/>
      <c r="L11" s="10"/>
      <c r="M11" s="10"/>
    </row>
    <row r="12" spans="1:13">
      <c r="A12" t="s">
        <v>138</v>
      </c>
      <c r="B12" s="10">
        <v>102</v>
      </c>
      <c r="C12" s="10">
        <v>107</v>
      </c>
      <c r="D12" s="10">
        <v>156</v>
      </c>
      <c r="E12" s="10">
        <v>165</v>
      </c>
      <c r="F12" s="10"/>
      <c r="G12" s="10"/>
      <c r="H12" s="10"/>
      <c r="I12" s="10"/>
      <c r="J12" s="10"/>
      <c r="K12" s="10"/>
      <c r="L12" s="10"/>
      <c r="M12" s="10"/>
    </row>
    <row r="13" spans="1:13">
      <c r="A13" t="s">
        <v>139</v>
      </c>
      <c r="B13" s="10">
        <v>0</v>
      </c>
      <c r="C13" s="10">
        <v>2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" thickBot="1">
      <c r="B18" s="11">
        <f t="shared" ref="B18:M18" si="0">SUM(B4:B17)</f>
        <v>934</v>
      </c>
      <c r="C18" s="11">
        <f t="shared" si="0"/>
        <v>1058</v>
      </c>
      <c r="D18" s="11">
        <f t="shared" si="0"/>
        <v>1252</v>
      </c>
      <c r="E18" s="11">
        <f t="shared" si="0"/>
        <v>1187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</row>
    <row r="20" spans="1:13"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  <c r="K20" s="8" t="s">
        <v>13</v>
      </c>
      <c r="L20" s="8" t="s">
        <v>14</v>
      </c>
      <c r="M20" s="8" t="s">
        <v>15</v>
      </c>
    </row>
    <row r="21" spans="1:13"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>
      <c r="A22" t="s">
        <v>130</v>
      </c>
      <c r="B22" s="12">
        <f t="shared" ref="B22:M35" si="1">SUM(B4-B40)</f>
        <v>0</v>
      </c>
      <c r="C22" s="12">
        <f t="shared" si="1"/>
        <v>128</v>
      </c>
      <c r="D22" s="12">
        <f t="shared" si="1"/>
        <v>-55</v>
      </c>
      <c r="E22" s="12">
        <f t="shared" si="1"/>
        <v>-99</v>
      </c>
      <c r="F22" s="12">
        <f t="shared" si="1"/>
        <v>-240</v>
      </c>
      <c r="G22" s="12">
        <f t="shared" si="1"/>
        <v>-240</v>
      </c>
      <c r="H22" s="12">
        <f t="shared" si="1"/>
        <v>-100</v>
      </c>
      <c r="I22" s="12">
        <f t="shared" si="1"/>
        <v>-100</v>
      </c>
      <c r="J22" s="12">
        <f t="shared" si="1"/>
        <v>-240</v>
      </c>
      <c r="K22" s="12">
        <f t="shared" si="1"/>
        <v>-240</v>
      </c>
      <c r="L22" s="12">
        <f t="shared" si="1"/>
        <v>-240</v>
      </c>
      <c r="M22" s="12">
        <f t="shared" si="1"/>
        <v>-240</v>
      </c>
    </row>
    <row r="23" spans="1:13">
      <c r="A23" t="s">
        <v>131</v>
      </c>
      <c r="B23" s="12">
        <f t="shared" si="1"/>
        <v>-47</v>
      </c>
      <c r="C23" s="12">
        <f t="shared" si="1"/>
        <v>-26</v>
      </c>
      <c r="D23" s="12">
        <f t="shared" si="1"/>
        <v>53</v>
      </c>
      <c r="E23" s="12">
        <f t="shared" si="1"/>
        <v>57</v>
      </c>
      <c r="F23" s="12">
        <f t="shared" si="1"/>
        <v>-275</v>
      </c>
      <c r="G23" s="12">
        <f t="shared" si="1"/>
        <v>-240</v>
      </c>
      <c r="H23" s="12">
        <f t="shared" si="1"/>
        <v>-170</v>
      </c>
      <c r="I23" s="12">
        <f t="shared" si="1"/>
        <v>-100</v>
      </c>
      <c r="J23" s="12">
        <f t="shared" si="1"/>
        <v>-260</v>
      </c>
      <c r="K23" s="12">
        <f t="shared" si="1"/>
        <v>-200</v>
      </c>
      <c r="L23" s="12">
        <f t="shared" si="1"/>
        <v>-290</v>
      </c>
      <c r="M23" s="12">
        <f t="shared" si="1"/>
        <v>-200</v>
      </c>
    </row>
    <row r="24" spans="1:13">
      <c r="A24" t="s">
        <v>132</v>
      </c>
      <c r="B24" s="12">
        <f t="shared" si="1"/>
        <v>-82</v>
      </c>
      <c r="C24" s="12">
        <f t="shared" si="1"/>
        <v>-13</v>
      </c>
      <c r="D24" s="12">
        <f t="shared" si="1"/>
        <v>-1</v>
      </c>
      <c r="E24" s="12">
        <f t="shared" si="1"/>
        <v>12</v>
      </c>
      <c r="F24" s="12">
        <f t="shared" si="1"/>
        <v>-120</v>
      </c>
      <c r="G24" s="12">
        <f t="shared" si="1"/>
        <v>-100</v>
      </c>
      <c r="H24" s="12">
        <f t="shared" si="1"/>
        <v>-100</v>
      </c>
      <c r="I24" s="12">
        <f t="shared" si="1"/>
        <v>-220</v>
      </c>
      <c r="J24" s="12">
        <f t="shared" si="1"/>
        <v>-240</v>
      </c>
      <c r="K24" s="12">
        <f t="shared" si="1"/>
        <v>-240</v>
      </c>
      <c r="L24" s="12">
        <f t="shared" si="1"/>
        <v>-220</v>
      </c>
      <c r="M24" s="12">
        <f t="shared" si="1"/>
        <v>-220</v>
      </c>
    </row>
    <row r="25" spans="1:13">
      <c r="A25" t="s">
        <v>133</v>
      </c>
      <c r="B25" s="12">
        <f t="shared" si="1"/>
        <v>-42</v>
      </c>
      <c r="C25" s="12">
        <f t="shared" si="1"/>
        <v>-48</v>
      </c>
      <c r="D25" s="12">
        <f t="shared" si="1"/>
        <v>-48</v>
      </c>
      <c r="E25" s="12">
        <f t="shared" si="1"/>
        <v>-48</v>
      </c>
      <c r="F25" s="12">
        <f t="shared" si="1"/>
        <v>-48</v>
      </c>
      <c r="G25" s="12">
        <f t="shared" si="1"/>
        <v>0</v>
      </c>
      <c r="H25" s="12">
        <f t="shared" si="1"/>
        <v>-25</v>
      </c>
      <c r="I25" s="12">
        <f t="shared" si="1"/>
        <v>-48</v>
      </c>
      <c r="J25" s="12">
        <f t="shared" si="1"/>
        <v>-48</v>
      </c>
      <c r="K25" s="12">
        <f t="shared" si="1"/>
        <v>-48</v>
      </c>
      <c r="L25" s="12">
        <f t="shared" si="1"/>
        <v>-48</v>
      </c>
      <c r="M25" s="12">
        <f t="shared" si="1"/>
        <v>-48</v>
      </c>
    </row>
    <row r="26" spans="1:13">
      <c r="A26" t="s">
        <v>134</v>
      </c>
      <c r="B26" s="12">
        <f t="shared" si="1"/>
        <v>-102</v>
      </c>
      <c r="C26" s="12">
        <f t="shared" si="1"/>
        <v>-90</v>
      </c>
      <c r="D26" s="12">
        <f t="shared" si="1"/>
        <v>-69</v>
      </c>
      <c r="E26" s="12">
        <f t="shared" si="1"/>
        <v>-67</v>
      </c>
      <c r="F26" s="12">
        <f t="shared" si="1"/>
        <v>-240</v>
      </c>
      <c r="G26" s="12">
        <f t="shared" si="1"/>
        <v>-240</v>
      </c>
      <c r="H26" s="12">
        <f t="shared" si="1"/>
        <v>-75</v>
      </c>
      <c r="I26" s="12">
        <f t="shared" si="1"/>
        <v>-75</v>
      </c>
      <c r="J26" s="12">
        <f t="shared" si="1"/>
        <v>-240</v>
      </c>
      <c r="K26" s="12">
        <f t="shared" si="1"/>
        <v>-240</v>
      </c>
      <c r="L26" s="12">
        <f t="shared" si="1"/>
        <v>-240</v>
      </c>
      <c r="M26" s="12">
        <f t="shared" si="1"/>
        <v>-240</v>
      </c>
    </row>
    <row r="27" spans="1:13">
      <c r="A27" t="s">
        <v>135</v>
      </c>
      <c r="B27" s="12">
        <f t="shared" si="1"/>
        <v>-120</v>
      </c>
      <c r="C27" s="12">
        <f t="shared" si="1"/>
        <v>-200</v>
      </c>
      <c r="D27" s="12">
        <f t="shared" si="1"/>
        <v>-200</v>
      </c>
      <c r="E27" s="12">
        <f t="shared" si="1"/>
        <v>-200</v>
      </c>
      <c r="F27" s="12">
        <f t="shared" si="1"/>
        <v>-200</v>
      </c>
      <c r="G27" s="12">
        <f t="shared" si="1"/>
        <v>-75</v>
      </c>
      <c r="H27" s="12">
        <f t="shared" si="1"/>
        <v>-75</v>
      </c>
      <c r="I27" s="12">
        <f t="shared" si="1"/>
        <v>-200</v>
      </c>
      <c r="J27" s="12">
        <f t="shared" si="1"/>
        <v>-200</v>
      </c>
      <c r="K27" s="12">
        <f t="shared" si="1"/>
        <v>-200</v>
      </c>
      <c r="L27" s="12">
        <f t="shared" si="1"/>
        <v>-200</v>
      </c>
      <c r="M27" s="12">
        <f t="shared" si="1"/>
        <v>-75</v>
      </c>
    </row>
    <row r="28" spans="1:13">
      <c r="A28" t="s">
        <v>136</v>
      </c>
      <c r="B28" s="12">
        <f t="shared" si="1"/>
        <v>-119</v>
      </c>
      <c r="C28" s="12">
        <f t="shared" si="1"/>
        <v>-240</v>
      </c>
      <c r="D28" s="12">
        <f t="shared" si="1"/>
        <v>0</v>
      </c>
      <c r="E28" s="12">
        <f t="shared" si="1"/>
        <v>0</v>
      </c>
      <c r="F28" s="12">
        <f t="shared" si="1"/>
        <v>0</v>
      </c>
      <c r="G28" s="12">
        <f t="shared" si="1"/>
        <v>0</v>
      </c>
      <c r="H28" s="12">
        <f t="shared" si="1"/>
        <v>0</v>
      </c>
      <c r="I28" s="12">
        <f t="shared" si="1"/>
        <v>0</v>
      </c>
      <c r="J28" s="12">
        <f t="shared" si="1"/>
        <v>0</v>
      </c>
      <c r="K28" s="12">
        <f t="shared" si="1"/>
        <v>0</v>
      </c>
      <c r="L28" s="12">
        <f t="shared" si="1"/>
        <v>0</v>
      </c>
      <c r="M28" s="12">
        <f t="shared" si="1"/>
        <v>0</v>
      </c>
    </row>
    <row r="29" spans="1:13">
      <c r="A29" t="s">
        <v>137</v>
      </c>
      <c r="B29" s="12">
        <f t="shared" si="1"/>
        <v>-19</v>
      </c>
      <c r="C29" s="12">
        <f t="shared" si="1"/>
        <v>5</v>
      </c>
      <c r="D29" s="12">
        <f t="shared" si="1"/>
        <v>-82</v>
      </c>
      <c r="E29" s="12">
        <f t="shared" si="1"/>
        <v>-8</v>
      </c>
      <c r="F29" s="12">
        <f t="shared" si="1"/>
        <v>-240</v>
      </c>
      <c r="G29" s="12">
        <f t="shared" si="1"/>
        <v>-200</v>
      </c>
      <c r="H29" s="12">
        <f t="shared" si="1"/>
        <v>-100</v>
      </c>
      <c r="I29" s="12">
        <f t="shared" si="1"/>
        <v>-80</v>
      </c>
      <c r="J29" s="12">
        <f t="shared" si="1"/>
        <v>-250</v>
      </c>
      <c r="K29" s="12">
        <f t="shared" si="1"/>
        <v>-250</v>
      </c>
      <c r="L29" s="12">
        <f t="shared" si="1"/>
        <v>-250</v>
      </c>
      <c r="M29" s="12">
        <f t="shared" si="1"/>
        <v>-250</v>
      </c>
    </row>
    <row r="30" spans="1:13">
      <c r="A30" t="s">
        <v>140</v>
      </c>
      <c r="B30" s="12">
        <f t="shared" si="1"/>
        <v>-18</v>
      </c>
      <c r="C30" s="12">
        <f t="shared" si="1"/>
        <v>-13</v>
      </c>
      <c r="D30" s="12">
        <f t="shared" si="1"/>
        <v>36</v>
      </c>
      <c r="E30" s="12">
        <f t="shared" si="1"/>
        <v>45</v>
      </c>
      <c r="F30" s="12">
        <f t="shared" si="1"/>
        <v>-120</v>
      </c>
      <c r="G30" s="12">
        <f t="shared" si="1"/>
        <v>-120</v>
      </c>
      <c r="H30" s="12">
        <f t="shared" si="1"/>
        <v>-120</v>
      </c>
      <c r="I30" s="12">
        <f t="shared" si="1"/>
        <v>-120</v>
      </c>
      <c r="J30" s="12">
        <f t="shared" si="1"/>
        <v>-120</v>
      </c>
      <c r="K30" s="12">
        <f t="shared" si="1"/>
        <v>-120</v>
      </c>
      <c r="L30" s="12">
        <f t="shared" si="1"/>
        <v>-120</v>
      </c>
      <c r="M30" s="12">
        <f t="shared" si="1"/>
        <v>-120</v>
      </c>
    </row>
    <row r="31" spans="1:13">
      <c r="A31" t="s">
        <v>139</v>
      </c>
      <c r="B31" s="12">
        <f t="shared" si="1"/>
        <v>0</v>
      </c>
      <c r="C31" s="12">
        <f t="shared" si="1"/>
        <v>2</v>
      </c>
      <c r="D31" s="12">
        <f t="shared" si="1"/>
        <v>0</v>
      </c>
      <c r="E31" s="12">
        <f t="shared" si="1"/>
        <v>0</v>
      </c>
      <c r="F31" s="12">
        <f t="shared" si="1"/>
        <v>0</v>
      </c>
      <c r="G31" s="12">
        <f t="shared" si="1"/>
        <v>0</v>
      </c>
      <c r="H31" s="12">
        <f t="shared" si="1"/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</row>
    <row r="32" spans="1:13">
      <c r="B32" s="12">
        <f t="shared" si="1"/>
        <v>0</v>
      </c>
      <c r="C32" s="12">
        <f t="shared" si="1"/>
        <v>0</v>
      </c>
      <c r="D32" s="12">
        <f t="shared" si="1"/>
        <v>0</v>
      </c>
      <c r="E32" s="12">
        <f t="shared" si="1"/>
        <v>0</v>
      </c>
      <c r="F32" s="12">
        <f t="shared" si="1"/>
        <v>0</v>
      </c>
      <c r="G32" s="12">
        <f t="shared" si="1"/>
        <v>0</v>
      </c>
      <c r="H32" s="12">
        <f t="shared" si="1"/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</row>
    <row r="33" spans="1:13">
      <c r="B33" s="12">
        <f t="shared" si="1"/>
        <v>0</v>
      </c>
      <c r="C33" s="12">
        <f t="shared" si="1"/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</row>
    <row r="34" spans="1:13">
      <c r="B34" s="12">
        <f t="shared" si="1"/>
        <v>0</v>
      </c>
      <c r="C34" s="12">
        <f t="shared" si="1"/>
        <v>0</v>
      </c>
      <c r="D34" s="12">
        <f t="shared" si="1"/>
        <v>0</v>
      </c>
      <c r="E34" s="12">
        <f t="shared" si="1"/>
        <v>0</v>
      </c>
      <c r="F34" s="12">
        <f t="shared" si="1"/>
        <v>0</v>
      </c>
      <c r="G34" s="12">
        <f t="shared" si="1"/>
        <v>0</v>
      </c>
      <c r="H34" s="12">
        <f t="shared" si="1"/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</row>
    <row r="35" spans="1:13" ht="15" thickBot="1">
      <c r="B35" s="12">
        <f t="shared" si="1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</row>
    <row r="36" spans="1:13" ht="15" thickBot="1">
      <c r="B36" s="11">
        <f t="shared" ref="B36:M36" si="2">SUM(B22:B35)</f>
        <v>-549</v>
      </c>
      <c r="C36" s="11">
        <f t="shared" si="2"/>
        <v>-495</v>
      </c>
      <c r="D36" s="11">
        <f t="shared" si="2"/>
        <v>-366</v>
      </c>
      <c r="E36" s="11">
        <f t="shared" si="2"/>
        <v>-308</v>
      </c>
      <c r="F36" s="11">
        <f t="shared" si="2"/>
        <v>-1483</v>
      </c>
      <c r="G36" s="11">
        <f t="shared" si="2"/>
        <v>-1215</v>
      </c>
      <c r="H36" s="11">
        <f t="shared" si="2"/>
        <v>-765</v>
      </c>
      <c r="I36" s="11">
        <f t="shared" si="2"/>
        <v>-943</v>
      </c>
      <c r="J36" s="11">
        <f t="shared" si="2"/>
        <v>-1598</v>
      </c>
      <c r="K36" s="11">
        <f t="shared" si="2"/>
        <v>-1538</v>
      </c>
      <c r="L36" s="11">
        <f t="shared" si="2"/>
        <v>-1608</v>
      </c>
      <c r="M36" s="11">
        <f t="shared" si="2"/>
        <v>-1393</v>
      </c>
    </row>
    <row r="37" spans="1:13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s="2" customFormat="1"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</row>
    <row r="39" spans="1:13">
      <c r="A39" s="1" t="s">
        <v>2</v>
      </c>
      <c r="B39" s="1">
        <f>SUM(B40:B49)</f>
        <v>1483</v>
      </c>
      <c r="C39" s="1">
        <f t="shared" ref="C39:M39" si="3">SUM(C40:C49)</f>
        <v>1553</v>
      </c>
      <c r="D39" s="1">
        <f t="shared" si="3"/>
        <v>1618</v>
      </c>
      <c r="E39" s="1">
        <f t="shared" si="3"/>
        <v>1495</v>
      </c>
      <c r="F39" s="1">
        <f t="shared" si="3"/>
        <v>1483</v>
      </c>
      <c r="G39" s="1">
        <f t="shared" si="3"/>
        <v>1215</v>
      </c>
      <c r="H39" s="1">
        <f t="shared" si="3"/>
        <v>765</v>
      </c>
      <c r="I39" s="1">
        <f t="shared" si="3"/>
        <v>943</v>
      </c>
      <c r="J39" s="1">
        <f t="shared" si="3"/>
        <v>1598</v>
      </c>
      <c r="K39" s="1">
        <f t="shared" si="3"/>
        <v>1538</v>
      </c>
      <c r="L39" s="1">
        <f t="shared" si="3"/>
        <v>1608</v>
      </c>
      <c r="M39" s="1">
        <f t="shared" si="3"/>
        <v>1393</v>
      </c>
    </row>
    <row r="40" spans="1:13">
      <c r="A40" s="4" t="s">
        <v>130</v>
      </c>
      <c r="B40" s="4">
        <v>0</v>
      </c>
      <c r="C40" s="4">
        <v>0</v>
      </c>
      <c r="D40" s="4">
        <v>240</v>
      </c>
      <c r="E40" s="4">
        <v>240</v>
      </c>
      <c r="F40" s="4">
        <v>240</v>
      </c>
      <c r="G40" s="4">
        <v>240</v>
      </c>
      <c r="H40" s="4">
        <v>100</v>
      </c>
      <c r="I40" s="4">
        <v>100</v>
      </c>
      <c r="J40" s="4">
        <v>240</v>
      </c>
      <c r="K40" s="4">
        <v>240</v>
      </c>
      <c r="L40" s="4">
        <v>240</v>
      </c>
      <c r="M40" s="4">
        <v>240</v>
      </c>
    </row>
    <row r="41" spans="1:13">
      <c r="A41" s="4" t="s">
        <v>131</v>
      </c>
      <c r="B41" s="4">
        <v>275</v>
      </c>
      <c r="C41" s="4">
        <v>275</v>
      </c>
      <c r="D41" s="4">
        <v>300</v>
      </c>
      <c r="E41" s="4">
        <v>187</v>
      </c>
      <c r="F41" s="4">
        <v>275</v>
      </c>
      <c r="G41" s="4">
        <v>240</v>
      </c>
      <c r="H41" s="4">
        <v>170</v>
      </c>
      <c r="I41" s="4">
        <v>100</v>
      </c>
      <c r="J41" s="4">
        <v>260</v>
      </c>
      <c r="K41" s="4">
        <v>200</v>
      </c>
      <c r="L41" s="4">
        <v>290</v>
      </c>
      <c r="M41" s="4">
        <v>200</v>
      </c>
    </row>
    <row r="42" spans="1:13">
      <c r="A42" s="4" t="s">
        <v>132</v>
      </c>
      <c r="B42" s="4">
        <v>240</v>
      </c>
      <c r="C42" s="4">
        <v>240</v>
      </c>
      <c r="D42" s="4">
        <v>220</v>
      </c>
      <c r="E42" s="4">
        <v>220</v>
      </c>
      <c r="F42" s="4">
        <v>120</v>
      </c>
      <c r="G42" s="4">
        <v>100</v>
      </c>
      <c r="H42" s="4">
        <v>100</v>
      </c>
      <c r="I42" s="4">
        <v>220</v>
      </c>
      <c r="J42" s="4">
        <v>240</v>
      </c>
      <c r="K42" s="4">
        <v>240</v>
      </c>
      <c r="L42" s="4">
        <v>220</v>
      </c>
      <c r="M42" s="4">
        <v>220</v>
      </c>
    </row>
    <row r="43" spans="1:13">
      <c r="A43" s="4" t="s">
        <v>133</v>
      </c>
      <c r="B43" s="4">
        <v>48</v>
      </c>
      <c r="C43" s="4">
        <v>48</v>
      </c>
      <c r="D43" s="4">
        <v>48</v>
      </c>
      <c r="E43" s="4">
        <v>48</v>
      </c>
      <c r="F43" s="4">
        <v>48</v>
      </c>
      <c r="G43" s="4">
        <v>0</v>
      </c>
      <c r="H43" s="4">
        <v>25</v>
      </c>
      <c r="I43" s="4">
        <v>48</v>
      </c>
      <c r="J43" s="4">
        <v>48</v>
      </c>
      <c r="K43" s="4">
        <v>48</v>
      </c>
      <c r="L43" s="4">
        <v>48</v>
      </c>
      <c r="M43" s="4">
        <v>48</v>
      </c>
    </row>
    <row r="44" spans="1:13">
      <c r="A44" s="4" t="s">
        <v>134</v>
      </c>
      <c r="B44" s="4">
        <v>190</v>
      </c>
      <c r="C44" s="4">
        <v>190</v>
      </c>
      <c r="D44" s="4">
        <v>240</v>
      </c>
      <c r="E44" s="4">
        <v>240</v>
      </c>
      <c r="F44" s="4">
        <v>240</v>
      </c>
      <c r="G44" s="4">
        <v>240</v>
      </c>
      <c r="H44" s="4">
        <v>75</v>
      </c>
      <c r="I44" s="4">
        <v>75</v>
      </c>
      <c r="J44" s="4">
        <v>240</v>
      </c>
      <c r="K44" s="4">
        <v>240</v>
      </c>
      <c r="L44" s="4">
        <v>240</v>
      </c>
      <c r="M44" s="4">
        <v>240</v>
      </c>
    </row>
    <row r="45" spans="1:13">
      <c r="A45" s="4" t="s">
        <v>135</v>
      </c>
      <c r="B45" s="4">
        <v>120</v>
      </c>
      <c r="C45" s="4">
        <v>200</v>
      </c>
      <c r="D45" s="4">
        <v>200</v>
      </c>
      <c r="E45" s="4">
        <v>200</v>
      </c>
      <c r="F45" s="4">
        <v>200</v>
      </c>
      <c r="G45" s="4">
        <v>75</v>
      </c>
      <c r="H45" s="4">
        <v>75</v>
      </c>
      <c r="I45" s="4">
        <v>200</v>
      </c>
      <c r="J45" s="4">
        <v>200</v>
      </c>
      <c r="K45" s="4">
        <v>200</v>
      </c>
      <c r="L45" s="4">
        <v>200</v>
      </c>
      <c r="M45" s="4">
        <v>75</v>
      </c>
    </row>
    <row r="46" spans="1:13">
      <c r="A46" s="4" t="s">
        <v>136</v>
      </c>
      <c r="B46" s="4">
        <v>240</v>
      </c>
      <c r="C46" s="4">
        <v>240</v>
      </c>
      <c r="D46" s="4">
        <v>0</v>
      </c>
      <c r="E46" s="4">
        <v>0</v>
      </c>
      <c r="F46" s="4"/>
      <c r="G46" s="4"/>
      <c r="H46" s="4"/>
      <c r="I46" s="4"/>
      <c r="J46" s="4"/>
      <c r="K46" s="4"/>
      <c r="L46" s="4"/>
      <c r="M46" s="4"/>
    </row>
    <row r="47" spans="1:13">
      <c r="A47" s="4" t="s">
        <v>137</v>
      </c>
      <c r="B47" s="4">
        <v>250</v>
      </c>
      <c r="C47" s="4">
        <v>240</v>
      </c>
      <c r="D47" s="4">
        <v>250</v>
      </c>
      <c r="E47" s="4">
        <v>240</v>
      </c>
      <c r="F47" s="4">
        <v>240</v>
      </c>
      <c r="G47" s="4">
        <v>200</v>
      </c>
      <c r="H47" s="4">
        <v>100</v>
      </c>
      <c r="I47" s="4">
        <v>80</v>
      </c>
      <c r="J47" s="4">
        <v>250</v>
      </c>
      <c r="K47" s="4">
        <v>250</v>
      </c>
      <c r="L47" s="4">
        <v>250</v>
      </c>
      <c r="M47" s="4">
        <v>250</v>
      </c>
    </row>
    <row r="48" spans="1:13">
      <c r="A48" s="4" t="s">
        <v>140</v>
      </c>
      <c r="B48" s="4">
        <v>120</v>
      </c>
      <c r="C48" s="4">
        <v>120</v>
      </c>
      <c r="D48" s="4">
        <v>120</v>
      </c>
      <c r="E48" s="4">
        <v>120</v>
      </c>
      <c r="F48" s="4">
        <v>120</v>
      </c>
      <c r="G48" s="4">
        <v>120</v>
      </c>
      <c r="H48" s="4">
        <v>120</v>
      </c>
      <c r="I48" s="4">
        <v>120</v>
      </c>
      <c r="J48" s="4">
        <v>120</v>
      </c>
      <c r="K48" s="4">
        <v>120</v>
      </c>
      <c r="L48" s="4">
        <v>120</v>
      </c>
      <c r="M48" s="4">
        <v>120</v>
      </c>
    </row>
    <row r="49" spans="1:13">
      <c r="A49" s="4" t="s">
        <v>139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5E73-75FD-40F9-A4A9-4FCDA19975BA}">
  <dimension ref="A1:T15"/>
  <sheetViews>
    <sheetView workbookViewId="0"/>
  </sheetViews>
  <sheetFormatPr defaultRowHeight="14.4"/>
  <sheetData>
    <row r="1" spans="1:20">
      <c r="A1" t="s">
        <v>176</v>
      </c>
      <c r="B1" t="s">
        <v>224</v>
      </c>
      <c r="C1" t="s">
        <v>225</v>
      </c>
      <c r="E1" t="s">
        <v>176</v>
      </c>
      <c r="F1" t="s">
        <v>178</v>
      </c>
      <c r="H1" s="109" t="s">
        <v>241</v>
      </c>
      <c r="I1" s="109" t="s">
        <v>224</v>
      </c>
      <c r="J1" s="109" t="s">
        <v>225</v>
      </c>
      <c r="L1" s="109" t="s">
        <v>241</v>
      </c>
      <c r="M1" s="109" t="s">
        <v>178</v>
      </c>
      <c r="O1" s="109" t="s">
        <v>242</v>
      </c>
      <c r="P1" s="109" t="s">
        <v>224</v>
      </c>
      <c r="Q1" s="109" t="s">
        <v>225</v>
      </c>
      <c r="S1" s="109" t="s">
        <v>242</v>
      </c>
      <c r="T1" s="109" t="s">
        <v>178</v>
      </c>
    </row>
    <row r="2" spans="1:20">
      <c r="A2" t="str" cm="1">
        <f t="array" ref="A2:A15">_xlfn.SORTBY(Dashboard!A14:A27,Dashboard!N14:N27,1)</f>
        <v>Karlastaden</v>
      </c>
      <c r="B2" cm="1">
        <f t="array" ref="B2:B15">_xlfn.SORTBY(Dashboard!N14:N27,Dashboard!N14:N27,1)</f>
        <v>1107</v>
      </c>
      <c r="C2" cm="1">
        <f t="array" ref="C2:C15">_xlfn.SORTBY(Dashboard!O14:O27,Dashboard!N14:N27,1)</f>
        <v>1980</v>
      </c>
      <c r="E2" t="str" cm="1">
        <f t="array" ref="E2:E15">_xlfn.SORTBY(Dashboard!A14:A27,Dashboard!Q14:Q27,1)</f>
        <v>Karlastaden</v>
      </c>
      <c r="F2" cm="1">
        <f t="array" ref="F2:F15">_xlfn.SORTBY(Dashboard!Q14:Q27,Dashboard!Q14:Q27,1)</f>
        <v>0.55909090909090908</v>
      </c>
      <c r="H2" t="str" cm="1">
        <f t="array" ref="H2:H9">_xlfn.SORTBY(Dashboard!A14:A21,Dashboard!N14:N21,1)</f>
        <v>Karlastaden</v>
      </c>
      <c r="I2" cm="1">
        <f t="array" ref="I2:I9">_xlfn.SORTBY(Dashboard!N14:N21,Dashboard!N14:N21,1)</f>
        <v>1107</v>
      </c>
      <c r="J2" cm="1">
        <f t="array" ref="J2:J9">_xlfn.SORTBY(Dashboard!O14:O21,Dashboard!N14:N21,1)</f>
        <v>1980</v>
      </c>
      <c r="L2" t="str" cm="1">
        <f t="array" ref="L2:L9">_xlfn.SORTBY(Dashboard!A14:A21,Dashboard!Q14:Q21,1)</f>
        <v>Karlastaden</v>
      </c>
      <c r="M2" cm="1">
        <f t="array" ref="M2:M9">_xlfn.SORTBY(Dashboard!Q14:Q21,Dashboard!Q14:Q21,1)</f>
        <v>0.55909090909090908</v>
      </c>
      <c r="O2" t="str" cm="1">
        <f t="array" ref="O2:O7">_xlfn.SORTBY(Dashboard!A22:A27,Dashboard!N22:N27,1)</f>
        <v>Lilla Edet</v>
      </c>
      <c r="P2" cm="1">
        <f t="array" ref="P2:P7">_xlfn.SORTBY(Dashboard!N22:N27,Dashboard!N22:N27,1)</f>
        <v>2281</v>
      </c>
      <c r="Q2" cm="1">
        <f t="array" ref="Q2:Q7">_xlfn.SORTBY(Dashboard!O22:O27,Dashboard!N22:N27,1)</f>
        <v>3638</v>
      </c>
      <c r="S2" t="str" cm="1">
        <f t="array" ref="S2:S7">_xlfn.SORTBY(Dashboard!A22:A27,Dashboard!Q22:Q27,1)</f>
        <v>Lilla Edet</v>
      </c>
      <c r="T2" cm="1">
        <f t="array" ref="T2:T7">_xlfn.SORTBY(Dashboard!Q22:Q27,Dashboard!Q22:Q27,1)</f>
        <v>0.6269928532160528</v>
      </c>
    </row>
    <row r="3" spans="1:20">
      <c r="A3" t="str">
        <v>Lilla Edet</v>
      </c>
      <c r="B3">
        <v>2281</v>
      </c>
      <c r="C3">
        <v>3638</v>
      </c>
      <c r="E3" t="str">
        <v>Lilla Edet</v>
      </c>
      <c r="F3">
        <v>0.6269928532160528</v>
      </c>
      <c r="H3" t="str">
        <v>Olskroken</v>
      </c>
      <c r="I3">
        <v>2424</v>
      </c>
      <c r="J3">
        <v>2935</v>
      </c>
      <c r="L3" t="str">
        <v>Frölunda Torg</v>
      </c>
      <c r="M3">
        <v>0.77701465201465203</v>
      </c>
      <c r="O3" t="str">
        <v>Stavre</v>
      </c>
      <c r="P3">
        <v>4232</v>
      </c>
      <c r="Q3">
        <v>4340</v>
      </c>
      <c r="S3" t="str">
        <v>Åmål</v>
      </c>
      <c r="T3">
        <v>0.72060497641892995</v>
      </c>
    </row>
    <row r="4" spans="1:20">
      <c r="A4" t="str">
        <v>Olskroken</v>
      </c>
      <c r="B4">
        <v>2424</v>
      </c>
      <c r="C4">
        <v>2935</v>
      </c>
      <c r="E4" t="str">
        <v>Åmål</v>
      </c>
      <c r="F4">
        <v>0.72060497641892995</v>
      </c>
      <c r="H4" t="str">
        <v>Pedagogen Park</v>
      </c>
      <c r="I4">
        <v>2479</v>
      </c>
      <c r="J4">
        <v>2725</v>
      </c>
      <c r="L4" t="str">
        <v>Majorna</v>
      </c>
      <c r="M4">
        <v>0.81244503078276165</v>
      </c>
      <c r="O4" t="str">
        <v>Åmål</v>
      </c>
      <c r="P4">
        <v>4431</v>
      </c>
      <c r="Q4">
        <v>6149</v>
      </c>
      <c r="S4" t="str">
        <v>Brålanda-Torpa</v>
      </c>
      <c r="T4">
        <v>0.90611835506519556</v>
      </c>
    </row>
    <row r="5" spans="1:20">
      <c r="A5" t="str">
        <v>Pedagogen Park</v>
      </c>
      <c r="B5">
        <v>2479</v>
      </c>
      <c r="C5">
        <v>2725</v>
      </c>
      <c r="E5" t="str">
        <v>Frölunda Torg</v>
      </c>
      <c r="F5">
        <v>0.77701465201465203</v>
      </c>
      <c r="H5" t="str">
        <v>Frölunda Torg</v>
      </c>
      <c r="I5">
        <v>3394</v>
      </c>
      <c r="J5">
        <v>4368</v>
      </c>
      <c r="L5" t="str">
        <v>Olskroken</v>
      </c>
      <c r="M5">
        <v>0.82589437819420786</v>
      </c>
      <c r="O5" t="str">
        <v>Brålanda-Torpa</v>
      </c>
      <c r="P5">
        <v>4517</v>
      </c>
      <c r="Q5">
        <v>4985</v>
      </c>
      <c r="S5" t="str">
        <v>Noltrop</v>
      </c>
      <c r="T5">
        <v>0.96404647983595348</v>
      </c>
    </row>
    <row r="6" spans="1:20">
      <c r="A6" t="str">
        <v>Frölunda Torg</v>
      </c>
      <c r="B6">
        <v>3394</v>
      </c>
      <c r="C6">
        <v>4368</v>
      </c>
      <c r="E6" t="str">
        <v>Majorna</v>
      </c>
      <c r="F6">
        <v>0.81244503078276165</v>
      </c>
      <c r="H6" t="str">
        <v>Majorna</v>
      </c>
      <c r="I6">
        <v>3695</v>
      </c>
      <c r="J6">
        <v>4548</v>
      </c>
      <c r="L6" t="str">
        <v>Avenyn</v>
      </c>
      <c r="M6">
        <v>0.84203954214360044</v>
      </c>
      <c r="O6" t="str">
        <v>Tanum och Fjällbacka</v>
      </c>
      <c r="P6">
        <v>4983</v>
      </c>
      <c r="Q6">
        <v>4394</v>
      </c>
      <c r="S6" t="str">
        <v>Stavre</v>
      </c>
      <c r="T6">
        <v>0.97511520737327184</v>
      </c>
    </row>
    <row r="7" spans="1:20">
      <c r="A7" t="str">
        <v>Majorna</v>
      </c>
      <c r="B7">
        <v>3695</v>
      </c>
      <c r="C7">
        <v>4548</v>
      </c>
      <c r="E7" t="str">
        <v>Olskroken</v>
      </c>
      <c r="F7">
        <v>0.82589437819420786</v>
      </c>
      <c r="H7" t="str">
        <v>Grimmered</v>
      </c>
      <c r="I7">
        <v>3774</v>
      </c>
      <c r="J7">
        <v>4115</v>
      </c>
      <c r="L7" t="str">
        <v>Pedagogen Park</v>
      </c>
      <c r="M7">
        <v>0.90972477064220181</v>
      </c>
      <c r="O7" t="str">
        <v>Noltrop</v>
      </c>
      <c r="P7">
        <v>7052</v>
      </c>
      <c r="Q7">
        <v>7315</v>
      </c>
      <c r="S7" t="str">
        <v>Tanum och Fjällbacka</v>
      </c>
      <c r="T7">
        <v>1.1340464269458352</v>
      </c>
    </row>
    <row r="8" spans="1:20">
      <c r="A8" t="str">
        <v>Grimmered</v>
      </c>
      <c r="B8">
        <v>3774</v>
      </c>
      <c r="C8">
        <v>4115</v>
      </c>
      <c r="E8" t="str">
        <v>Avenyn</v>
      </c>
      <c r="F8">
        <v>0.84203954214360044</v>
      </c>
      <c r="H8" t="str">
        <v>Åby</v>
      </c>
      <c r="I8">
        <v>4024</v>
      </c>
      <c r="J8">
        <v>4340</v>
      </c>
      <c r="L8" t="str">
        <v>Grimmered</v>
      </c>
      <c r="M8">
        <v>0.91713244228432567</v>
      </c>
    </row>
    <row r="9" spans="1:20">
      <c r="A9" t="str">
        <v>Åby</v>
      </c>
      <c r="B9">
        <v>4024</v>
      </c>
      <c r="C9">
        <v>4340</v>
      </c>
      <c r="E9" t="str">
        <v>Brålanda-Torpa</v>
      </c>
      <c r="F9">
        <v>0.90611835506519556</v>
      </c>
      <c r="H9" t="str">
        <v>Avenyn</v>
      </c>
      <c r="I9">
        <v>4046</v>
      </c>
      <c r="J9">
        <v>4805</v>
      </c>
      <c r="L9" t="str">
        <v>Åby</v>
      </c>
      <c r="M9">
        <v>0.9271889400921659</v>
      </c>
    </row>
    <row r="10" spans="1:20">
      <c r="A10" t="str">
        <v>Avenyn</v>
      </c>
      <c r="B10">
        <v>4046</v>
      </c>
      <c r="C10">
        <v>4805</v>
      </c>
      <c r="E10" t="str">
        <v>Pedagogen Park</v>
      </c>
      <c r="F10">
        <v>0.90972477064220181</v>
      </c>
    </row>
    <row r="11" spans="1:20">
      <c r="A11" t="str">
        <v>Stavre</v>
      </c>
      <c r="B11">
        <v>4232</v>
      </c>
      <c r="C11">
        <v>4340</v>
      </c>
      <c r="E11" t="str">
        <v>Grimmered</v>
      </c>
      <c r="F11">
        <v>0.91713244228432567</v>
      </c>
    </row>
    <row r="12" spans="1:20">
      <c r="A12" t="str">
        <v>Åmål</v>
      </c>
      <c r="B12">
        <v>4431</v>
      </c>
      <c r="C12">
        <v>6149</v>
      </c>
      <c r="E12" t="str">
        <v>Åby</v>
      </c>
      <c r="F12">
        <v>0.9271889400921659</v>
      </c>
    </row>
    <row r="13" spans="1:20">
      <c r="A13" t="str">
        <v>Brålanda-Torpa</v>
      </c>
      <c r="B13">
        <v>4517</v>
      </c>
      <c r="C13">
        <v>4985</v>
      </c>
      <c r="E13" t="str">
        <v>Noltrop</v>
      </c>
      <c r="F13">
        <v>0.96404647983595348</v>
      </c>
    </row>
    <row r="14" spans="1:20">
      <c r="A14" t="str">
        <v>Tanum och Fjällbacka</v>
      </c>
      <c r="B14">
        <v>4983</v>
      </c>
      <c r="C14">
        <v>4394</v>
      </c>
      <c r="E14" t="str">
        <v>Stavre</v>
      </c>
      <c r="F14">
        <v>0.97511520737327184</v>
      </c>
    </row>
    <row r="15" spans="1:20">
      <c r="A15" t="str">
        <v>Noltrop</v>
      </c>
      <c r="B15">
        <v>7052</v>
      </c>
      <c r="C15">
        <v>7315</v>
      </c>
      <c r="E15" t="str">
        <v>Tanum och Fjällbacka</v>
      </c>
      <c r="F15">
        <v>1.1340464269458352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18</vt:i4>
      </vt:variant>
    </vt:vector>
  </HeadingPairs>
  <TitlesOfParts>
    <vt:vector size="18" baseType="lpstr">
      <vt:lpstr>Dashboard</vt:lpstr>
      <vt:lpstr>Prognos April</vt:lpstr>
      <vt:lpstr>Enheterna AO VGR</vt:lpstr>
      <vt:lpstr>Frölunda Torg</vt:lpstr>
      <vt:lpstr>Grimmered</vt:lpstr>
      <vt:lpstr>Majorna</vt:lpstr>
      <vt:lpstr>Pedagogen Park</vt:lpstr>
      <vt:lpstr>Åby</vt:lpstr>
      <vt:lpstr>Olskroken</vt:lpstr>
      <vt:lpstr>Avenyn</vt:lpstr>
      <vt:lpstr>Karlastaden</vt:lpstr>
      <vt:lpstr>Tanum och Fjällbacka</vt:lpstr>
      <vt:lpstr>Brålanda-Torpa</vt:lpstr>
      <vt:lpstr>Noltrop</vt:lpstr>
      <vt:lpstr>Lilla Edet</vt:lpstr>
      <vt:lpstr>Stavre</vt:lpstr>
      <vt:lpstr>Åmål</vt:lpstr>
      <vt:lpstr>_ChartData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 Rieck</dc:creator>
  <cp:lastModifiedBy>Ezzat Rajab</cp:lastModifiedBy>
  <dcterms:created xsi:type="dcterms:W3CDTF">2026-02-16T09:36:14Z</dcterms:created>
  <dcterms:modified xsi:type="dcterms:W3CDTF">2026-05-03T14:47:59Z</dcterms:modified>
</cp:coreProperties>
</file>