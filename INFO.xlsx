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harts/chartEx1.xml" ContentType="application/vnd.ms-office.chartex+xml"/>
  <Override PartName="/xl/charts/style1.xml" ContentType="application/vnd.ms-office.chartstyle+xml"/>
  <Override PartName="/xl/charts/colors1.xml" ContentType="application/vnd.ms-office.chartcolorstyle+xml"/>
  <Override PartName="/xl/charts/chart1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2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ezzat.rajab.AD\claude-workspace\VGR Alla enheter\Dashboard\"/>
    </mc:Choice>
  </mc:AlternateContent>
  <xr:revisionPtr revIDLastSave="0" documentId="13_ncr:1_{8449C5C3-3D19-4BCE-99CF-858B65102402}" xr6:coauthVersionLast="47" xr6:coauthVersionMax="47" xr10:uidLastSave="{00000000-0000-0000-0000-000000000000}"/>
  <bookViews>
    <workbookView xWindow="-108" yWindow="-108" windowWidth="23256" windowHeight="12456" xr2:uid="{C7EECDDD-B360-4ED3-93ED-44C91AA1DB71}"/>
  </bookViews>
  <sheets>
    <sheet name="INFO" sheetId="1" r:id="rId1"/>
    <sheet name="KPI" sheetId="3" r:id="rId2"/>
    <sheet name="Org" sheetId="2" r:id="rId3"/>
  </sheets>
  <definedNames>
    <definedName name="_xlchart.v1.0" hidden="1">KPI!$A$3:$A$22</definedName>
    <definedName name="_xlchart.v1.1" hidden="1">KPI!$B$2</definedName>
    <definedName name="_xlchart.v1.2" hidden="1">KPI!$B$3:$B$22</definedName>
    <definedName name="_xlchart.v1.3" hidden="1">KPI!$C$2</definedName>
    <definedName name="_xlchart.v1.4" hidden="1">KPI!$C$3:$C$22</definedName>
    <definedName name="_xlchart.v1.5" hidden="1">KPI!$D$2</definedName>
    <definedName name="_xlchart.v1.6" hidden="1">KPI!$D$3:$D$22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64" i="3" l="1"/>
  <c r="D64" i="3"/>
  <c r="E64" i="3"/>
  <c r="F64" i="3"/>
  <c r="G64" i="3"/>
  <c r="H64" i="3"/>
  <c r="I64" i="3"/>
  <c r="J64" i="3"/>
  <c r="K64" i="3"/>
  <c r="L64" i="3"/>
  <c r="M64" i="3"/>
  <c r="B64" i="3"/>
  <c r="B45" i="3"/>
  <c r="D42" i="3"/>
  <c r="M42" i="3"/>
  <c r="M45" i="3" s="1"/>
  <c r="L42" i="3"/>
  <c r="L45" i="3" s="1"/>
  <c r="K42" i="3"/>
  <c r="K45" i="3" s="1"/>
  <c r="J42" i="3"/>
  <c r="J45" i="3" s="1"/>
  <c r="I42" i="3"/>
  <c r="I45" i="3" s="1"/>
  <c r="H42" i="3"/>
  <c r="H45" i="3" s="1"/>
  <c r="G42" i="3"/>
  <c r="G45" i="3" s="1"/>
  <c r="F42" i="3"/>
  <c r="F45" i="3" s="1"/>
  <c r="E42" i="3"/>
  <c r="E45" i="3" s="1"/>
  <c r="D45" i="3"/>
  <c r="C42" i="3"/>
  <c r="C45" i="3" s="1"/>
  <c r="B42" i="3"/>
  <c r="D23" i="3"/>
  <c r="C23" i="3"/>
  <c r="B23" i="3"/>
  <c r="B22" i="3"/>
  <c r="B21" i="3"/>
  <c r="B20" i="3"/>
  <c r="B19" i="3"/>
  <c r="B18" i="3"/>
  <c r="B17" i="3"/>
  <c r="B16" i="3"/>
  <c r="B15" i="3"/>
  <c r="B14" i="3"/>
  <c r="B13" i="3"/>
  <c r="B12" i="3"/>
  <c r="B11" i="3"/>
  <c r="B10" i="3"/>
  <c r="B9" i="3"/>
  <c r="B8" i="3"/>
  <c r="B7" i="3"/>
  <c r="B6" i="3"/>
  <c r="B5" i="3"/>
  <c r="B4" i="3"/>
  <c r="B3" i="3"/>
</calcChain>
</file>

<file path=xl/sharedStrings.xml><?xml version="1.0" encoding="utf-8"?>
<sst xmlns="http://schemas.openxmlformats.org/spreadsheetml/2006/main" count="310" uniqueCount="123">
  <si>
    <t>Antal listade pat</t>
  </si>
  <si>
    <t>KST</t>
  </si>
  <si>
    <t>Diff</t>
  </si>
  <si>
    <t>Citysjukhuset Plus 7 vårdcentral</t>
  </si>
  <si>
    <t>Kvarterskliniken Avenyn</t>
  </si>
  <si>
    <t>Kvarterskliniken Husaren</t>
  </si>
  <si>
    <t>Kvarterskliniken Karlastaden</t>
  </si>
  <si>
    <t>Kvarterskliniken Lorensberg</t>
  </si>
  <si>
    <t>Kvarterskliniken Tanum</t>
  </si>
  <si>
    <t>Medpro Clinic Brålanda-Torpa Vårdcentral</t>
  </si>
  <si>
    <t>003</t>
  </si>
  <si>
    <t>Medpro Clinic Lilla Edet Vårdcentral</t>
  </si>
  <si>
    <t>006</t>
  </si>
  <si>
    <t>Medpro Clinic Noltorp Vårdcentral</t>
  </si>
  <si>
    <t>005</t>
  </si>
  <si>
    <t>Medpro Clinic Stavre Vårdcentral</t>
  </si>
  <si>
    <t>008</t>
  </si>
  <si>
    <t>Medpro Clinic Åmål Vårdcentral</t>
  </si>
  <si>
    <t>014</t>
  </si>
  <si>
    <t>Omtanken Vårdcentral Frölunda Torg</t>
  </si>
  <si>
    <t>Omtanken Vårdcentral Grimmered</t>
  </si>
  <si>
    <t>Omtanken Vårdcentral Kviberg</t>
  </si>
  <si>
    <t>Omtanken Vårdcentral Kållered</t>
  </si>
  <si>
    <t>Omtanken Vårdcentral Landala</t>
  </si>
  <si>
    <t>Omtanken Vårdcentral Majorna</t>
  </si>
  <si>
    <t>Omtanken Vårdcentral Olskroken</t>
  </si>
  <si>
    <t>Omtanken Vårdcentral Pedagogen Park</t>
  </si>
  <si>
    <t>Omtanken Vårdcentral Åby</t>
  </si>
  <si>
    <t>Antal listningpoäng</t>
  </si>
  <si>
    <t>ACG casemix</t>
  </si>
  <si>
    <t>Huvudintäkter (VGR)</t>
  </si>
  <si>
    <t>Medical staff</t>
  </si>
  <si>
    <t xml:space="preserve">Other direct costs </t>
  </si>
  <si>
    <t>VC Frölunda Torg</t>
  </si>
  <si>
    <t>Anna Victorin</t>
  </si>
  <si>
    <t>Rehab Frölunda Torg</t>
  </si>
  <si>
    <t>VC Grimmered</t>
  </si>
  <si>
    <t>Rehab Grimmered</t>
  </si>
  <si>
    <t>VC Majorna</t>
  </si>
  <si>
    <t>Mats Norin/Louise</t>
  </si>
  <si>
    <t>Rehab Majorna</t>
  </si>
  <si>
    <t>VC Landala</t>
  </si>
  <si>
    <t>Maria Sahl</t>
  </si>
  <si>
    <t>VC Pedagogen Park</t>
  </si>
  <si>
    <t>Inger Apelskog</t>
  </si>
  <si>
    <t>Rehab Pedagogen Park</t>
  </si>
  <si>
    <t>VC Åby</t>
  </si>
  <si>
    <t>Caroline Olsson</t>
  </si>
  <si>
    <t>Rehab Åby</t>
  </si>
  <si>
    <t>VC Kållered</t>
  </si>
  <si>
    <t>VC Kviberg</t>
  </si>
  <si>
    <t>Linda Fröjd</t>
  </si>
  <si>
    <t>VC Olskroken</t>
  </si>
  <si>
    <t>Theresia Nilhag</t>
  </si>
  <si>
    <t>Rehab Olskroken</t>
  </si>
  <si>
    <t>VC Avenyn</t>
  </si>
  <si>
    <t>Mats Norin</t>
  </si>
  <si>
    <t>Rehab Avenyn</t>
  </si>
  <si>
    <t>VC Lorensberg</t>
  </si>
  <si>
    <t>VC Husaren</t>
  </si>
  <si>
    <t>VC Karlastaden</t>
  </si>
  <si>
    <t>Rehab Karlastaden</t>
  </si>
  <si>
    <t>VC City VC</t>
  </si>
  <si>
    <t>Amanda Lidström</t>
  </si>
  <si>
    <t>VC City Spec</t>
  </si>
  <si>
    <t>Lovisa Friberg</t>
  </si>
  <si>
    <t>REGION: TATORT</t>
  </si>
  <si>
    <t>VC Torpa</t>
  </si>
  <si>
    <t>Misala</t>
  </si>
  <si>
    <t>Rehab Torpa</t>
  </si>
  <si>
    <t>VC Noltorp</t>
  </si>
  <si>
    <t>Ulrika Klugge</t>
  </si>
  <si>
    <t>Rehab Noltorp</t>
  </si>
  <si>
    <t>VC Lilla Edet</t>
  </si>
  <si>
    <t>Susanne Törnblom</t>
  </si>
  <si>
    <t>Rehab Lilla Edet</t>
  </si>
  <si>
    <t>VC Stavre</t>
  </si>
  <si>
    <t>Maria Nyqvist</t>
  </si>
  <si>
    <t>Rehab Stavre</t>
  </si>
  <si>
    <t>VC Åmål</t>
  </si>
  <si>
    <t>Fredrik</t>
  </si>
  <si>
    <t>Rehab Åmål</t>
  </si>
  <si>
    <t>VC Tanum</t>
  </si>
  <si>
    <t>Theres E</t>
  </si>
  <si>
    <t>Rehab Tanum</t>
  </si>
  <si>
    <t>Fjällbacka Rehab</t>
  </si>
  <si>
    <t>Brålanda Rehab</t>
  </si>
  <si>
    <t>Skapad: 2026-04-01 | Controller: Ezzat Rajab</t>
  </si>
  <si>
    <t>MEDTANKEN GROUP - VGR AO</t>
  </si>
  <si>
    <t>Västra Götaland Region "VGR"</t>
  </si>
  <si>
    <t>REGION: STOR-GÖTEBORG</t>
  </si>
  <si>
    <t>015</t>
  </si>
  <si>
    <t>Enhetsnamn</t>
  </si>
  <si>
    <t>VEC</t>
  </si>
  <si>
    <t>Listning</t>
  </si>
  <si>
    <t>förändring</t>
  </si>
  <si>
    <t>202602</t>
  </si>
  <si>
    <t>202603</t>
  </si>
  <si>
    <t>Karlastaden</t>
  </si>
  <si>
    <t>Stavre</t>
  </si>
  <si>
    <t>Olskroken</t>
  </si>
  <si>
    <t>Noltorp</t>
  </si>
  <si>
    <t>Kviberg</t>
  </si>
  <si>
    <t>Grimmered</t>
  </si>
  <si>
    <t>Kållered</t>
  </si>
  <si>
    <t>Pedagogen Park</t>
  </si>
  <si>
    <t>Åby</t>
  </si>
  <si>
    <t>Lorensberg</t>
  </si>
  <si>
    <t>Husaren</t>
  </si>
  <si>
    <t>Tanum</t>
  </si>
  <si>
    <t>Avenyn</t>
  </si>
  <si>
    <t>Åmål</t>
  </si>
  <si>
    <t>Majorna</t>
  </si>
  <si>
    <t>Landala</t>
  </si>
  <si>
    <t>Lilla Edet</t>
  </si>
  <si>
    <t>Frölunda Torg</t>
  </si>
  <si>
    <t>Brålanda-Torpa</t>
  </si>
  <si>
    <t>City</t>
  </si>
  <si>
    <t>Teambesök / VGR</t>
  </si>
  <si>
    <t>Brålanda</t>
  </si>
  <si>
    <t>Torpa</t>
  </si>
  <si>
    <t>Fjällbacka - Tanum</t>
  </si>
  <si>
    <t>Rehab Poäng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</si>
</sst>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##;\-#,##0.##"/>
  </numFmts>
  <fonts count="8" x14ac:knownFonts="1">
    <font>
      <sz val="11"/>
      <color theme="1"/>
      <name val="Aptos Narrow"/>
      <family val="2"/>
      <scheme val="minor"/>
    </font>
    <font>
      <sz val="11"/>
      <name val="Aptos Narrow"/>
    </font>
    <font>
      <b/>
      <sz val="18"/>
      <color rgb="FFFFFFFF"/>
      <name val="Calibri"/>
    </font>
    <font>
      <i/>
      <sz val="11"/>
      <name val="Calibri"/>
    </font>
    <font>
      <b/>
      <sz val="11"/>
      <color rgb="FFFFFFFF"/>
      <name val="Calibri"/>
    </font>
    <font>
      <b/>
      <sz val="11"/>
      <color rgb="FF000000"/>
      <name val="Calibri"/>
    </font>
    <font>
      <i/>
      <sz val="9"/>
      <color rgb="FF666666"/>
      <name val="Calibri"/>
    </font>
    <font>
      <b/>
      <sz val="11"/>
      <color theme="1"/>
      <name val="Aptos Narrow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2" tint="-0.249977111117893"/>
        <bgColor indexed="64"/>
      </patternFill>
    </fill>
    <fill>
      <patternFill patternType="solid">
        <fgColor rgb="FF4472C4"/>
        <bgColor rgb="FF4472C4"/>
      </patternFill>
    </fill>
    <fill>
      <patternFill patternType="solid">
        <fgColor rgb="FF8EA9DB"/>
        <bgColor rgb="FF8EA9DB"/>
      </patternFill>
    </fill>
    <fill>
      <patternFill patternType="solid">
        <fgColor rgb="FFB4C7E7"/>
        <bgColor rgb="FFB4C7E7"/>
      </patternFill>
    </fill>
    <fill>
      <patternFill patternType="solid">
        <fgColor theme="0" tint="-0.249977111117893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0"/>
    <xf numFmtId="0" fontId="1" fillId="0" borderId="0"/>
  </cellStyleXfs>
  <cellXfs count="23">
    <xf numFmtId="0" fontId="0" fillId="0" borderId="0" xfId="0"/>
    <xf numFmtId="1" fontId="0" fillId="0" borderId="0" xfId="0" applyNumberFormat="1"/>
    <xf numFmtId="2" fontId="0" fillId="0" borderId="0" xfId="0" applyNumberFormat="1"/>
    <xf numFmtId="0" fontId="0" fillId="2" borderId="0" xfId="0" applyFill="1"/>
    <xf numFmtId="0" fontId="0" fillId="0" borderId="0" xfId="0" applyAlignment="1">
      <alignment horizontal="right"/>
    </xf>
    <xf numFmtId="0" fontId="0" fillId="2" borderId="0" xfId="0" applyFill="1" applyAlignment="1">
      <alignment horizontal="right"/>
    </xf>
    <xf numFmtId="164" fontId="0" fillId="0" borderId="0" xfId="0" applyNumberFormat="1"/>
    <xf numFmtId="37" fontId="0" fillId="0" borderId="0" xfId="0" applyNumberFormat="1"/>
    <xf numFmtId="3" fontId="0" fillId="0" borderId="0" xfId="0" applyNumberFormat="1"/>
    <xf numFmtId="3" fontId="1" fillId="0" borderId="0" xfId="1" applyNumberFormat="1"/>
    <xf numFmtId="0" fontId="5" fillId="5" borderId="1" xfId="0" applyFont="1" applyFill="1" applyBorder="1" applyAlignment="1">
      <alignment horizontal="center" vertical="center" wrapText="1"/>
    </xf>
    <xf numFmtId="0" fontId="0" fillId="0" borderId="0" xfId="0" applyAlignment="1">
      <alignment horizontal="left"/>
    </xf>
    <xf numFmtId="0" fontId="5" fillId="5" borderId="1" xfId="0" applyFont="1" applyFill="1" applyBorder="1" applyAlignment="1">
      <alignment horizontal="left" vertical="center" wrapText="1"/>
    </xf>
    <xf numFmtId="0" fontId="0" fillId="0" borderId="0" xfId="0" quotePrefix="1" applyAlignment="1">
      <alignment horizontal="left"/>
    </xf>
    <xf numFmtId="0" fontId="7" fillId="0" borderId="0" xfId="0" applyFont="1"/>
    <xf numFmtId="0" fontId="0" fillId="6" borderId="0" xfId="0" applyFill="1"/>
    <xf numFmtId="0" fontId="2" fillId="3" borderId="0" xfId="0" applyFont="1" applyFill="1" applyAlignment="1">
      <alignment horizontal="center" vertical="center"/>
    </xf>
    <xf numFmtId="0" fontId="0" fillId="0" borderId="0" xfId="0"/>
    <xf numFmtId="0" fontId="3" fillId="0" borderId="0" xfId="0" applyFont="1"/>
    <xf numFmtId="0" fontId="4" fillId="4" borderId="1" xfId="0" applyFont="1" applyFill="1" applyBorder="1" applyAlignment="1">
      <alignment horizontal="center" vertical="center" wrapText="1"/>
    </xf>
    <xf numFmtId="0" fontId="0" fillId="0" borderId="2" xfId="0" applyBorder="1"/>
    <xf numFmtId="0" fontId="0" fillId="0" borderId="3" xfId="0" applyBorder="1"/>
    <xf numFmtId="0" fontId="6" fillId="0" borderId="0" xfId="0" applyFont="1"/>
  </cellXfs>
  <cellStyles count="2">
    <cellStyle name="Normal" xfId="0" builtinId="0"/>
    <cellStyle name="Normal 2" xfId="1" xr:uid="{8F78E5FA-E3FC-49D7-AC26-0F65D6DF40A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Ex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sv-S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sv-SE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Rehab Teambesök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sv-SE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sv-SE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KPI!$B$44:$M$44</c:f>
              <c:numCache>
                <c:formatCode>General</c:formatCode>
                <c:ptCount val="12"/>
                <c:pt idx="0">
                  <c:v>202504</c:v>
                </c:pt>
                <c:pt idx="1">
                  <c:v>202505</c:v>
                </c:pt>
                <c:pt idx="2">
                  <c:v>202506</c:v>
                </c:pt>
                <c:pt idx="3">
                  <c:v>202507</c:v>
                </c:pt>
                <c:pt idx="4">
                  <c:v>202508</c:v>
                </c:pt>
                <c:pt idx="5">
                  <c:v>202509</c:v>
                </c:pt>
                <c:pt idx="6">
                  <c:v>202510</c:v>
                </c:pt>
                <c:pt idx="7">
                  <c:v>202511</c:v>
                </c:pt>
                <c:pt idx="8">
                  <c:v>202512</c:v>
                </c:pt>
                <c:pt idx="9">
                  <c:v>202601</c:v>
                </c:pt>
                <c:pt idx="10">
                  <c:v>202602</c:v>
                </c:pt>
                <c:pt idx="11">
                  <c:v>202603</c:v>
                </c:pt>
              </c:numCache>
            </c:numRef>
          </c:cat>
          <c:val>
            <c:numRef>
              <c:f>KPI!$B$45:$M$45</c:f>
              <c:numCache>
                <c:formatCode>General</c:formatCode>
                <c:ptCount val="12"/>
                <c:pt idx="0">
                  <c:v>572</c:v>
                </c:pt>
                <c:pt idx="1">
                  <c:v>475</c:v>
                </c:pt>
                <c:pt idx="2">
                  <c:v>462</c:v>
                </c:pt>
                <c:pt idx="3">
                  <c:v>339</c:v>
                </c:pt>
                <c:pt idx="4">
                  <c:v>358</c:v>
                </c:pt>
                <c:pt idx="5">
                  <c:v>661</c:v>
                </c:pt>
                <c:pt idx="6">
                  <c:v>514</c:v>
                </c:pt>
                <c:pt idx="7">
                  <c:v>522</c:v>
                </c:pt>
                <c:pt idx="8">
                  <c:v>421</c:v>
                </c:pt>
                <c:pt idx="9">
                  <c:v>470</c:v>
                </c:pt>
                <c:pt idx="10">
                  <c:v>585</c:v>
                </c:pt>
                <c:pt idx="11">
                  <c:v>687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5E4-49DA-94DB-C27A1B2F6B69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852691167"/>
        <c:axId val="852685407"/>
      </c:barChart>
      <c:catAx>
        <c:axId val="85269116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sv-SE"/>
          </a:p>
        </c:txPr>
        <c:crossAx val="852685407"/>
        <c:crosses val="autoZero"/>
        <c:auto val="1"/>
        <c:lblAlgn val="ctr"/>
        <c:lblOffset val="100"/>
        <c:noMultiLvlLbl val="0"/>
      </c:catAx>
      <c:valAx>
        <c:axId val="85268540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sv-SE"/>
          </a:p>
        </c:txPr>
        <c:crossAx val="85269116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sv-SE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sv-S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sv-SE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Rehab poäng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sv-SE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sv-SE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KPI!$C$48:$M$48</c:f>
              <c:numCache>
                <c:formatCode>General</c:formatCode>
                <c:ptCount val="11"/>
                <c:pt idx="0">
                  <c:v>202505</c:v>
                </c:pt>
                <c:pt idx="1">
                  <c:v>202506</c:v>
                </c:pt>
                <c:pt idx="2">
                  <c:v>202507</c:v>
                </c:pt>
                <c:pt idx="3">
                  <c:v>202508</c:v>
                </c:pt>
                <c:pt idx="4">
                  <c:v>202509</c:v>
                </c:pt>
                <c:pt idx="5">
                  <c:v>202510</c:v>
                </c:pt>
                <c:pt idx="6">
                  <c:v>202511</c:v>
                </c:pt>
                <c:pt idx="7">
                  <c:v>202512</c:v>
                </c:pt>
                <c:pt idx="8">
                  <c:v>202601</c:v>
                </c:pt>
                <c:pt idx="9">
                  <c:v>202602</c:v>
                </c:pt>
                <c:pt idx="10">
                  <c:v>202603</c:v>
                </c:pt>
              </c:numCache>
            </c:numRef>
          </c:cat>
          <c:val>
            <c:numRef>
              <c:f>KPI!$C$64:$M$64</c:f>
              <c:numCache>
                <c:formatCode>General</c:formatCode>
                <c:ptCount val="11"/>
                <c:pt idx="0">
                  <c:v>12815</c:v>
                </c:pt>
                <c:pt idx="1">
                  <c:v>11303</c:v>
                </c:pt>
                <c:pt idx="2">
                  <c:v>9415</c:v>
                </c:pt>
                <c:pt idx="3">
                  <c:v>9501</c:v>
                </c:pt>
                <c:pt idx="4">
                  <c:v>14255</c:v>
                </c:pt>
                <c:pt idx="5">
                  <c:v>13841</c:v>
                </c:pt>
                <c:pt idx="6">
                  <c:v>13104</c:v>
                </c:pt>
                <c:pt idx="7">
                  <c:v>10573</c:v>
                </c:pt>
                <c:pt idx="8">
                  <c:v>11481</c:v>
                </c:pt>
                <c:pt idx="9">
                  <c:v>13017</c:v>
                </c:pt>
                <c:pt idx="10">
                  <c:v>14538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487-4AF3-8342-099C02CB3E94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658097759"/>
        <c:axId val="658099199"/>
      </c:barChart>
      <c:catAx>
        <c:axId val="65809775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sv-SE"/>
          </a:p>
        </c:txPr>
        <c:crossAx val="658099199"/>
        <c:crosses val="autoZero"/>
        <c:auto val="1"/>
        <c:lblAlgn val="ctr"/>
        <c:lblOffset val="100"/>
        <c:noMultiLvlLbl val="0"/>
      </c:catAx>
      <c:valAx>
        <c:axId val="65809919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sv-SE"/>
          </a:p>
        </c:txPr>
        <c:crossAx val="65809775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sv-SE"/>
    </a:p>
  </c:txPr>
  <c:printSettings>
    <c:headerFooter/>
    <c:pageMargins b="0.75" l="0.7" r="0.7" t="0.75" header="0.3" footer="0.3"/>
    <c:pageSetup/>
  </c:printSettings>
</c:chartSpace>
</file>

<file path=xl/charts/chartEx1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>_xlchart.v1.0</cx:f>
      </cx:strDim>
      <cx:numDim type="val">
        <cx:f>_xlchart.v1.2</cx:f>
      </cx:numDim>
    </cx:data>
    <cx:data id="1">
      <cx:strDim type="cat">
        <cx:f>_xlchart.v1.0</cx:f>
      </cx:strDim>
      <cx:numDim type="val">
        <cx:f>_xlchart.v1.4</cx:f>
      </cx:numDim>
    </cx:data>
    <cx:data id="2">
      <cx:strDim type="cat">
        <cx:f>_xlchart.v1.0</cx:f>
      </cx:strDim>
      <cx:numDim type="val">
        <cx:f>_xlchart.v1.6</cx:f>
      </cx:numDim>
    </cx:data>
  </cx:chartData>
  <cx:chart>
    <cx:title pos="t" align="ctr" overlay="0">
      <cx:tx>
        <cx:rich>
          <a:bodyPr spcFirstLastPara="1" vertOverflow="ellipsis" horzOverflow="overflow" wrap="square" lIns="0" tIns="0" rIns="0" bIns="0" anchor="ctr" anchorCtr="1"/>
          <a:lstStyle/>
          <a:p>
            <a:pPr marL="0" marR="0" lvl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lang="sv-SE" sz="1400" b="0" i="0" u="none" strike="noStrike" baseline="0">
                <a:solidFill>
                  <a:sysClr val="windowText" lastClr="000000">
                    <a:lumMod val="65000"/>
                    <a:lumOff val="35000"/>
                  </a:sysClr>
                </a:solidFill>
                <a:effectLst/>
                <a:latin typeface="Aptos Narrow" panose="02110004020202020204"/>
                <a:ea typeface="Calibri" panose="020F0502020204030204" pitchFamily="34" charset="0"/>
                <a:cs typeface="Calibri" panose="020F0502020204030204" pitchFamily="34" charset="0"/>
              </a:rPr>
              <a:t>Listningsförändring Mars 2026</a:t>
            </a:r>
            <a:endParaRPr lang="sv-SE">
              <a:effectLst/>
            </a:endParaRPr>
          </a:p>
        </cx:rich>
      </cx:tx>
    </cx:title>
    <cx:plotArea>
      <cx:plotAreaRegion>
        <cx:series layoutId="waterfall" uniqueId="{A274186C-5EAC-4B35-BA9D-E45A21722B06}" formatIdx="0">
          <cx:tx>
            <cx:txData>
              <cx:f>_xlchart.v1.1</cx:f>
              <cx:v>förändring</cx:v>
            </cx:txData>
          </cx:tx>
          <cx:dataLabels pos="outEnd">
            <cx:visibility seriesName="0" categoryName="0" value="1"/>
          </cx:dataLabels>
          <cx:dataId val="0"/>
          <cx:layoutPr>
            <cx:subtotals/>
          </cx:layoutPr>
        </cx:series>
        <cx:series layoutId="waterfall" hidden="1" uniqueId="{C8DFC57C-CDF4-4A4F-B0E2-91F1B692EFDB}" formatIdx="1">
          <cx:tx>
            <cx:txData>
              <cx:f>_xlchart.v1.3</cx:f>
              <cx:v>202602</cx:v>
            </cx:txData>
          </cx:tx>
          <cx:dataLabels pos="outEnd">
            <cx:visibility seriesName="0" categoryName="0" value="1"/>
          </cx:dataLabels>
          <cx:dataId val="1"/>
          <cx:layoutPr>
            <cx:subtotals/>
          </cx:layoutPr>
        </cx:series>
        <cx:series layoutId="waterfall" hidden="1" uniqueId="{5F596FDE-3E35-499D-A748-7169DF6016B4}" formatIdx="2">
          <cx:tx>
            <cx:txData>
              <cx:f>_xlchart.v1.5</cx:f>
              <cx:v>202603</cx:v>
            </cx:txData>
          </cx:tx>
          <cx:dataLabels pos="outEnd">
            <cx:visibility seriesName="0" categoryName="0" value="1"/>
          </cx:dataLabels>
          <cx:dataId val="2"/>
          <cx:layoutPr>
            <cx:subtotals/>
          </cx:layoutPr>
        </cx:series>
      </cx:plotAreaRegion>
      <cx:axis id="0">
        <cx:catScaling gapWidth="0.5"/>
        <cx:tickLabels/>
      </cx:axis>
      <cx:axis id="1">
        <cx:valScaling/>
        <cx:majorGridlines/>
        <cx:tickLabels/>
      </cx:axis>
    </cx:plotArea>
  </cx:chart>
</cx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95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2.xml"/><Relationship Id="rId2" Type="http://schemas.openxmlformats.org/officeDocument/2006/relationships/chart" Target="../charts/chart1.xml"/><Relationship Id="rId1" Type="http://schemas.microsoft.com/office/2014/relationships/chartEx" Target="../charts/chartEx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266700</xdr:colOff>
      <xdr:row>2</xdr:row>
      <xdr:rowOff>148590</xdr:rowOff>
    </xdr:from>
    <xdr:to>
      <xdr:col>16</xdr:col>
      <xdr:colOff>121920</xdr:colOff>
      <xdr:row>20</xdr:row>
      <xdr:rowOff>22860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2" name="Diagram 1">
              <a:extLst>
                <a:ext uri="{FF2B5EF4-FFF2-40B4-BE49-F238E27FC236}">
                  <a16:creationId xmlns:a16="http://schemas.microsoft.com/office/drawing/2014/main" id="{ECD76A58-EDB6-04CB-1992-00FCC95DB871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3665220" y="514350"/>
              <a:ext cx="6560820" cy="316611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sv-SE" sz="1100"/>
                <a:t>Det här diagrammet är inte tillgängligt i din version av Excel.
Om du redigerar figuren eller sparar arbetsboken i ett annat filformat bryts diagrammet permanent.</a:t>
              </a:r>
            </a:p>
          </xdr:txBody>
        </xdr:sp>
      </mc:Fallback>
    </mc:AlternateContent>
    <xdr:clientData/>
  </xdr:twoCellAnchor>
  <xdr:twoCellAnchor>
    <xdr:from>
      <xdr:col>13</xdr:col>
      <xdr:colOff>388620</xdr:colOff>
      <xdr:row>29</xdr:row>
      <xdr:rowOff>57150</xdr:rowOff>
    </xdr:from>
    <xdr:to>
      <xdr:col>21</xdr:col>
      <xdr:colOff>83820</xdr:colOff>
      <xdr:row>44</xdr:row>
      <xdr:rowOff>57150</xdr:rowOff>
    </xdr:to>
    <xdr:graphicFrame macro="">
      <xdr:nvGraphicFramePr>
        <xdr:cNvPr id="3" name="Diagram 2">
          <a:extLst>
            <a:ext uri="{FF2B5EF4-FFF2-40B4-BE49-F238E27FC236}">
              <a16:creationId xmlns:a16="http://schemas.microsoft.com/office/drawing/2014/main" id="{67B9758B-8DA0-FEEF-A54A-79AA1B3879C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13</xdr:col>
      <xdr:colOff>297180</xdr:colOff>
      <xdr:row>47</xdr:row>
      <xdr:rowOff>87630</xdr:rowOff>
    </xdr:from>
    <xdr:to>
      <xdr:col>22</xdr:col>
      <xdr:colOff>7620</xdr:colOff>
      <xdr:row>64</xdr:row>
      <xdr:rowOff>38100</xdr:rowOff>
    </xdr:to>
    <xdr:graphicFrame macro="">
      <xdr:nvGraphicFramePr>
        <xdr:cNvPr id="4" name="Diagram 3">
          <a:extLst>
            <a:ext uri="{FF2B5EF4-FFF2-40B4-BE49-F238E27FC236}">
              <a16:creationId xmlns:a16="http://schemas.microsoft.com/office/drawing/2014/main" id="{21467146-1D17-A121-78C5-9065B130EED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A9A6470-5E88-4A99-ADD5-C103B1419C86}" name="Tabell510" displayName="Tabell510" ref="A2:D23" totalsRowCount="1">
  <autoFilter ref="A2:D22" xr:uid="{DA9A6470-5E88-4A99-ADD5-C103B1419C86}"/>
  <sortState xmlns:xlrd2="http://schemas.microsoft.com/office/spreadsheetml/2017/richdata2" ref="A3:D22">
    <sortCondition descending="1" ref="B342:B362"/>
  </sortState>
  <tableColumns count="4">
    <tableColumn id="1" xr3:uid="{791CA14B-795A-465F-97DF-C10D00CEB4BD}" name="Listning"/>
    <tableColumn id="2" xr3:uid="{EBB96555-46BB-43DA-8218-C612CE28D539}" name="förändring" totalsRowFunction="sum">
      <calculatedColumnFormula>D3-C3</calculatedColumnFormula>
    </tableColumn>
    <tableColumn id="3" xr3:uid="{109AA4A7-0752-4527-9536-68DEB18A91F1}" name="202602" totalsRowFunction="sum"/>
    <tableColumn id="4" xr3:uid="{07369FA1-23BD-4AA3-9491-3AD7D91AB74B}" name="202603" totalsRowFunction="sum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-tema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EEF77D-0D74-418E-AAA0-0F1993DFF6EB}">
  <dimension ref="A1:O138"/>
  <sheetViews>
    <sheetView tabSelected="1" zoomScale="90" zoomScaleNormal="90" workbookViewId="0">
      <pane xSplit="1" topLeftCell="B1" activePane="topRight" state="frozen"/>
      <selection pane="topRight" activeCell="C120" sqref="C120"/>
    </sheetView>
  </sheetViews>
  <sheetFormatPr defaultRowHeight="14.4" x14ac:dyDescent="0.3"/>
  <cols>
    <col min="1" max="1" width="35.21875" bestFit="1" customWidth="1"/>
    <col min="2" max="12" width="17" bestFit="1" customWidth="1"/>
    <col min="13" max="13" width="12" customWidth="1"/>
    <col min="14" max="14" width="12.109375" style="4" customWidth="1"/>
    <col min="15" max="15" width="14.109375" style="4" customWidth="1"/>
  </cols>
  <sheetData>
    <row r="1" spans="1:15" x14ac:dyDescent="0.3">
      <c r="A1" t="s">
        <v>0</v>
      </c>
      <c r="B1" s="3">
        <v>202505</v>
      </c>
      <c r="C1" s="3">
        <v>202506</v>
      </c>
      <c r="D1" s="3">
        <v>202507</v>
      </c>
      <c r="E1" s="3">
        <v>202508</v>
      </c>
      <c r="F1" s="3">
        <v>202509</v>
      </c>
      <c r="G1" s="3">
        <v>202510</v>
      </c>
      <c r="H1" s="3">
        <v>202511</v>
      </c>
      <c r="I1" s="3">
        <v>202512</v>
      </c>
      <c r="J1" s="3">
        <v>202601</v>
      </c>
      <c r="K1" s="3">
        <v>202602</v>
      </c>
      <c r="L1" s="3">
        <v>202603</v>
      </c>
      <c r="M1" s="3">
        <v>202604</v>
      </c>
      <c r="N1" s="5" t="s">
        <v>1</v>
      </c>
      <c r="O1" s="4" t="s">
        <v>2</v>
      </c>
    </row>
    <row r="2" spans="1:15" x14ac:dyDescent="0.3">
      <c r="A2" t="s">
        <v>3</v>
      </c>
      <c r="B2">
        <v>6467</v>
      </c>
      <c r="C2">
        <v>6437</v>
      </c>
      <c r="D2">
        <v>6417</v>
      </c>
      <c r="E2">
        <v>6399</v>
      </c>
      <c r="F2">
        <v>6404</v>
      </c>
      <c r="G2">
        <v>6376</v>
      </c>
      <c r="H2">
        <v>6338</v>
      </c>
      <c r="I2">
        <v>6299</v>
      </c>
      <c r="J2">
        <v>6276</v>
      </c>
      <c r="K2">
        <v>6258</v>
      </c>
      <c r="L2">
        <v>6211</v>
      </c>
      <c r="N2" s="4">
        <v>4020</v>
      </c>
      <c r="O2" s="4">
        <v>-47</v>
      </c>
    </row>
    <row r="3" spans="1:15" x14ac:dyDescent="0.3">
      <c r="A3" t="s">
        <v>4</v>
      </c>
      <c r="B3">
        <v>6015</v>
      </c>
      <c r="C3">
        <v>6004</v>
      </c>
      <c r="D3">
        <v>6018</v>
      </c>
      <c r="E3">
        <v>6001</v>
      </c>
      <c r="F3">
        <v>5975</v>
      </c>
      <c r="G3">
        <v>5990</v>
      </c>
      <c r="H3">
        <v>5984</v>
      </c>
      <c r="I3">
        <v>5971</v>
      </c>
      <c r="J3">
        <v>5981</v>
      </c>
      <c r="K3">
        <v>5963</v>
      </c>
      <c r="L3">
        <v>5945</v>
      </c>
      <c r="N3" s="4">
        <v>302</v>
      </c>
      <c r="O3" s="4">
        <v>-18</v>
      </c>
    </row>
    <row r="4" spans="1:15" x14ac:dyDescent="0.3">
      <c r="A4" t="s">
        <v>5</v>
      </c>
      <c r="B4">
        <v>4379</v>
      </c>
      <c r="C4">
        <v>4352</v>
      </c>
      <c r="D4">
        <v>4329</v>
      </c>
      <c r="E4">
        <v>4320</v>
      </c>
      <c r="F4">
        <v>4293</v>
      </c>
      <c r="G4">
        <v>4287</v>
      </c>
      <c r="H4">
        <v>4273</v>
      </c>
      <c r="I4">
        <v>4266</v>
      </c>
      <c r="J4">
        <v>4251</v>
      </c>
      <c r="K4">
        <v>4226</v>
      </c>
      <c r="L4">
        <v>4213</v>
      </c>
      <c r="N4" s="4">
        <v>304</v>
      </c>
      <c r="O4" s="4">
        <v>-13</v>
      </c>
    </row>
    <row r="5" spans="1:15" x14ac:dyDescent="0.3">
      <c r="A5" t="s">
        <v>6</v>
      </c>
      <c r="B5">
        <v>878</v>
      </c>
      <c r="C5">
        <v>954</v>
      </c>
      <c r="D5">
        <v>1025</v>
      </c>
      <c r="E5">
        <v>1153</v>
      </c>
      <c r="F5">
        <v>1275</v>
      </c>
      <c r="G5">
        <v>1376</v>
      </c>
      <c r="H5">
        <v>1456</v>
      </c>
      <c r="I5">
        <v>1521</v>
      </c>
      <c r="J5">
        <v>1613</v>
      </c>
      <c r="K5">
        <v>1679</v>
      </c>
      <c r="L5">
        <v>1948</v>
      </c>
      <c r="N5" s="4">
        <v>15</v>
      </c>
      <c r="O5" s="4">
        <v>269</v>
      </c>
    </row>
    <row r="6" spans="1:15" x14ac:dyDescent="0.3">
      <c r="A6" t="s">
        <v>7</v>
      </c>
      <c r="B6">
        <v>1602</v>
      </c>
      <c r="C6">
        <v>1588</v>
      </c>
      <c r="D6">
        <v>1573</v>
      </c>
      <c r="E6">
        <v>1561</v>
      </c>
      <c r="F6">
        <v>1547</v>
      </c>
      <c r="G6">
        <v>1539</v>
      </c>
      <c r="H6">
        <v>1531</v>
      </c>
      <c r="I6">
        <v>1524</v>
      </c>
      <c r="J6">
        <v>1506</v>
      </c>
      <c r="K6">
        <v>1501</v>
      </c>
      <c r="L6">
        <v>1501</v>
      </c>
      <c r="N6" s="4">
        <v>303</v>
      </c>
      <c r="O6" s="4">
        <v>0</v>
      </c>
    </row>
    <row r="7" spans="1:15" x14ac:dyDescent="0.3">
      <c r="A7" t="s">
        <v>8</v>
      </c>
      <c r="B7">
        <v>4012</v>
      </c>
      <c r="C7">
        <v>4022</v>
      </c>
      <c r="D7">
        <v>4015</v>
      </c>
      <c r="E7">
        <v>4001</v>
      </c>
      <c r="F7">
        <v>4013</v>
      </c>
      <c r="G7">
        <v>4011</v>
      </c>
      <c r="H7">
        <v>4007</v>
      </c>
      <c r="I7">
        <v>3993</v>
      </c>
      <c r="J7">
        <v>3975</v>
      </c>
      <c r="K7">
        <v>3972</v>
      </c>
      <c r="L7">
        <v>3956</v>
      </c>
      <c r="N7" s="4">
        <v>305</v>
      </c>
      <c r="O7" s="4">
        <v>-16</v>
      </c>
    </row>
    <row r="8" spans="1:15" x14ac:dyDescent="0.3">
      <c r="A8" t="s">
        <v>9</v>
      </c>
      <c r="B8">
        <v>8454</v>
      </c>
      <c r="C8">
        <v>8449</v>
      </c>
      <c r="D8">
        <v>8397</v>
      </c>
      <c r="E8">
        <v>8365</v>
      </c>
      <c r="F8">
        <v>8318</v>
      </c>
      <c r="G8">
        <v>8269</v>
      </c>
      <c r="H8">
        <v>8248</v>
      </c>
      <c r="I8">
        <v>8237</v>
      </c>
      <c r="J8">
        <v>8213</v>
      </c>
      <c r="K8">
        <v>8337</v>
      </c>
      <c r="L8">
        <v>8305</v>
      </c>
      <c r="N8" s="4" t="s">
        <v>10</v>
      </c>
      <c r="O8" s="4">
        <v>-32</v>
      </c>
    </row>
    <row r="9" spans="1:15" x14ac:dyDescent="0.3">
      <c r="A9" t="s">
        <v>11</v>
      </c>
      <c r="B9">
        <v>7985</v>
      </c>
      <c r="C9">
        <v>7965</v>
      </c>
      <c r="D9">
        <v>7983</v>
      </c>
      <c r="E9">
        <v>7971</v>
      </c>
      <c r="F9">
        <v>7972</v>
      </c>
      <c r="G9">
        <v>7920</v>
      </c>
      <c r="H9">
        <v>7887</v>
      </c>
      <c r="I9">
        <v>7839</v>
      </c>
      <c r="J9">
        <v>7820</v>
      </c>
      <c r="K9">
        <v>7810</v>
      </c>
      <c r="L9">
        <v>7779</v>
      </c>
      <c r="N9" s="4" t="s">
        <v>12</v>
      </c>
      <c r="O9" s="4">
        <v>-31</v>
      </c>
    </row>
    <row r="10" spans="1:15" x14ac:dyDescent="0.3">
      <c r="A10" t="s">
        <v>13</v>
      </c>
      <c r="B10">
        <v>7073</v>
      </c>
      <c r="C10">
        <v>7093</v>
      </c>
      <c r="D10">
        <v>7086</v>
      </c>
      <c r="E10">
        <v>7098</v>
      </c>
      <c r="F10">
        <v>7095</v>
      </c>
      <c r="G10">
        <v>7118</v>
      </c>
      <c r="H10">
        <v>7137</v>
      </c>
      <c r="I10">
        <v>7141</v>
      </c>
      <c r="J10">
        <v>7145</v>
      </c>
      <c r="K10">
        <v>7183</v>
      </c>
      <c r="L10">
        <v>7208</v>
      </c>
      <c r="N10" s="4" t="s">
        <v>14</v>
      </c>
      <c r="O10" s="4">
        <v>25</v>
      </c>
    </row>
    <row r="11" spans="1:15" x14ac:dyDescent="0.3">
      <c r="A11" t="s">
        <v>15</v>
      </c>
      <c r="B11">
        <v>12862</v>
      </c>
      <c r="C11">
        <v>12907</v>
      </c>
      <c r="D11">
        <v>12925</v>
      </c>
      <c r="E11">
        <v>12949</v>
      </c>
      <c r="F11">
        <v>12951</v>
      </c>
      <c r="G11">
        <v>12961</v>
      </c>
      <c r="H11">
        <v>12951</v>
      </c>
      <c r="I11">
        <v>12956</v>
      </c>
      <c r="J11">
        <v>12971</v>
      </c>
      <c r="K11">
        <v>13051</v>
      </c>
      <c r="L11">
        <v>13086</v>
      </c>
      <c r="N11" s="4" t="s">
        <v>16</v>
      </c>
      <c r="O11" s="4">
        <v>35</v>
      </c>
    </row>
    <row r="12" spans="1:15" x14ac:dyDescent="0.3">
      <c r="A12" t="s">
        <v>17</v>
      </c>
      <c r="B12">
        <v>10872</v>
      </c>
      <c r="C12">
        <v>10863</v>
      </c>
      <c r="D12">
        <v>10858</v>
      </c>
      <c r="E12">
        <v>10812</v>
      </c>
      <c r="F12">
        <v>10801</v>
      </c>
      <c r="G12">
        <v>10771</v>
      </c>
      <c r="H12">
        <v>10740</v>
      </c>
      <c r="I12">
        <v>10719</v>
      </c>
      <c r="J12">
        <v>10671</v>
      </c>
      <c r="K12">
        <v>10632</v>
      </c>
      <c r="L12">
        <v>10608</v>
      </c>
      <c r="N12" s="4" t="s">
        <v>18</v>
      </c>
      <c r="O12" s="4">
        <v>-24</v>
      </c>
    </row>
    <row r="13" spans="1:15" x14ac:dyDescent="0.3">
      <c r="A13" t="s">
        <v>19</v>
      </c>
      <c r="B13">
        <v>8155</v>
      </c>
      <c r="C13">
        <v>8133</v>
      </c>
      <c r="D13">
        <v>8129</v>
      </c>
      <c r="E13">
        <v>8149</v>
      </c>
      <c r="F13">
        <v>8158</v>
      </c>
      <c r="G13">
        <v>8143</v>
      </c>
      <c r="H13">
        <v>8124</v>
      </c>
      <c r="I13">
        <v>8088</v>
      </c>
      <c r="J13">
        <v>8033</v>
      </c>
      <c r="K13">
        <v>8009</v>
      </c>
      <c r="L13">
        <v>7977</v>
      </c>
      <c r="N13" s="4">
        <v>102</v>
      </c>
      <c r="O13" s="4">
        <v>-32</v>
      </c>
    </row>
    <row r="14" spans="1:15" x14ac:dyDescent="0.3">
      <c r="A14" t="s">
        <v>20</v>
      </c>
      <c r="B14">
        <v>6869</v>
      </c>
      <c r="C14">
        <v>6890</v>
      </c>
      <c r="D14">
        <v>6878</v>
      </c>
      <c r="E14">
        <v>6918</v>
      </c>
      <c r="F14">
        <v>6940</v>
      </c>
      <c r="G14">
        <v>6966</v>
      </c>
      <c r="H14">
        <v>6951</v>
      </c>
      <c r="I14">
        <v>6977</v>
      </c>
      <c r="J14">
        <v>6971</v>
      </c>
      <c r="K14">
        <v>6969</v>
      </c>
      <c r="L14">
        <v>6984</v>
      </c>
      <c r="N14" s="4">
        <v>103</v>
      </c>
      <c r="O14" s="4">
        <v>15</v>
      </c>
    </row>
    <row r="15" spans="1:15" x14ac:dyDescent="0.3">
      <c r="A15" t="s">
        <v>21</v>
      </c>
      <c r="B15">
        <v>4219</v>
      </c>
      <c r="C15">
        <v>4224</v>
      </c>
      <c r="D15">
        <v>4223</v>
      </c>
      <c r="E15">
        <v>4253</v>
      </c>
      <c r="F15">
        <v>4265</v>
      </c>
      <c r="G15">
        <v>4270</v>
      </c>
      <c r="H15">
        <v>4280</v>
      </c>
      <c r="I15">
        <v>4285</v>
      </c>
      <c r="J15">
        <v>4325</v>
      </c>
      <c r="K15">
        <v>4332</v>
      </c>
      <c r="L15">
        <v>4349</v>
      </c>
      <c r="N15" s="4">
        <v>110</v>
      </c>
      <c r="O15" s="4">
        <v>17</v>
      </c>
    </row>
    <row r="16" spans="1:15" x14ac:dyDescent="0.3">
      <c r="A16" t="s">
        <v>22</v>
      </c>
      <c r="B16">
        <v>1541</v>
      </c>
      <c r="C16">
        <v>1541</v>
      </c>
      <c r="D16">
        <v>1539</v>
      </c>
      <c r="E16">
        <v>1539</v>
      </c>
      <c r="F16">
        <v>1527</v>
      </c>
      <c r="G16">
        <v>1519</v>
      </c>
      <c r="H16">
        <v>1511</v>
      </c>
      <c r="I16">
        <v>1528</v>
      </c>
      <c r="J16">
        <v>1541</v>
      </c>
      <c r="K16">
        <v>1535</v>
      </c>
      <c r="L16">
        <v>1545</v>
      </c>
      <c r="N16" s="4">
        <v>109</v>
      </c>
      <c r="O16" s="4">
        <v>10</v>
      </c>
    </row>
    <row r="17" spans="1:15" x14ac:dyDescent="0.3">
      <c r="A17" t="s">
        <v>23</v>
      </c>
      <c r="B17">
        <v>6866</v>
      </c>
      <c r="C17">
        <v>6774</v>
      </c>
      <c r="D17">
        <v>6712</v>
      </c>
      <c r="E17">
        <v>6696</v>
      </c>
      <c r="F17">
        <v>6634</v>
      </c>
      <c r="G17">
        <v>6564</v>
      </c>
      <c r="H17">
        <v>6537</v>
      </c>
      <c r="I17">
        <v>6481</v>
      </c>
      <c r="J17">
        <v>6448</v>
      </c>
      <c r="K17">
        <v>6431</v>
      </c>
      <c r="L17">
        <v>6401</v>
      </c>
      <c r="N17" s="4">
        <v>106</v>
      </c>
      <c r="O17" s="4">
        <v>-30</v>
      </c>
    </row>
    <row r="18" spans="1:15" x14ac:dyDescent="0.3">
      <c r="A18" t="s">
        <v>24</v>
      </c>
      <c r="B18">
        <v>6536</v>
      </c>
      <c r="C18">
        <v>6520</v>
      </c>
      <c r="D18">
        <v>6512</v>
      </c>
      <c r="E18">
        <v>6508</v>
      </c>
      <c r="F18">
        <v>6490</v>
      </c>
      <c r="G18">
        <v>6477</v>
      </c>
      <c r="H18">
        <v>6446</v>
      </c>
      <c r="I18">
        <v>6420</v>
      </c>
      <c r="J18">
        <v>6381</v>
      </c>
      <c r="K18">
        <v>6372</v>
      </c>
      <c r="L18">
        <v>6347</v>
      </c>
      <c r="N18" s="4">
        <v>104</v>
      </c>
      <c r="O18" s="4">
        <v>-25</v>
      </c>
    </row>
    <row r="19" spans="1:15" x14ac:dyDescent="0.3">
      <c r="A19" t="s">
        <v>25</v>
      </c>
      <c r="B19">
        <v>4503</v>
      </c>
      <c r="C19">
        <v>4528</v>
      </c>
      <c r="D19">
        <v>4546</v>
      </c>
      <c r="E19">
        <v>4619</v>
      </c>
      <c r="F19">
        <v>4679</v>
      </c>
      <c r="G19">
        <v>4707</v>
      </c>
      <c r="H19">
        <v>4740</v>
      </c>
      <c r="I19">
        <v>4776</v>
      </c>
      <c r="J19">
        <v>4809</v>
      </c>
      <c r="K19">
        <v>4845</v>
      </c>
      <c r="L19">
        <v>4876</v>
      </c>
      <c r="N19" s="4">
        <v>111</v>
      </c>
      <c r="O19" s="4">
        <v>31</v>
      </c>
    </row>
    <row r="20" spans="1:15" x14ac:dyDescent="0.3">
      <c r="A20" t="s">
        <v>26</v>
      </c>
      <c r="B20">
        <v>5780</v>
      </c>
      <c r="C20">
        <v>5786</v>
      </c>
      <c r="D20">
        <v>5761</v>
      </c>
      <c r="E20">
        <v>5738</v>
      </c>
      <c r="F20">
        <v>5710</v>
      </c>
      <c r="G20">
        <v>5688</v>
      </c>
      <c r="H20">
        <v>5659</v>
      </c>
      <c r="I20">
        <v>5635</v>
      </c>
      <c r="J20">
        <v>5621</v>
      </c>
      <c r="K20">
        <v>5623</v>
      </c>
      <c r="L20">
        <v>5631</v>
      </c>
      <c r="N20" s="4">
        <v>107</v>
      </c>
      <c r="O20" s="4">
        <v>8</v>
      </c>
    </row>
    <row r="21" spans="1:15" x14ac:dyDescent="0.3">
      <c r="A21" t="s">
        <v>27</v>
      </c>
      <c r="B21">
        <v>5041</v>
      </c>
      <c r="C21">
        <v>5030</v>
      </c>
      <c r="D21">
        <v>5020</v>
      </c>
      <c r="E21">
        <v>5022</v>
      </c>
      <c r="F21">
        <v>5013</v>
      </c>
      <c r="G21">
        <v>5009</v>
      </c>
      <c r="H21">
        <v>5019</v>
      </c>
      <c r="I21">
        <v>5028</v>
      </c>
      <c r="J21">
        <v>5043</v>
      </c>
      <c r="K21">
        <v>5034</v>
      </c>
      <c r="L21">
        <v>5042</v>
      </c>
      <c r="N21" s="4">
        <v>108</v>
      </c>
      <c r="O21" s="4">
        <v>8</v>
      </c>
    </row>
    <row r="22" spans="1:15" x14ac:dyDescent="0.3">
      <c r="B22">
        <v>68851</v>
      </c>
      <c r="C22">
        <v>68761</v>
      </c>
      <c r="D22">
        <v>68682</v>
      </c>
      <c r="E22">
        <v>68876</v>
      </c>
      <c r="F22">
        <v>68910</v>
      </c>
      <c r="G22">
        <v>68911</v>
      </c>
      <c r="H22">
        <v>68849</v>
      </c>
      <c r="I22">
        <v>68799</v>
      </c>
      <c r="J22">
        <v>68799</v>
      </c>
      <c r="K22">
        <v>119762</v>
      </c>
      <c r="L22">
        <v>119912</v>
      </c>
      <c r="O22" s="4">
        <v>150</v>
      </c>
    </row>
    <row r="23" spans="1:15" x14ac:dyDescent="0.3">
      <c r="B23">
        <v>-21</v>
      </c>
      <c r="C23">
        <v>-90</v>
      </c>
      <c r="D23">
        <v>-79</v>
      </c>
      <c r="E23">
        <v>194</v>
      </c>
      <c r="F23">
        <v>34</v>
      </c>
      <c r="G23">
        <v>1</v>
      </c>
      <c r="H23">
        <v>-62</v>
      </c>
      <c r="I23">
        <v>-50</v>
      </c>
      <c r="J23">
        <v>0</v>
      </c>
      <c r="K23">
        <v>50963</v>
      </c>
    </row>
    <row r="25" spans="1:15" x14ac:dyDescent="0.3">
      <c r="A25" s="3" t="s">
        <v>28</v>
      </c>
      <c r="B25" s="3">
        <v>202505</v>
      </c>
      <c r="C25" s="3">
        <v>202506</v>
      </c>
      <c r="D25" s="3">
        <v>202507</v>
      </c>
      <c r="E25" s="3">
        <v>202508</v>
      </c>
      <c r="F25" s="3">
        <v>202509</v>
      </c>
      <c r="G25" s="3">
        <v>202510</v>
      </c>
      <c r="H25" s="3">
        <v>202511</v>
      </c>
      <c r="I25" s="3">
        <v>202512</v>
      </c>
      <c r="J25" s="3">
        <v>202601</v>
      </c>
      <c r="K25" s="3">
        <v>202602</v>
      </c>
      <c r="L25" s="3">
        <v>202603</v>
      </c>
      <c r="M25" s="3">
        <v>202604</v>
      </c>
      <c r="N25" s="5" t="s">
        <v>1</v>
      </c>
    </row>
    <row r="26" spans="1:15" x14ac:dyDescent="0.3">
      <c r="A26" t="s">
        <v>3</v>
      </c>
      <c r="B26" s="1">
        <v>1821</v>
      </c>
      <c r="C26" s="1">
        <v>1809.81</v>
      </c>
      <c r="D26" s="1">
        <v>1806.84</v>
      </c>
      <c r="E26" s="1">
        <v>1805.32</v>
      </c>
      <c r="F26" s="1">
        <v>1804</v>
      </c>
      <c r="G26" s="1">
        <v>1792.6021288232823</v>
      </c>
      <c r="H26" s="1">
        <v>1785.5019627726003</v>
      </c>
      <c r="I26" s="1">
        <v>1775.23</v>
      </c>
      <c r="J26" s="1">
        <v>1772.6347903758749</v>
      </c>
      <c r="K26" s="1">
        <v>1777.8733346848123</v>
      </c>
      <c r="L26" s="1">
        <v>1771.5850469529389</v>
      </c>
      <c r="M26" s="1"/>
      <c r="N26" s="4">
        <v>4020</v>
      </c>
    </row>
    <row r="27" spans="1:15" x14ac:dyDescent="0.3">
      <c r="A27" t="s">
        <v>4</v>
      </c>
      <c r="B27" s="1">
        <v>2054</v>
      </c>
      <c r="C27" s="1">
        <v>2054</v>
      </c>
      <c r="D27" s="1">
        <v>2067</v>
      </c>
      <c r="E27" s="1">
        <v>2071.88</v>
      </c>
      <c r="F27" s="1">
        <v>2057</v>
      </c>
      <c r="G27" s="1">
        <v>2059.4542605337911</v>
      </c>
      <c r="H27" s="1">
        <v>2057.212665923752</v>
      </c>
      <c r="I27" s="1">
        <v>2055.9989999999998</v>
      </c>
      <c r="J27" s="1">
        <v>2062.6849284499244</v>
      </c>
      <c r="K27" s="1">
        <v>2054.5430448372558</v>
      </c>
      <c r="L27" s="1">
        <v>2060.5082794171917</v>
      </c>
      <c r="M27" s="1"/>
      <c r="N27" s="4">
        <v>302</v>
      </c>
    </row>
    <row r="28" spans="1:15" x14ac:dyDescent="0.3">
      <c r="A28" t="s">
        <v>5</v>
      </c>
      <c r="B28" s="1">
        <v>1303</v>
      </c>
      <c r="C28" s="1">
        <v>1303.95</v>
      </c>
      <c r="D28" s="1">
        <v>1302.3499999999999</v>
      </c>
      <c r="E28" s="1">
        <v>1296.6099999999999</v>
      </c>
      <c r="F28" s="1">
        <v>1288</v>
      </c>
      <c r="G28" s="1">
        <v>1276.1561084379541</v>
      </c>
      <c r="H28" s="1">
        <v>1276.9971743597428</v>
      </c>
      <c r="I28" s="1">
        <v>1277.136</v>
      </c>
      <c r="J28" s="1">
        <v>1286.7832747791026</v>
      </c>
      <c r="K28" s="1">
        <v>1279.5821527289754</v>
      </c>
      <c r="L28" s="1">
        <v>1273.2399459455114</v>
      </c>
      <c r="M28" s="1"/>
      <c r="N28" s="4">
        <v>304</v>
      </c>
    </row>
    <row r="29" spans="1:15" x14ac:dyDescent="0.3">
      <c r="A29" t="s">
        <v>6</v>
      </c>
      <c r="B29" s="1">
        <v>240</v>
      </c>
      <c r="C29" s="1">
        <v>263</v>
      </c>
      <c r="D29" s="1">
        <v>275.83999999999997</v>
      </c>
      <c r="E29" s="1">
        <v>297.61</v>
      </c>
      <c r="F29" s="1">
        <v>324</v>
      </c>
      <c r="G29" s="1">
        <v>348.86237673260808</v>
      </c>
      <c r="H29" s="1">
        <v>369.47881960161624</v>
      </c>
      <c r="I29" s="1">
        <v>383.64100000000002</v>
      </c>
      <c r="J29" s="1">
        <v>412.51453344935936</v>
      </c>
      <c r="K29" s="1">
        <v>429.35025088249859</v>
      </c>
      <c r="L29" s="1">
        <v>505.83877431548495</v>
      </c>
      <c r="M29" s="1"/>
      <c r="N29" s="4">
        <v>15</v>
      </c>
    </row>
    <row r="30" spans="1:15" x14ac:dyDescent="0.3">
      <c r="A30" t="s">
        <v>7</v>
      </c>
      <c r="B30" s="1">
        <v>532</v>
      </c>
      <c r="C30" s="1">
        <v>530</v>
      </c>
      <c r="D30" s="1">
        <v>526</v>
      </c>
      <c r="E30" s="1">
        <v>529.80999999999995</v>
      </c>
      <c r="F30" s="1">
        <v>528</v>
      </c>
      <c r="G30" s="1">
        <v>524.59090368176351</v>
      </c>
      <c r="H30" s="1">
        <v>523.3239267843195</v>
      </c>
      <c r="I30" s="1">
        <v>522.702</v>
      </c>
      <c r="J30" s="1">
        <v>520.10755257584265</v>
      </c>
      <c r="K30" s="1">
        <v>518.84278468153207</v>
      </c>
      <c r="L30" s="1">
        <v>517.46875586109297</v>
      </c>
      <c r="M30" s="1"/>
      <c r="N30" s="4">
        <v>303</v>
      </c>
    </row>
    <row r="31" spans="1:15" x14ac:dyDescent="0.3">
      <c r="A31" t="s">
        <v>8</v>
      </c>
      <c r="B31" s="7">
        <v>1438.4916481250805</v>
      </c>
      <c r="C31" s="7">
        <v>1446.9202571154967</v>
      </c>
      <c r="D31" s="7">
        <v>1438.2462494215722</v>
      </c>
      <c r="E31" s="7">
        <v>1424.9829949884681</v>
      </c>
      <c r="F31" s="7">
        <v>1434.9735252743124</v>
      </c>
      <c r="G31" s="7">
        <v>1435.8077064053668</v>
      </c>
      <c r="H31" s="7">
        <v>1432.9735658919694</v>
      </c>
      <c r="I31" s="7">
        <v>1427.1765011576472</v>
      </c>
      <c r="J31" s="7">
        <v>1418.1453193411069</v>
      </c>
      <c r="K31" s="7">
        <v>1422.0993987003376</v>
      </c>
      <c r="L31" s="7">
        <v>1419.3026373496709</v>
      </c>
      <c r="M31" s="1"/>
      <c r="N31" s="4">
        <v>305</v>
      </c>
    </row>
    <row r="32" spans="1:15" x14ac:dyDescent="0.3">
      <c r="A32" t="s">
        <v>9</v>
      </c>
      <c r="B32" s="7">
        <v>3055.7219403529048</v>
      </c>
      <c r="C32" s="7">
        <v>3054.5001587660322</v>
      </c>
      <c r="D32" s="7">
        <v>3056.4413048383039</v>
      </c>
      <c r="E32" s="7">
        <v>3059.4162156395455</v>
      </c>
      <c r="F32" s="7">
        <v>3056.1218443296916</v>
      </c>
      <c r="G32" s="7">
        <v>3016.7830472553273</v>
      </c>
      <c r="H32" s="7">
        <v>3011.4501229003877</v>
      </c>
      <c r="I32" s="7">
        <v>3010.2324883528213</v>
      </c>
      <c r="J32" s="7">
        <v>2995.2034034921307</v>
      </c>
      <c r="K32" s="7">
        <v>3027.5078819320042</v>
      </c>
      <c r="L32" s="7">
        <v>3014.9473266578279</v>
      </c>
      <c r="M32" s="1"/>
      <c r="N32" s="4" t="s">
        <v>10</v>
      </c>
    </row>
    <row r="33" spans="1:14" x14ac:dyDescent="0.3">
      <c r="A33" t="s">
        <v>11</v>
      </c>
      <c r="B33" s="7">
        <v>2814.3344601764529</v>
      </c>
      <c r="C33" s="7">
        <v>2819.2197571040092</v>
      </c>
      <c r="D33" s="7">
        <v>2836.5780582714297</v>
      </c>
      <c r="E33" s="7">
        <v>2839.9605805556512</v>
      </c>
      <c r="F33" s="7">
        <v>2835.1565500510196</v>
      </c>
      <c r="G33" s="7">
        <v>2825.6272930174232</v>
      </c>
      <c r="H33" s="7">
        <v>2818.2073042568391</v>
      </c>
      <c r="I33" s="7">
        <v>2803.4207654492407</v>
      </c>
      <c r="J33" s="7">
        <v>2804.5835354297164</v>
      </c>
      <c r="K33" s="7">
        <v>2784.6450630450681</v>
      </c>
      <c r="L33" s="7">
        <v>2771.1865104265926</v>
      </c>
      <c r="M33" s="1"/>
      <c r="N33" s="4" t="s">
        <v>12</v>
      </c>
    </row>
    <row r="34" spans="1:14" x14ac:dyDescent="0.3">
      <c r="A34" t="s">
        <v>13</v>
      </c>
      <c r="B34" s="7">
        <v>2587.0557575757994</v>
      </c>
      <c r="C34" s="7">
        <v>2592.955761646117</v>
      </c>
      <c r="D34" s="7">
        <v>2593.4681715770166</v>
      </c>
      <c r="E34" s="7">
        <v>2607.0726131652932</v>
      </c>
      <c r="F34" s="7">
        <v>2613.3357773923644</v>
      </c>
      <c r="G34" s="7">
        <v>2612.4064803356969</v>
      </c>
      <c r="H34" s="7">
        <v>2621.0438706326959</v>
      </c>
      <c r="I34" s="7">
        <v>2634.4532436923155</v>
      </c>
      <c r="J34" s="7">
        <v>2634.7001866538781</v>
      </c>
      <c r="K34" s="7">
        <v>2656.2140431368257</v>
      </c>
      <c r="L34" s="7">
        <v>2656.9904361556796</v>
      </c>
      <c r="M34" s="1"/>
      <c r="N34" s="4" t="s">
        <v>14</v>
      </c>
    </row>
    <row r="35" spans="1:14" x14ac:dyDescent="0.3">
      <c r="A35" t="s">
        <v>15</v>
      </c>
      <c r="B35" s="7">
        <v>4355.1454278401361</v>
      </c>
      <c r="C35" s="7">
        <v>4381.0866699937451</v>
      </c>
      <c r="D35" s="7">
        <v>4389.6184587597081</v>
      </c>
      <c r="E35" s="7">
        <v>4406.1151004521589</v>
      </c>
      <c r="F35" s="7">
        <v>4423.3053603204435</v>
      </c>
      <c r="G35" s="7">
        <v>4418.222471079097</v>
      </c>
      <c r="H35" s="7">
        <v>4405.2814883734754</v>
      </c>
      <c r="I35" s="7">
        <v>4414.2399528604783</v>
      </c>
      <c r="J35" s="7">
        <v>4408.8736123289236</v>
      </c>
      <c r="K35" s="7">
        <v>4420.1918684146049</v>
      </c>
      <c r="L35" s="7">
        <v>4442.6367927717301</v>
      </c>
      <c r="M35" s="1"/>
      <c r="N35" s="4" t="s">
        <v>16</v>
      </c>
    </row>
    <row r="36" spans="1:14" x14ac:dyDescent="0.3">
      <c r="A36" t="s">
        <v>17</v>
      </c>
      <c r="B36" s="7">
        <v>4197.5843397266344</v>
      </c>
      <c r="C36" s="7">
        <v>4196.406905944219</v>
      </c>
      <c r="D36" s="7">
        <v>4205.8020582914924</v>
      </c>
      <c r="E36" s="7">
        <v>4187.4679673217552</v>
      </c>
      <c r="F36" s="7">
        <v>4171.7308181146191</v>
      </c>
      <c r="G36" s="7">
        <v>4175.4210914704099</v>
      </c>
      <c r="H36" s="7">
        <v>4180.3151063313589</v>
      </c>
      <c r="I36" s="7">
        <v>4176.3252226222485</v>
      </c>
      <c r="J36" s="7">
        <v>4145.6004040218513</v>
      </c>
      <c r="K36" s="7">
        <v>4128.9906383331772</v>
      </c>
      <c r="L36" s="7">
        <v>4137.7910480338205</v>
      </c>
      <c r="M36" s="1"/>
      <c r="N36" s="4" t="s">
        <v>18</v>
      </c>
    </row>
    <row r="37" spans="1:14" x14ac:dyDescent="0.3">
      <c r="A37" t="s">
        <v>19</v>
      </c>
      <c r="B37" s="1">
        <v>2679</v>
      </c>
      <c r="C37" s="1">
        <v>2667</v>
      </c>
      <c r="D37" s="1">
        <v>2668.32</v>
      </c>
      <c r="E37" s="1">
        <v>2678.35</v>
      </c>
      <c r="F37" s="1">
        <v>2674</v>
      </c>
      <c r="G37" s="1">
        <v>2661.401299246259</v>
      </c>
      <c r="H37" s="1">
        <v>2651.7317190661975</v>
      </c>
      <c r="I37" s="1">
        <v>2642.123</v>
      </c>
      <c r="J37" s="1">
        <v>2621.626437643371</v>
      </c>
      <c r="K37" s="1">
        <v>2604.1029376810629</v>
      </c>
      <c r="L37" s="1">
        <v>2578.522183249293</v>
      </c>
      <c r="M37" s="1"/>
      <c r="N37" s="4">
        <v>102</v>
      </c>
    </row>
    <row r="38" spans="1:14" x14ac:dyDescent="0.3">
      <c r="A38" t="s">
        <v>20</v>
      </c>
      <c r="B38" s="1">
        <v>2183</v>
      </c>
      <c r="C38" s="1">
        <v>2213</v>
      </c>
      <c r="D38" s="1">
        <v>2201.69</v>
      </c>
      <c r="E38" s="1">
        <v>2197</v>
      </c>
      <c r="F38" s="1">
        <v>2193</v>
      </c>
      <c r="G38" s="1">
        <v>2210.1801168478996</v>
      </c>
      <c r="H38" s="1">
        <v>2210.9300476067028</v>
      </c>
      <c r="I38" s="1">
        <v>2230.8879999999999</v>
      </c>
      <c r="J38" s="1">
        <v>2242.4797800602541</v>
      </c>
      <c r="K38" s="1">
        <v>2246.9921347640611</v>
      </c>
      <c r="L38" s="1">
        <v>2257.7479681300633</v>
      </c>
      <c r="M38" s="1"/>
      <c r="N38" s="4">
        <v>103</v>
      </c>
    </row>
    <row r="39" spans="1:14" x14ac:dyDescent="0.3">
      <c r="A39" t="s">
        <v>21</v>
      </c>
      <c r="B39" s="1">
        <v>1193</v>
      </c>
      <c r="C39" s="1">
        <v>1208</v>
      </c>
      <c r="D39" s="1">
        <v>1202.81</v>
      </c>
      <c r="E39" s="1">
        <v>1200</v>
      </c>
      <c r="F39" s="1">
        <v>1193</v>
      </c>
      <c r="G39" s="1">
        <v>1197.9489061202432</v>
      </c>
      <c r="H39" s="1">
        <v>1212.2264887152187</v>
      </c>
      <c r="I39" s="1">
        <v>1218.4559999999999</v>
      </c>
      <c r="J39" s="1">
        <v>1244.5998211745541</v>
      </c>
      <c r="K39" s="1">
        <v>1257.1429329150976</v>
      </c>
      <c r="L39" s="1">
        <v>1249.1161662442423</v>
      </c>
      <c r="M39" s="1"/>
      <c r="N39" s="4">
        <v>110</v>
      </c>
    </row>
    <row r="40" spans="1:14" x14ac:dyDescent="0.3">
      <c r="A40" t="s">
        <v>22</v>
      </c>
      <c r="B40" s="1">
        <v>430</v>
      </c>
      <c r="C40" s="1">
        <v>433</v>
      </c>
      <c r="D40" s="1">
        <v>430.43</v>
      </c>
      <c r="E40" s="1">
        <v>431.76</v>
      </c>
      <c r="F40" s="1">
        <v>429</v>
      </c>
      <c r="G40" s="1">
        <v>427.0326541586054</v>
      </c>
      <c r="H40" s="1">
        <v>420.61048902339041</v>
      </c>
      <c r="I40" s="1">
        <v>425.142</v>
      </c>
      <c r="J40" s="1">
        <v>427.61582553413967</v>
      </c>
      <c r="K40" s="1">
        <v>422.71977034765922</v>
      </c>
      <c r="L40" s="1">
        <v>427.28400675633969</v>
      </c>
      <c r="M40" s="1"/>
      <c r="N40" s="4">
        <v>109</v>
      </c>
    </row>
    <row r="41" spans="1:14" x14ac:dyDescent="0.3">
      <c r="A41" t="s">
        <v>23</v>
      </c>
      <c r="B41" s="1">
        <v>1917</v>
      </c>
      <c r="C41" s="1">
        <v>1896</v>
      </c>
      <c r="D41" s="1">
        <v>1879.57</v>
      </c>
      <c r="E41" s="1">
        <v>1872.3</v>
      </c>
      <c r="F41" s="1">
        <v>1856</v>
      </c>
      <c r="G41" s="1">
        <v>1840.8150262992895</v>
      </c>
      <c r="H41" s="1">
        <v>1838.9235470007468</v>
      </c>
      <c r="I41" s="1">
        <v>1833.8130000000001</v>
      </c>
      <c r="J41" s="1">
        <v>1833.3991888677695</v>
      </c>
      <c r="K41" s="1">
        <v>1828.9247222125514</v>
      </c>
      <c r="L41" s="1">
        <v>1818.9322685356503</v>
      </c>
      <c r="M41" s="1"/>
      <c r="N41" s="4">
        <v>106</v>
      </c>
    </row>
    <row r="42" spans="1:14" x14ac:dyDescent="0.3">
      <c r="A42" t="s">
        <v>24</v>
      </c>
      <c r="B42" s="1">
        <v>2033</v>
      </c>
      <c r="C42" s="1">
        <v>2037</v>
      </c>
      <c r="D42" s="1">
        <v>2031.37</v>
      </c>
      <c r="E42" s="1">
        <v>2022.83</v>
      </c>
      <c r="F42" s="1">
        <v>2020</v>
      </c>
      <c r="G42" s="1">
        <v>2020.4946757835576</v>
      </c>
      <c r="H42" s="1">
        <v>2000.3657881142815</v>
      </c>
      <c r="I42" s="1">
        <v>1994.5340000000001</v>
      </c>
      <c r="J42" s="1">
        <v>1987.2639298585261</v>
      </c>
      <c r="K42" s="1">
        <v>1967.0331556704652</v>
      </c>
      <c r="L42" s="1">
        <v>1955.6892686303447</v>
      </c>
      <c r="M42" s="1"/>
      <c r="N42" s="4">
        <v>104</v>
      </c>
    </row>
    <row r="43" spans="1:14" x14ac:dyDescent="0.3">
      <c r="A43" t="s">
        <v>25</v>
      </c>
      <c r="B43" s="1">
        <v>1569</v>
      </c>
      <c r="C43" s="1">
        <v>1595</v>
      </c>
      <c r="D43" s="1">
        <v>1604.17</v>
      </c>
      <c r="E43" s="1">
        <v>1624</v>
      </c>
      <c r="F43" s="1">
        <v>1652</v>
      </c>
      <c r="G43" s="1">
        <v>1653.5612532118992</v>
      </c>
      <c r="H43" s="1">
        <v>1674.5155369470533</v>
      </c>
      <c r="I43" s="1">
        <v>1684.434</v>
      </c>
      <c r="J43" s="1">
        <v>1696.969607008607</v>
      </c>
      <c r="K43" s="1">
        <v>1721.5701844507237</v>
      </c>
      <c r="L43" s="1">
        <v>1734.5907856725719</v>
      </c>
      <c r="M43" s="1"/>
      <c r="N43" s="4">
        <v>111</v>
      </c>
    </row>
    <row r="44" spans="1:14" x14ac:dyDescent="0.3">
      <c r="A44" t="s">
        <v>26</v>
      </c>
      <c r="B44" s="1">
        <v>1659</v>
      </c>
      <c r="C44" s="1">
        <v>1659</v>
      </c>
      <c r="D44" s="1">
        <v>1642.52</v>
      </c>
      <c r="E44" s="1">
        <v>1642.77</v>
      </c>
      <c r="F44" s="1">
        <v>1633</v>
      </c>
      <c r="G44" s="1">
        <v>1627.7906758958502</v>
      </c>
      <c r="H44" s="1">
        <v>1631.5022242619132</v>
      </c>
      <c r="I44" s="1">
        <v>1628.088</v>
      </c>
      <c r="J44" s="1">
        <v>1625.0381961293569</v>
      </c>
      <c r="K44" s="1">
        <v>1634.0787261357686</v>
      </c>
      <c r="L44" s="1">
        <v>1649.9325591447987</v>
      </c>
      <c r="M44" s="1"/>
      <c r="N44" s="4">
        <v>107</v>
      </c>
    </row>
    <row r="45" spans="1:14" x14ac:dyDescent="0.3">
      <c r="A45" t="s">
        <v>27</v>
      </c>
      <c r="B45" s="1">
        <v>1603</v>
      </c>
      <c r="C45" s="1">
        <v>1596</v>
      </c>
      <c r="D45" s="1">
        <v>1586.95</v>
      </c>
      <c r="E45" s="1">
        <v>1581.42</v>
      </c>
      <c r="F45" s="1">
        <v>1579</v>
      </c>
      <c r="G45" s="1">
        <v>1573.8366712787677</v>
      </c>
      <c r="H45" s="1">
        <v>1580.5985232945964</v>
      </c>
      <c r="I45" s="1">
        <v>1578.722</v>
      </c>
      <c r="J45" s="1">
        <v>1584.5940074096447</v>
      </c>
      <c r="K45" s="1">
        <v>1587.5774877950716</v>
      </c>
      <c r="L45" s="1">
        <v>1593.5838401036633</v>
      </c>
      <c r="M45" s="1"/>
      <c r="N45" s="4">
        <v>108</v>
      </c>
    </row>
    <row r="46" spans="1:14" x14ac:dyDescent="0.3">
      <c r="B46" s="1">
        <v>21216</v>
      </c>
      <c r="C46" s="1">
        <v>21264.760000000002</v>
      </c>
      <c r="D46" s="1">
        <v>21225.86</v>
      </c>
      <c r="E46" s="1">
        <v>21251.660000000003</v>
      </c>
      <c r="F46" s="1">
        <v>21230</v>
      </c>
      <c r="G46" s="1">
        <v>21214.727057051768</v>
      </c>
      <c r="H46" s="1">
        <v>21233.918913472131</v>
      </c>
      <c r="I46" s="1">
        <v>21250.908000000003</v>
      </c>
      <c r="J46" s="1">
        <v>21318.311873316325</v>
      </c>
      <c r="K46" s="1">
        <v>39769.982513349547</v>
      </c>
      <c r="L46" s="1">
        <v>39836.894600354521</v>
      </c>
      <c r="M46" s="1"/>
    </row>
    <row r="48" spans="1:14" x14ac:dyDescent="0.3">
      <c r="A48" s="3" t="s">
        <v>29</v>
      </c>
      <c r="B48" s="3">
        <v>202505</v>
      </c>
      <c r="C48" s="3">
        <v>202506</v>
      </c>
      <c r="D48" s="3">
        <v>202507</v>
      </c>
      <c r="E48" s="3">
        <v>202508</v>
      </c>
      <c r="F48" s="3">
        <v>202509</v>
      </c>
      <c r="G48" s="3">
        <v>202510</v>
      </c>
      <c r="H48" s="3">
        <v>202511</v>
      </c>
      <c r="I48" s="3">
        <v>202512</v>
      </c>
      <c r="J48" s="3">
        <v>202601</v>
      </c>
      <c r="K48" s="3">
        <v>202602</v>
      </c>
      <c r="L48" s="3">
        <v>202603</v>
      </c>
      <c r="M48" s="3"/>
      <c r="N48" s="5" t="s">
        <v>1</v>
      </c>
    </row>
    <row r="49" spans="1:14" x14ac:dyDescent="0.3">
      <c r="A49" t="s">
        <v>3</v>
      </c>
      <c r="B49" s="2">
        <v>0.95107247840893505</v>
      </c>
      <c r="C49" s="2">
        <v>0.951907019851434</v>
      </c>
      <c r="D49" s="2">
        <v>0.96322926564829003</v>
      </c>
      <c r="E49" s="2">
        <v>0.96961355370487001</v>
      </c>
      <c r="F49" s="2">
        <v>0.98133214857495998</v>
      </c>
      <c r="G49" s="2">
        <v>0.99035259023644395</v>
      </c>
      <c r="H49" s="2">
        <v>0.99304918562342803</v>
      </c>
      <c r="I49" s="2">
        <v>1.014383537697491</v>
      </c>
      <c r="J49" s="2">
        <v>1.0067128606387601</v>
      </c>
      <c r="K49" s="2">
        <v>1.0059425347595441</v>
      </c>
      <c r="L49" s="2">
        <v>0.99591763061032201</v>
      </c>
      <c r="M49" s="2"/>
      <c r="N49" s="4">
        <v>4020</v>
      </c>
    </row>
    <row r="50" spans="1:14" x14ac:dyDescent="0.3">
      <c r="A50" t="s">
        <v>4</v>
      </c>
      <c r="B50" s="2">
        <v>0.997710675445456</v>
      </c>
      <c r="C50" s="2">
        <v>0.98556347285142198</v>
      </c>
      <c r="D50" s="2">
        <v>0.98021903021829404</v>
      </c>
      <c r="E50" s="2">
        <v>0.97543844005859703</v>
      </c>
      <c r="F50" s="2">
        <v>0.98015176147238403</v>
      </c>
      <c r="G50" s="2">
        <v>0.98970980580594303</v>
      </c>
      <c r="H50" s="2">
        <v>0.98740021452040205</v>
      </c>
      <c r="I50" s="2">
        <v>1.0025639590606981</v>
      </c>
      <c r="J50" s="2">
        <v>0.99909259031963404</v>
      </c>
      <c r="K50" s="2">
        <v>1.008666847954784</v>
      </c>
      <c r="L50" s="2">
        <v>1.0179057706100161</v>
      </c>
      <c r="M50" s="2"/>
      <c r="N50" s="4">
        <v>302</v>
      </c>
    </row>
    <row r="51" spans="1:14" x14ac:dyDescent="0.3">
      <c r="A51" t="s">
        <v>5</v>
      </c>
      <c r="B51" s="2">
        <v>0.88174449793763199</v>
      </c>
      <c r="C51" s="2">
        <v>0.88279128087469105</v>
      </c>
      <c r="D51" s="2">
        <v>0.89443921234634904</v>
      </c>
      <c r="E51" s="2">
        <v>0.90232455824083002</v>
      </c>
      <c r="F51" s="2">
        <v>0.90421143513654201</v>
      </c>
      <c r="G51" s="2">
        <v>0.91182600794574198</v>
      </c>
      <c r="H51" s="2">
        <v>0.91242282019915999</v>
      </c>
      <c r="I51" s="2">
        <v>0.93226291328099797</v>
      </c>
      <c r="J51" s="2">
        <v>0.93564399646470897</v>
      </c>
      <c r="K51" s="2">
        <v>0.94237832763268803</v>
      </c>
      <c r="L51" s="2">
        <v>0.93863720580364796</v>
      </c>
      <c r="M51" s="2"/>
      <c r="N51" s="4">
        <v>304</v>
      </c>
    </row>
    <row r="52" spans="1:14" x14ac:dyDescent="0.3">
      <c r="A52" t="s">
        <v>6</v>
      </c>
      <c r="B52" s="2">
        <v>0.910301463033797</v>
      </c>
      <c r="C52" s="2">
        <v>0.92467725246836296</v>
      </c>
      <c r="D52" s="2">
        <v>0.94036779795712599</v>
      </c>
      <c r="E52" s="2">
        <v>0.91189915626066498</v>
      </c>
      <c r="F52" s="2">
        <v>0.90291571166638795</v>
      </c>
      <c r="G52" s="2">
        <v>0.92886065007150098</v>
      </c>
      <c r="H52" s="2">
        <v>0.95469264842864299</v>
      </c>
      <c r="I52" s="2">
        <v>0.97126982696902997</v>
      </c>
      <c r="J52" s="2">
        <v>0.98795358103953301</v>
      </c>
      <c r="K52" s="2">
        <v>1.0042476504359801</v>
      </c>
      <c r="L52" s="2">
        <v>1.011332276501286</v>
      </c>
      <c r="M52" s="2"/>
      <c r="N52" s="4">
        <v>15</v>
      </c>
    </row>
    <row r="53" spans="1:14" x14ac:dyDescent="0.3">
      <c r="A53" t="s">
        <v>7</v>
      </c>
      <c r="B53" s="2">
        <v>0.85365010807816599</v>
      </c>
      <c r="C53" s="2">
        <v>0.85490046465034797</v>
      </c>
      <c r="D53" s="2">
        <v>0.85275454881090995</v>
      </c>
      <c r="E53" s="2">
        <v>0.844839065273151</v>
      </c>
      <c r="F53" s="2">
        <v>0.84488720554089602</v>
      </c>
      <c r="G53" s="2">
        <v>0.83872827471326605</v>
      </c>
      <c r="H53" s="2">
        <v>0.83728296051651196</v>
      </c>
      <c r="I53" s="2">
        <v>0.83749337165906301</v>
      </c>
      <c r="J53" s="2">
        <v>0.84340985159327098</v>
      </c>
      <c r="K53" s="2">
        <v>0.85321029475093502</v>
      </c>
      <c r="L53" s="2">
        <v>0.874557987977162</v>
      </c>
      <c r="M53" s="2"/>
      <c r="N53" s="4">
        <v>303</v>
      </c>
    </row>
    <row r="54" spans="1:14" x14ac:dyDescent="0.3">
      <c r="A54" t="s">
        <v>8</v>
      </c>
      <c r="B54" s="6">
        <v>1.0798039064515459</v>
      </c>
      <c r="C54" s="6">
        <v>1.0793921843187539</v>
      </c>
      <c r="D54" s="6">
        <v>1.0836175839029709</v>
      </c>
      <c r="E54" s="6">
        <v>1.0859224494871069</v>
      </c>
      <c r="F54" s="6">
        <v>1.094534102792883</v>
      </c>
      <c r="G54" s="6">
        <v>1.1084101298208371</v>
      </c>
      <c r="H54" s="6">
        <v>1.1192687444943581</v>
      </c>
      <c r="I54" s="6">
        <v>1.1129056533516219</v>
      </c>
      <c r="J54" s="6">
        <v>1.1136269649594459</v>
      </c>
      <c r="K54" s="6">
        <v>1.1059852773523411</v>
      </c>
      <c r="L54" s="6">
        <v>1.1065000270644689</v>
      </c>
      <c r="M54" s="2"/>
      <c r="N54" s="4">
        <v>305</v>
      </c>
    </row>
    <row r="55" spans="1:14" x14ac:dyDescent="0.3">
      <c r="A55" t="s">
        <v>9</v>
      </c>
      <c r="B55" s="6">
        <v>0.96477573040028597</v>
      </c>
      <c r="C55" s="6">
        <v>0.96421846766679398</v>
      </c>
      <c r="D55" s="6">
        <v>0.96017420491904204</v>
      </c>
      <c r="E55" s="6">
        <v>0.95790121813742701</v>
      </c>
      <c r="F55" s="6">
        <v>0.95768424935021201</v>
      </c>
      <c r="G55" s="6">
        <v>0.94990427717598303</v>
      </c>
      <c r="H55" s="6">
        <v>0.94793121439938399</v>
      </c>
      <c r="I55" s="6">
        <v>0.94747106831553096</v>
      </c>
      <c r="J55" s="6">
        <v>0.95990575859217997</v>
      </c>
      <c r="K55" s="6">
        <v>0.96276650204704906</v>
      </c>
      <c r="L55" s="6">
        <v>0.969762629703951</v>
      </c>
      <c r="M55" s="2"/>
      <c r="N55" s="4" t="s">
        <v>10</v>
      </c>
    </row>
    <row r="56" spans="1:14" x14ac:dyDescent="0.3">
      <c r="A56" t="s">
        <v>11</v>
      </c>
      <c r="B56" s="6">
        <v>0.96271064213824098</v>
      </c>
      <c r="C56" s="6">
        <v>0.96411665049681905</v>
      </c>
      <c r="D56" s="6">
        <v>0.96777908767532095</v>
      </c>
      <c r="E56" s="6">
        <v>0.96974628342700897</v>
      </c>
      <c r="F56" s="6">
        <v>0.97124209302800002</v>
      </c>
      <c r="G56" s="6">
        <v>0.97918050797012701</v>
      </c>
      <c r="H56" s="6">
        <v>0.98153870371204899</v>
      </c>
      <c r="I56" s="6">
        <v>0.98426029494177003</v>
      </c>
      <c r="J56" s="6">
        <v>0.98192136964572496</v>
      </c>
      <c r="K56" s="6">
        <v>0.97539180486990995</v>
      </c>
      <c r="L56" s="6">
        <v>0.97227186591697501</v>
      </c>
      <c r="M56" s="2"/>
      <c r="N56" s="4" t="s">
        <v>12</v>
      </c>
    </row>
    <row r="57" spans="1:14" x14ac:dyDescent="0.3">
      <c r="A57" t="s">
        <v>13</v>
      </c>
      <c r="B57" s="6">
        <v>1.0826050074690869</v>
      </c>
      <c r="C57" s="6">
        <v>1.077455824423456</v>
      </c>
      <c r="D57" s="6">
        <v>1.077577133926737</v>
      </c>
      <c r="E57" s="6">
        <v>1.0817668089406891</v>
      </c>
      <c r="F57" s="6">
        <v>1.084310907386991</v>
      </c>
      <c r="G57" s="6">
        <v>1.0839172348498409</v>
      </c>
      <c r="H57" s="6">
        <v>1.082511996785116</v>
      </c>
      <c r="I57" s="6">
        <v>1.0746985390655941</v>
      </c>
      <c r="J57" s="6">
        <v>1.0724931398080091</v>
      </c>
      <c r="K57" s="6">
        <v>1.0760794225023409</v>
      </c>
      <c r="L57" s="6">
        <v>1.0806801343326959</v>
      </c>
      <c r="M57" s="2"/>
      <c r="N57" s="4" t="s">
        <v>14</v>
      </c>
    </row>
    <row r="58" spans="1:14" x14ac:dyDescent="0.3">
      <c r="A58" t="s">
        <v>15</v>
      </c>
      <c r="B58" s="6">
        <v>1.109867605390257</v>
      </c>
      <c r="C58" s="6">
        <v>1.116973344615781</v>
      </c>
      <c r="D58" s="6">
        <v>1.1231968213653429</v>
      </c>
      <c r="E58" s="6">
        <v>1.1221301696336441</v>
      </c>
      <c r="F58" s="6">
        <v>1.1232564533769669</v>
      </c>
      <c r="G58" s="6">
        <v>1.123234809801003</v>
      </c>
      <c r="H58" s="6">
        <v>1.118410848536602</v>
      </c>
      <c r="I58" s="6">
        <v>1.1109635318841591</v>
      </c>
      <c r="J58" s="6">
        <v>1.111380163245943</v>
      </c>
      <c r="K58" s="6">
        <v>1.1079909335849241</v>
      </c>
      <c r="L58" s="6">
        <v>1.108569948081455</v>
      </c>
      <c r="M58" s="2"/>
      <c r="N58" s="4" t="s">
        <v>16</v>
      </c>
    </row>
    <row r="59" spans="1:14" x14ac:dyDescent="0.3">
      <c r="A59" t="s">
        <v>17</v>
      </c>
      <c r="B59" s="6">
        <v>1.06941351074783</v>
      </c>
      <c r="C59" s="6">
        <v>1.065714846663131</v>
      </c>
      <c r="D59" s="6">
        <v>1.0591976942201871</v>
      </c>
      <c r="E59" s="6">
        <v>1.0650199817679129</v>
      </c>
      <c r="F59" s="6">
        <v>1.0621119020778611</v>
      </c>
      <c r="G59" s="6">
        <v>1.064881639212311</v>
      </c>
      <c r="H59" s="6">
        <v>1.0562053596304799</v>
      </c>
      <c r="I59" s="6">
        <v>1.04995043742576</v>
      </c>
      <c r="J59" s="6">
        <v>1.038393601002386</v>
      </c>
      <c r="K59" s="6">
        <v>1.0287372185153461</v>
      </c>
      <c r="L59" s="6">
        <v>1.036804472218728</v>
      </c>
      <c r="M59" s="2"/>
      <c r="N59" s="4" t="s">
        <v>18</v>
      </c>
    </row>
    <row r="60" spans="1:14" x14ac:dyDescent="0.3">
      <c r="A60" t="s">
        <v>19</v>
      </c>
      <c r="B60" s="2">
        <v>1.029831802436006</v>
      </c>
      <c r="C60" s="2">
        <v>1.024745269265575</v>
      </c>
      <c r="D60" s="2">
        <v>1.01550845514831</v>
      </c>
      <c r="E60" s="2">
        <v>1.0142644442952089</v>
      </c>
      <c r="F60" s="2">
        <v>1.0089771075619931</v>
      </c>
      <c r="G60" s="2">
        <v>1.0068867308044891</v>
      </c>
      <c r="H60" s="2">
        <v>0.99956986193226804</v>
      </c>
      <c r="I60" s="2">
        <v>0.99682260883901097</v>
      </c>
      <c r="J60" s="2">
        <v>0.98628166150450403</v>
      </c>
      <c r="K60" s="2">
        <v>0.98163635701280405</v>
      </c>
      <c r="L60" s="2">
        <v>0.97900657712478401</v>
      </c>
      <c r="M60" s="2"/>
      <c r="N60" s="4">
        <v>102</v>
      </c>
    </row>
    <row r="61" spans="1:14" x14ac:dyDescent="0.3">
      <c r="A61" t="s">
        <v>20</v>
      </c>
      <c r="B61" s="2">
        <v>0.92312710027579803</v>
      </c>
      <c r="C61" s="2">
        <v>0.923699399710039</v>
      </c>
      <c r="D61" s="2">
        <v>0.93016301653508404</v>
      </c>
      <c r="E61" s="2">
        <v>0.92386170417448499</v>
      </c>
      <c r="F61" s="2">
        <v>0.91179797714662203</v>
      </c>
      <c r="G61" s="2">
        <v>0.90559316775793897</v>
      </c>
      <c r="H61" s="2">
        <v>0.90304054929132305</v>
      </c>
      <c r="I61" s="2">
        <v>0.900126797524058</v>
      </c>
      <c r="J61" s="2">
        <v>0.89803685917132703</v>
      </c>
      <c r="K61" s="2">
        <v>0.89683373288475998</v>
      </c>
      <c r="L61" s="2">
        <v>0.88281973871225305</v>
      </c>
      <c r="M61" s="2"/>
      <c r="N61" s="4">
        <v>103</v>
      </c>
    </row>
    <row r="62" spans="1:14" x14ac:dyDescent="0.3">
      <c r="A62" t="s">
        <v>21</v>
      </c>
      <c r="B62" s="2">
        <v>0.91597036628620199</v>
      </c>
      <c r="C62" s="2">
        <v>0.91951964142162901</v>
      </c>
      <c r="D62" s="2">
        <v>0.91515712325125698</v>
      </c>
      <c r="E62" s="2">
        <v>0.90967504649858399</v>
      </c>
      <c r="F62" s="2">
        <v>0.90348775800134296</v>
      </c>
      <c r="G62" s="2">
        <v>0.89921767766243799</v>
      </c>
      <c r="H62" s="2">
        <v>0.88976981823131296</v>
      </c>
      <c r="I62" s="2">
        <v>0.89427952663325705</v>
      </c>
      <c r="J62" s="2">
        <v>0.88431759972311597</v>
      </c>
      <c r="K62" s="2">
        <v>0.88896177483337002</v>
      </c>
      <c r="L62" s="2">
        <v>0.89929441713755998</v>
      </c>
      <c r="M62" s="2"/>
      <c r="N62" s="4">
        <v>110</v>
      </c>
    </row>
    <row r="63" spans="1:14" x14ac:dyDescent="0.3">
      <c r="A63" t="s">
        <v>22</v>
      </c>
      <c r="B63" s="2">
        <v>0.89425869650537904</v>
      </c>
      <c r="C63" s="2">
        <v>0.90540079163467602</v>
      </c>
      <c r="D63" s="2">
        <v>0.90406457629542103</v>
      </c>
      <c r="E63" s="2">
        <v>0.908611182017663</v>
      </c>
      <c r="F63" s="2">
        <v>0.92013723938956904</v>
      </c>
      <c r="G63" s="2">
        <v>0.92467783457806096</v>
      </c>
      <c r="H63" s="2">
        <v>0.92961752136299503</v>
      </c>
      <c r="I63" s="2">
        <v>0.924035217673007</v>
      </c>
      <c r="J63" s="2">
        <v>0.92867448806919495</v>
      </c>
      <c r="K63" s="2">
        <v>0.92849586640728299</v>
      </c>
      <c r="L63" s="2">
        <v>0.91807134284356395</v>
      </c>
      <c r="M63" s="2"/>
      <c r="N63" s="4">
        <v>109</v>
      </c>
    </row>
    <row r="64" spans="1:14" x14ac:dyDescent="0.3">
      <c r="A64" t="s">
        <v>23</v>
      </c>
      <c r="B64" s="2">
        <v>0.81155184299265803</v>
      </c>
      <c r="C64" s="2">
        <v>0.81693362781551704</v>
      </c>
      <c r="D64" s="2">
        <v>0.827340739694303</v>
      </c>
      <c r="E64" s="2">
        <v>0.82267760269739798</v>
      </c>
      <c r="F64" s="2">
        <v>0.82243668735409003</v>
      </c>
      <c r="G64" s="2">
        <v>0.82525825273903397</v>
      </c>
      <c r="H64" s="2">
        <v>0.82305427560964595</v>
      </c>
      <c r="I64" s="2">
        <v>0.84146868791782103</v>
      </c>
      <c r="J64" s="2">
        <v>0.83825036562112198</v>
      </c>
      <c r="K64" s="2">
        <v>0.83185879386790995</v>
      </c>
      <c r="L64" s="2">
        <v>0.83059836400010001</v>
      </c>
      <c r="M64" s="2"/>
      <c r="N64" s="4">
        <v>106</v>
      </c>
    </row>
    <row r="65" spans="1:14" x14ac:dyDescent="0.3">
      <c r="A65" t="s">
        <v>24</v>
      </c>
      <c r="B65" s="2">
        <v>0.96873117948520404</v>
      </c>
      <c r="C65" s="2">
        <v>0.973038003679216</v>
      </c>
      <c r="D65" s="2">
        <v>0.96821099790678999</v>
      </c>
      <c r="E65" s="2">
        <v>0.96487508240512099</v>
      </c>
      <c r="F65" s="2">
        <v>0.96255102837065298</v>
      </c>
      <c r="G65" s="2">
        <v>0.96022054816049696</v>
      </c>
      <c r="H65" s="2">
        <v>0.96018220897639595</v>
      </c>
      <c r="I65" s="2">
        <v>0.96873762323524304</v>
      </c>
      <c r="J65" s="2">
        <v>0.97544556028181695</v>
      </c>
      <c r="K65" s="2">
        <v>0.972567716618017</v>
      </c>
      <c r="L65" s="2">
        <v>0.976226599952152</v>
      </c>
      <c r="M65" s="2"/>
      <c r="N65" s="4">
        <v>104</v>
      </c>
    </row>
    <row r="66" spans="1:14" x14ac:dyDescent="0.3">
      <c r="A66" t="s">
        <v>25</v>
      </c>
      <c r="B66" s="2">
        <v>0.96382324123930296</v>
      </c>
      <c r="C66" s="2">
        <v>0.96306225438994797</v>
      </c>
      <c r="D66" s="2">
        <v>0.95493133873762803</v>
      </c>
      <c r="E66" s="2">
        <v>0.93935503974810497</v>
      </c>
      <c r="F66" s="2">
        <v>0.93364532642583198</v>
      </c>
      <c r="G66" s="2">
        <v>0.92603769268041303</v>
      </c>
      <c r="H66" s="2">
        <v>0.92650161943119003</v>
      </c>
      <c r="I66" s="2">
        <v>0.91961314712612696</v>
      </c>
      <c r="J66" s="2">
        <v>0.92311191314111696</v>
      </c>
      <c r="K66" s="2">
        <v>0.92660700769950199</v>
      </c>
      <c r="L66" s="2">
        <v>0.92068037401574299</v>
      </c>
      <c r="M66" s="2"/>
      <c r="N66" s="4">
        <v>111</v>
      </c>
    </row>
    <row r="67" spans="1:14" x14ac:dyDescent="0.3">
      <c r="A67" t="s">
        <v>26</v>
      </c>
      <c r="B67" s="2">
        <v>0.78021067270947198</v>
      </c>
      <c r="C67" s="2">
        <v>0.78254342147865397</v>
      </c>
      <c r="D67" s="2">
        <v>0.78009510060274601</v>
      </c>
      <c r="E67" s="2">
        <v>0.77645255757980403</v>
      </c>
      <c r="F67" s="2">
        <v>0.77503144320419204</v>
      </c>
      <c r="G67" s="2">
        <v>0.76691330092202903</v>
      </c>
      <c r="H67" s="2">
        <v>0.76446024925671596</v>
      </c>
      <c r="I67" s="2">
        <v>0.76245972107721105</v>
      </c>
      <c r="J67" s="2">
        <v>0.76462372066325701</v>
      </c>
      <c r="K67" s="2">
        <v>0.77299954062210097</v>
      </c>
      <c r="L67" s="2">
        <v>0.78165845210707696</v>
      </c>
      <c r="M67" s="2"/>
      <c r="N67" s="4">
        <v>107</v>
      </c>
    </row>
    <row r="68" spans="1:14" x14ac:dyDescent="0.3">
      <c r="A68" t="s">
        <v>27</v>
      </c>
      <c r="B68" s="2">
        <v>0.99315521231975601</v>
      </c>
      <c r="C68" s="2">
        <v>0.99694953865639202</v>
      </c>
      <c r="D68" s="2">
        <v>0.99271879371852201</v>
      </c>
      <c r="E68" s="2">
        <v>0.98821543349209895</v>
      </c>
      <c r="F68" s="2">
        <v>0.99255293114819498</v>
      </c>
      <c r="G68" s="2">
        <v>0.99678712480097098</v>
      </c>
      <c r="H68" s="2">
        <v>0.99190724563948796</v>
      </c>
      <c r="I68" s="2">
        <v>0.98325709930185201</v>
      </c>
      <c r="J68" s="2">
        <v>0.97569731498401202</v>
      </c>
      <c r="K68" s="2">
        <v>0.96885555723362804</v>
      </c>
      <c r="L68" s="2">
        <v>0.96619295826805696</v>
      </c>
      <c r="M68" s="2"/>
      <c r="N68" s="4">
        <v>108</v>
      </c>
    </row>
    <row r="69" spans="1:14" x14ac:dyDescent="0.3">
      <c r="B69" s="2">
        <v>0.91965280979669761</v>
      </c>
      <c r="C69" s="2">
        <v>0.9218379599105645</v>
      </c>
      <c r="D69" s="2">
        <v>0.92279999977650218</v>
      </c>
      <c r="E69" s="2">
        <v>0.91800734760332703</v>
      </c>
      <c r="F69" s="2">
        <v>0.91743684007097559</v>
      </c>
      <c r="G69" s="2">
        <v>0.91936211849134042</v>
      </c>
      <c r="H69" s="2">
        <v>0.91949651278710598</v>
      </c>
      <c r="I69" s="2">
        <v>0.92491243128534784</v>
      </c>
      <c r="J69" s="2">
        <v>0.9248037402296696</v>
      </c>
      <c r="K69" s="2">
        <v>0.96201065807926089</v>
      </c>
      <c r="L69" s="2">
        <v>0.96337443864909977</v>
      </c>
      <c r="M69" s="2"/>
    </row>
    <row r="71" spans="1:14" x14ac:dyDescent="0.3">
      <c r="A71" s="3" t="s">
        <v>30</v>
      </c>
      <c r="B71" s="3">
        <v>202505</v>
      </c>
      <c r="C71" s="3">
        <v>202506</v>
      </c>
      <c r="D71" s="3">
        <v>202507</v>
      </c>
      <c r="E71" s="3">
        <v>202508</v>
      </c>
      <c r="F71" s="3">
        <v>202509</v>
      </c>
      <c r="G71" s="3">
        <v>202510</v>
      </c>
      <c r="H71" s="3">
        <v>202511</v>
      </c>
      <c r="I71" s="3">
        <v>202512</v>
      </c>
      <c r="J71" s="3">
        <v>202601</v>
      </c>
      <c r="K71" s="3">
        <v>202602</v>
      </c>
      <c r="L71" s="3">
        <v>202603</v>
      </c>
      <c r="M71" s="3"/>
      <c r="N71" s="5" t="s">
        <v>1</v>
      </c>
    </row>
    <row r="72" spans="1:14" x14ac:dyDescent="0.3">
      <c r="A72" t="s">
        <v>3</v>
      </c>
      <c r="B72">
        <v>2079511</v>
      </c>
      <c r="C72">
        <v>2128468.66</v>
      </c>
      <c r="D72">
        <v>2097450.19</v>
      </c>
      <c r="E72">
        <v>2107259.35</v>
      </c>
      <c r="F72">
        <v>2124640.1800000002</v>
      </c>
      <c r="G72">
        <v>2150733.89</v>
      </c>
      <c r="H72">
        <v>2120064.19</v>
      </c>
      <c r="I72">
        <v>2245979.36</v>
      </c>
      <c r="J72">
        <v>2130950.2200000002</v>
      </c>
      <c r="K72">
        <v>2207769</v>
      </c>
      <c r="L72">
        <v>2155004</v>
      </c>
      <c r="N72" s="4">
        <v>4020</v>
      </c>
    </row>
    <row r="73" spans="1:14" x14ac:dyDescent="0.3">
      <c r="A73" t="s">
        <v>4</v>
      </c>
      <c r="B73">
        <v>2469247.63</v>
      </c>
      <c r="C73">
        <v>2514585.39</v>
      </c>
      <c r="D73">
        <v>2409980.11</v>
      </c>
      <c r="E73">
        <v>2428274.69</v>
      </c>
      <c r="F73">
        <v>2420966.1800000002</v>
      </c>
      <c r="G73">
        <v>2402811.2000000002</v>
      </c>
      <c r="H73">
        <v>2479882.66</v>
      </c>
      <c r="I73">
        <v>2720833.16</v>
      </c>
      <c r="J73">
        <v>2717880.89</v>
      </c>
      <c r="K73">
        <v>2595185</v>
      </c>
      <c r="L73">
        <v>2460175</v>
      </c>
      <c r="N73" s="4">
        <v>302</v>
      </c>
    </row>
    <row r="74" spans="1:14" x14ac:dyDescent="0.3">
      <c r="A74" t="s">
        <v>5</v>
      </c>
      <c r="B74">
        <v>1446468.65</v>
      </c>
      <c r="C74">
        <v>1473266.63</v>
      </c>
      <c r="D74">
        <v>1462384.2</v>
      </c>
      <c r="E74">
        <v>1457332.8</v>
      </c>
      <c r="F74">
        <v>1468581.92</v>
      </c>
      <c r="G74">
        <v>1453627.78</v>
      </c>
      <c r="H74">
        <v>1469211.05</v>
      </c>
      <c r="I74">
        <v>1516423.76</v>
      </c>
      <c r="J74">
        <v>1614409.66</v>
      </c>
      <c r="K74">
        <v>1511153</v>
      </c>
      <c r="L74">
        <v>1494482</v>
      </c>
      <c r="N74" s="4">
        <v>304</v>
      </c>
    </row>
    <row r="75" spans="1:14" x14ac:dyDescent="0.3">
      <c r="A75" t="s">
        <v>6</v>
      </c>
      <c r="B75">
        <v>275498.18</v>
      </c>
      <c r="C75">
        <v>330771.15999999997</v>
      </c>
      <c r="D75">
        <v>333083.84999999998</v>
      </c>
      <c r="E75">
        <v>381700.68</v>
      </c>
      <c r="F75">
        <v>395221.25</v>
      </c>
      <c r="G75">
        <v>407547.53</v>
      </c>
      <c r="H75">
        <v>476681.84</v>
      </c>
      <c r="I75">
        <v>525489.02</v>
      </c>
      <c r="J75">
        <v>520984.24</v>
      </c>
      <c r="K75">
        <v>526087</v>
      </c>
      <c r="L75">
        <v>572023</v>
      </c>
      <c r="N75" s="4">
        <v>15</v>
      </c>
    </row>
    <row r="76" spans="1:14" x14ac:dyDescent="0.3">
      <c r="A76" t="s">
        <v>7</v>
      </c>
      <c r="B76">
        <v>580193.38</v>
      </c>
      <c r="C76">
        <v>582133.43999999994</v>
      </c>
      <c r="D76">
        <v>579340.43000000005</v>
      </c>
      <c r="E76">
        <v>568287.16</v>
      </c>
      <c r="F76">
        <v>569373.54</v>
      </c>
      <c r="G76">
        <v>571560.69999999995</v>
      </c>
      <c r="H76">
        <v>558083.66</v>
      </c>
      <c r="I76">
        <v>561806.44999999995</v>
      </c>
      <c r="J76">
        <v>584364.66</v>
      </c>
      <c r="K76">
        <v>563916</v>
      </c>
      <c r="L76">
        <v>564866</v>
      </c>
      <c r="N76" s="4">
        <v>303</v>
      </c>
    </row>
    <row r="77" spans="1:14" x14ac:dyDescent="0.3">
      <c r="A77" t="s">
        <v>8</v>
      </c>
      <c r="B77" s="8">
        <v>2215252.63</v>
      </c>
      <c r="C77" s="8">
        <v>2257381.83</v>
      </c>
      <c r="D77" s="8">
        <v>2257582.9500000002</v>
      </c>
      <c r="E77" s="8">
        <v>2269916.5299999998</v>
      </c>
      <c r="F77" s="8">
        <v>2325006.88</v>
      </c>
      <c r="G77" s="8">
        <v>2280076.2000000002</v>
      </c>
      <c r="H77" s="8">
        <v>2428117.9300000002</v>
      </c>
      <c r="I77" s="8">
        <v>2343933.9300000002</v>
      </c>
      <c r="J77" s="8">
        <v>2145912.41</v>
      </c>
      <c r="K77" s="8">
        <v>2247282.13</v>
      </c>
      <c r="L77" s="8">
        <v>2163184.92</v>
      </c>
      <c r="N77" s="4">
        <v>305</v>
      </c>
    </row>
    <row r="78" spans="1:14" x14ac:dyDescent="0.3">
      <c r="A78" t="s">
        <v>9</v>
      </c>
      <c r="B78" s="9">
        <v>3917066.4</v>
      </c>
      <c r="C78" s="9">
        <v>3872097.84</v>
      </c>
      <c r="D78" s="9">
        <v>3825168.38</v>
      </c>
      <c r="E78" s="9">
        <v>3851675.29</v>
      </c>
      <c r="F78" s="9">
        <v>3843038.29</v>
      </c>
      <c r="G78" s="9">
        <v>3912562.48</v>
      </c>
      <c r="H78" s="9">
        <v>3839706.1</v>
      </c>
      <c r="I78" s="9">
        <v>3856861.96</v>
      </c>
      <c r="J78" s="9">
        <v>3853885.38</v>
      </c>
      <c r="K78" s="9">
        <v>3824597.03</v>
      </c>
      <c r="L78" s="9">
        <v>3945506.72</v>
      </c>
      <c r="N78" s="4" t="s">
        <v>10</v>
      </c>
    </row>
    <row r="79" spans="1:14" x14ac:dyDescent="0.3">
      <c r="A79" t="s">
        <v>11</v>
      </c>
      <c r="B79" s="9">
        <v>3368631.08</v>
      </c>
      <c r="C79" s="9">
        <v>3423719.12</v>
      </c>
      <c r="D79" s="9">
        <v>3402807.88</v>
      </c>
      <c r="E79" s="9">
        <v>3422269.07</v>
      </c>
      <c r="F79" s="9">
        <v>3401896.2</v>
      </c>
      <c r="G79" s="9">
        <v>3513213.78</v>
      </c>
      <c r="H79" s="9">
        <v>3626781.46</v>
      </c>
      <c r="I79" s="9">
        <v>3467379.04</v>
      </c>
      <c r="J79" s="9">
        <v>3386149.11</v>
      </c>
      <c r="K79" s="9">
        <v>3389868.87</v>
      </c>
      <c r="L79" s="9">
        <v>3341888.68</v>
      </c>
      <c r="N79" s="4" t="s">
        <v>12</v>
      </c>
    </row>
    <row r="80" spans="1:14" x14ac:dyDescent="0.3">
      <c r="A80" t="s">
        <v>13</v>
      </c>
      <c r="B80" s="9">
        <v>3328626.22</v>
      </c>
      <c r="C80" s="9">
        <v>3438837.34</v>
      </c>
      <c r="D80" s="9">
        <v>3267125.04</v>
      </c>
      <c r="E80" s="9">
        <v>3300519.45</v>
      </c>
      <c r="F80" s="9">
        <v>3334236.01</v>
      </c>
      <c r="G80" s="9">
        <v>3373971.45</v>
      </c>
      <c r="H80" s="9">
        <v>3526722.97</v>
      </c>
      <c r="I80" s="9">
        <v>3429226.66</v>
      </c>
      <c r="J80" s="9">
        <v>3362582.38</v>
      </c>
      <c r="K80" s="9">
        <v>3354727.85</v>
      </c>
      <c r="L80" s="9">
        <v>3365258.2</v>
      </c>
      <c r="N80" s="4" t="s">
        <v>14</v>
      </c>
    </row>
    <row r="81" spans="1:14" x14ac:dyDescent="0.3">
      <c r="A81" t="s">
        <v>15</v>
      </c>
      <c r="B81" s="9">
        <v>5517132.7300000004</v>
      </c>
      <c r="C81" s="9">
        <v>5616905.0700000003</v>
      </c>
      <c r="D81" s="9">
        <v>5653617.2800000003</v>
      </c>
      <c r="E81" s="9">
        <v>5633210.0499999998</v>
      </c>
      <c r="F81" s="9">
        <v>5632108.71</v>
      </c>
      <c r="G81" s="9">
        <v>5716619.0099999998</v>
      </c>
      <c r="H81" s="9">
        <v>5948038.2800000003</v>
      </c>
      <c r="I81" s="9">
        <v>5729336.7599999998</v>
      </c>
      <c r="J81" s="9">
        <v>5526525.21</v>
      </c>
      <c r="K81" s="9">
        <v>5743804.46</v>
      </c>
      <c r="L81" s="9">
        <v>5598946.3399999999</v>
      </c>
      <c r="N81" s="4" t="s">
        <v>16</v>
      </c>
    </row>
    <row r="82" spans="1:14" x14ac:dyDescent="0.3">
      <c r="A82" t="s">
        <v>17</v>
      </c>
      <c r="B82" s="9">
        <v>6368091.9199999999</v>
      </c>
      <c r="C82" s="9">
        <v>6306013.1399999997</v>
      </c>
      <c r="D82" s="9">
        <v>6370581.6100000003</v>
      </c>
      <c r="E82" s="9">
        <v>6110556.7699999996</v>
      </c>
      <c r="F82" s="9">
        <v>6387107.75</v>
      </c>
      <c r="G82" s="9">
        <v>6405372.7699999996</v>
      </c>
      <c r="H82" s="9">
        <v>6455981.7599999998</v>
      </c>
      <c r="I82" s="9">
        <v>6384454.8200000003</v>
      </c>
      <c r="J82" s="9">
        <v>6432663.7199999997</v>
      </c>
      <c r="K82" s="9">
        <v>6415667.3600000003</v>
      </c>
      <c r="L82" s="9">
        <v>6338936.8499999996</v>
      </c>
      <c r="N82" s="4" t="s">
        <v>18</v>
      </c>
    </row>
    <row r="83" spans="1:14" x14ac:dyDescent="0.3">
      <c r="A83" t="s">
        <v>19</v>
      </c>
      <c r="B83">
        <v>3505660.13</v>
      </c>
      <c r="C83">
        <v>3483460.95</v>
      </c>
      <c r="D83">
        <v>3481113.62</v>
      </c>
      <c r="E83">
        <v>3429516.42</v>
      </c>
      <c r="F83">
        <v>3456283.45</v>
      </c>
      <c r="G83">
        <v>3469460.02</v>
      </c>
      <c r="H83">
        <v>3494373.28</v>
      </c>
      <c r="I83">
        <v>3575214.23</v>
      </c>
      <c r="J83">
        <v>3339426.36</v>
      </c>
      <c r="K83">
        <v>3445724</v>
      </c>
      <c r="L83">
        <v>3378421</v>
      </c>
      <c r="N83" s="4">
        <v>102</v>
      </c>
    </row>
    <row r="84" spans="1:14" x14ac:dyDescent="0.3">
      <c r="A84" t="s">
        <v>20</v>
      </c>
      <c r="B84">
        <v>2824575.4</v>
      </c>
      <c r="C84">
        <v>2921849.46</v>
      </c>
      <c r="D84">
        <v>2908494.65</v>
      </c>
      <c r="E84">
        <v>2893252.96</v>
      </c>
      <c r="F84">
        <v>2839929.93</v>
      </c>
      <c r="G84">
        <v>2840592.97</v>
      </c>
      <c r="H84">
        <v>2900068.22</v>
      </c>
      <c r="I84">
        <v>3005573.63</v>
      </c>
      <c r="J84">
        <v>2682738.66</v>
      </c>
      <c r="K84">
        <v>2923423</v>
      </c>
      <c r="L84">
        <v>2940661</v>
      </c>
      <c r="N84" s="4">
        <v>103</v>
      </c>
    </row>
    <row r="85" spans="1:14" x14ac:dyDescent="0.3">
      <c r="A85" t="s">
        <v>21</v>
      </c>
      <c r="B85">
        <v>1358132.01</v>
      </c>
      <c r="C85">
        <v>1414410.83</v>
      </c>
      <c r="D85">
        <v>1436654.08</v>
      </c>
      <c r="E85">
        <v>1389986.57</v>
      </c>
      <c r="F85">
        <v>1377911.34</v>
      </c>
      <c r="G85">
        <v>1379231.2</v>
      </c>
      <c r="H85">
        <v>1385454.76</v>
      </c>
      <c r="I85">
        <v>1428878.38</v>
      </c>
      <c r="J85">
        <v>1442578.61</v>
      </c>
      <c r="K85">
        <v>1404497</v>
      </c>
      <c r="L85">
        <v>1438417</v>
      </c>
      <c r="N85" s="4">
        <v>110</v>
      </c>
    </row>
    <row r="86" spans="1:14" x14ac:dyDescent="0.3">
      <c r="A86" t="s">
        <v>22</v>
      </c>
      <c r="B86">
        <v>490569.68</v>
      </c>
      <c r="C86">
        <v>479323.44</v>
      </c>
      <c r="D86">
        <v>505544.22</v>
      </c>
      <c r="E86">
        <v>479942.55</v>
      </c>
      <c r="F86">
        <v>496276.55</v>
      </c>
      <c r="G86">
        <v>490506.56</v>
      </c>
      <c r="H86">
        <v>492665.69</v>
      </c>
      <c r="I86">
        <v>486576.58</v>
      </c>
      <c r="J86">
        <v>493036.77</v>
      </c>
      <c r="K86">
        <v>503351</v>
      </c>
      <c r="L86">
        <v>490737</v>
      </c>
      <c r="N86" s="4">
        <v>109</v>
      </c>
    </row>
    <row r="87" spans="1:14" x14ac:dyDescent="0.3">
      <c r="A87" t="s">
        <v>23</v>
      </c>
      <c r="B87">
        <v>1854788.95</v>
      </c>
      <c r="C87">
        <v>1841674.53</v>
      </c>
      <c r="D87">
        <v>1851874.4</v>
      </c>
      <c r="E87">
        <v>1789515.93</v>
      </c>
      <c r="F87">
        <v>1817868.84</v>
      </c>
      <c r="G87">
        <v>1791837.23</v>
      </c>
      <c r="H87">
        <v>1779277.37</v>
      </c>
      <c r="I87">
        <v>1883734.64</v>
      </c>
      <c r="J87">
        <v>1799178.6</v>
      </c>
      <c r="K87">
        <v>2022439</v>
      </c>
      <c r="L87">
        <v>2016058</v>
      </c>
      <c r="N87" s="4">
        <v>106</v>
      </c>
    </row>
    <row r="88" spans="1:14" x14ac:dyDescent="0.3">
      <c r="A88" t="s">
        <v>24</v>
      </c>
      <c r="B88">
        <v>2480600.71</v>
      </c>
      <c r="C88">
        <v>2562652.91</v>
      </c>
      <c r="D88">
        <v>2524475.4900000002</v>
      </c>
      <c r="E88">
        <v>2467942.5499999998</v>
      </c>
      <c r="F88">
        <v>2480744.0499999998</v>
      </c>
      <c r="G88">
        <v>2557696.41</v>
      </c>
      <c r="H88">
        <v>2537571.59</v>
      </c>
      <c r="I88">
        <v>2552913.31</v>
      </c>
      <c r="J88">
        <v>2513531.25</v>
      </c>
      <c r="K88">
        <v>2549879</v>
      </c>
      <c r="L88">
        <v>2512952</v>
      </c>
      <c r="N88" s="4">
        <v>104</v>
      </c>
    </row>
    <row r="89" spans="1:14" x14ac:dyDescent="0.3">
      <c r="A89" t="s">
        <v>25</v>
      </c>
      <c r="B89">
        <v>1930724.06</v>
      </c>
      <c r="C89">
        <v>2050386.6</v>
      </c>
      <c r="D89">
        <v>1949296.37</v>
      </c>
      <c r="E89">
        <v>1953427.75</v>
      </c>
      <c r="F89">
        <v>1988354.44</v>
      </c>
      <c r="G89">
        <v>2055481.7</v>
      </c>
      <c r="H89">
        <v>2014246.96</v>
      </c>
      <c r="I89">
        <v>2183950.5099999998</v>
      </c>
      <c r="J89">
        <v>2083294.83</v>
      </c>
      <c r="K89">
        <v>2076726</v>
      </c>
      <c r="L89">
        <v>2126492</v>
      </c>
      <c r="N89" s="4">
        <v>111</v>
      </c>
    </row>
    <row r="90" spans="1:14" x14ac:dyDescent="0.3">
      <c r="A90" t="s">
        <v>26</v>
      </c>
      <c r="B90">
        <v>1854788.95</v>
      </c>
      <c r="C90">
        <v>1841674.53</v>
      </c>
      <c r="D90">
        <v>1851874.4</v>
      </c>
      <c r="E90">
        <v>1789515.93</v>
      </c>
      <c r="F90">
        <v>1817868.84</v>
      </c>
      <c r="G90">
        <v>1791837.23</v>
      </c>
      <c r="H90">
        <v>1779277.37</v>
      </c>
      <c r="I90">
        <v>1883734.64</v>
      </c>
      <c r="J90">
        <v>1799178.6</v>
      </c>
      <c r="K90">
        <v>1816398</v>
      </c>
      <c r="L90">
        <v>1819443</v>
      </c>
      <c r="N90" s="4">
        <v>107</v>
      </c>
    </row>
    <row r="91" spans="1:14" x14ac:dyDescent="0.3">
      <c r="A91" t="s">
        <v>27</v>
      </c>
      <c r="B91">
        <v>1974639.89</v>
      </c>
      <c r="C91">
        <v>1974334.75</v>
      </c>
      <c r="D91">
        <v>1970021.7</v>
      </c>
      <c r="E91">
        <v>1945649.01</v>
      </c>
      <c r="F91">
        <v>1942942.74</v>
      </c>
      <c r="G91">
        <v>1967836.67</v>
      </c>
      <c r="H91">
        <v>1982737.48</v>
      </c>
      <c r="I91">
        <v>2106476.7200000002</v>
      </c>
      <c r="J91">
        <v>1895541.49</v>
      </c>
      <c r="K91">
        <v>1965258</v>
      </c>
      <c r="L91">
        <v>2025314</v>
      </c>
      <c r="N91" s="4">
        <v>108</v>
      </c>
    </row>
    <row r="92" spans="1:14" x14ac:dyDescent="0.3">
      <c r="B92">
        <v>25125398.619999997</v>
      </c>
      <c r="C92">
        <v>25598993.280000005</v>
      </c>
      <c r="D92">
        <v>25361587.710000001</v>
      </c>
      <c r="E92">
        <v>25081604.350000001</v>
      </c>
      <c r="F92">
        <v>25196963.25</v>
      </c>
      <c r="G92">
        <v>25330761.090000004</v>
      </c>
      <c r="H92">
        <v>25469596.120000001</v>
      </c>
      <c r="I92">
        <v>26677584.389999993</v>
      </c>
      <c r="J92">
        <v>25617094.84</v>
      </c>
      <c r="K92">
        <v>51087752</v>
      </c>
      <c r="L92">
        <v>50748767</v>
      </c>
    </row>
    <row r="94" spans="1:14" x14ac:dyDescent="0.3">
      <c r="A94" s="3" t="s">
        <v>31</v>
      </c>
      <c r="B94" s="3">
        <v>202505</v>
      </c>
      <c r="C94" s="3">
        <v>202506</v>
      </c>
      <c r="D94" s="3">
        <v>202507</v>
      </c>
      <c r="E94" s="3">
        <v>202508</v>
      </c>
      <c r="F94" s="3">
        <v>202509</v>
      </c>
      <c r="G94" s="3">
        <v>202510</v>
      </c>
      <c r="H94" s="3">
        <v>202511</v>
      </c>
      <c r="I94" s="3">
        <v>202512</v>
      </c>
      <c r="J94" s="3">
        <v>202601</v>
      </c>
      <c r="K94" s="3">
        <v>202602</v>
      </c>
      <c r="L94" s="3">
        <v>202603</v>
      </c>
      <c r="M94" s="3"/>
      <c r="N94" s="5" t="s">
        <v>1</v>
      </c>
    </row>
    <row r="95" spans="1:14" x14ac:dyDescent="0.3">
      <c r="A95" t="s">
        <v>3</v>
      </c>
      <c r="B95">
        <v>-973969.54</v>
      </c>
      <c r="C95">
        <v>-999912.19</v>
      </c>
      <c r="D95">
        <v>-1146233.26</v>
      </c>
      <c r="E95">
        <v>-1010754.35</v>
      </c>
      <c r="F95">
        <v>-1024291.51</v>
      </c>
      <c r="G95">
        <v>-985513.16</v>
      </c>
      <c r="H95">
        <v>-1081118.33</v>
      </c>
      <c r="I95">
        <v>-1054668.47</v>
      </c>
      <c r="J95">
        <v>-1148624.3500000001</v>
      </c>
      <c r="K95">
        <v>-1052367</v>
      </c>
      <c r="L95">
        <v>-1093130</v>
      </c>
      <c r="N95" s="4">
        <v>4020</v>
      </c>
    </row>
    <row r="96" spans="1:14" x14ac:dyDescent="0.3">
      <c r="A96" t="s">
        <v>4</v>
      </c>
      <c r="B96">
        <v>-1756104</v>
      </c>
      <c r="C96">
        <v>-1702342.63</v>
      </c>
      <c r="D96">
        <v>-1697754.09</v>
      </c>
      <c r="E96">
        <v>-1687007.65</v>
      </c>
      <c r="F96">
        <v>-1757738.58</v>
      </c>
      <c r="G96">
        <v>-1705786.74</v>
      </c>
      <c r="H96">
        <v>-1692749.91</v>
      </c>
      <c r="I96">
        <v>-1692014.62</v>
      </c>
      <c r="J96">
        <v>-1833474.35</v>
      </c>
      <c r="K96">
        <v>-1722429.48</v>
      </c>
      <c r="L96">
        <v>-1657765.21</v>
      </c>
      <c r="N96" s="4">
        <v>302</v>
      </c>
    </row>
    <row r="97" spans="1:14" x14ac:dyDescent="0.3">
      <c r="A97" t="s">
        <v>5</v>
      </c>
      <c r="B97">
        <v>-863444.03</v>
      </c>
      <c r="C97">
        <v>-702951.35</v>
      </c>
      <c r="D97">
        <v>-769469.37</v>
      </c>
      <c r="E97">
        <v>-893973.1</v>
      </c>
      <c r="F97">
        <v>-883278.94</v>
      </c>
      <c r="G97">
        <v>-787090.19</v>
      </c>
      <c r="H97">
        <v>-977373.81</v>
      </c>
      <c r="I97">
        <v>-823135.11</v>
      </c>
      <c r="J97">
        <v>-890994.91</v>
      </c>
      <c r="K97">
        <v>-894718</v>
      </c>
      <c r="L97">
        <v>-851422</v>
      </c>
      <c r="N97" s="4">
        <v>304</v>
      </c>
    </row>
    <row r="98" spans="1:14" x14ac:dyDescent="0.3">
      <c r="A98" t="s">
        <v>6</v>
      </c>
      <c r="B98">
        <v>-606283.24</v>
      </c>
      <c r="C98">
        <v>-749676.94</v>
      </c>
      <c r="D98">
        <v>-648318.19999999995</v>
      </c>
      <c r="E98">
        <v>-735801.19</v>
      </c>
      <c r="F98">
        <v>-558198.34</v>
      </c>
      <c r="G98">
        <v>-659107.97</v>
      </c>
      <c r="H98">
        <v>-523949.07</v>
      </c>
      <c r="I98">
        <v>-518894.56</v>
      </c>
      <c r="J98">
        <v>-548991.86</v>
      </c>
      <c r="K98">
        <v>-662683</v>
      </c>
      <c r="L98">
        <v>-675844</v>
      </c>
      <c r="N98" s="4">
        <v>15</v>
      </c>
    </row>
    <row r="99" spans="1:14" x14ac:dyDescent="0.3">
      <c r="A99" t="s">
        <v>7</v>
      </c>
      <c r="N99" s="4">
        <v>303</v>
      </c>
    </row>
    <row r="100" spans="1:14" x14ac:dyDescent="0.3">
      <c r="A100" t="s">
        <v>8</v>
      </c>
      <c r="B100">
        <v>-1154261.45</v>
      </c>
      <c r="C100">
        <v>-1224432.6000000001</v>
      </c>
      <c r="D100">
        <v>-1215399.94</v>
      </c>
      <c r="E100">
        <v>-1193523.72</v>
      </c>
      <c r="F100">
        <v>-1221077.6100000001</v>
      </c>
      <c r="G100">
        <v>-1143467.67</v>
      </c>
      <c r="H100">
        <v>-1187306.71</v>
      </c>
      <c r="I100">
        <v>-1047951.26</v>
      </c>
      <c r="J100">
        <v>-1202726.1200000001</v>
      </c>
      <c r="K100">
        <v>-1168189.73</v>
      </c>
      <c r="L100">
        <v>-1147398.06</v>
      </c>
      <c r="N100" s="4">
        <v>305</v>
      </c>
    </row>
    <row r="101" spans="1:14" x14ac:dyDescent="0.3">
      <c r="A101" t="s">
        <v>9</v>
      </c>
      <c r="B101">
        <v>-2614378.7599999998</v>
      </c>
      <c r="C101">
        <v>-2580499.02</v>
      </c>
      <c r="D101">
        <v>-2675716.2400000002</v>
      </c>
      <c r="E101">
        <v>-2637024.02</v>
      </c>
      <c r="F101">
        <v>-2461904.2400000002</v>
      </c>
      <c r="G101">
        <v>-2527042.0499999998</v>
      </c>
      <c r="H101">
        <v>-2617623.56</v>
      </c>
      <c r="I101">
        <v>-2511272.2000000002</v>
      </c>
      <c r="J101">
        <v>-2659781.5</v>
      </c>
      <c r="K101">
        <v>-2485715.0299999998</v>
      </c>
      <c r="L101">
        <v>-2498472.9500000002</v>
      </c>
      <c r="N101" s="4" t="s">
        <v>10</v>
      </c>
    </row>
    <row r="102" spans="1:14" x14ac:dyDescent="0.3">
      <c r="A102" t="s">
        <v>11</v>
      </c>
      <c r="B102">
        <v>-1832886.8</v>
      </c>
      <c r="C102">
        <v>-1941634.32</v>
      </c>
      <c r="D102">
        <v>-2004262.58</v>
      </c>
      <c r="E102">
        <v>-1972918.02</v>
      </c>
      <c r="F102">
        <v>-1883024.46</v>
      </c>
      <c r="G102">
        <v>-1900076.23</v>
      </c>
      <c r="H102">
        <v>-1854437.54</v>
      </c>
      <c r="I102">
        <v>-1840429.91</v>
      </c>
      <c r="J102">
        <v>-2076954.93</v>
      </c>
      <c r="K102">
        <v>-1965269.53</v>
      </c>
      <c r="L102">
        <v>-2006046.9</v>
      </c>
      <c r="N102" s="4" t="s">
        <v>12</v>
      </c>
    </row>
    <row r="103" spans="1:14" x14ac:dyDescent="0.3">
      <c r="A103" t="s">
        <v>13</v>
      </c>
      <c r="B103">
        <v>-2023957.01</v>
      </c>
      <c r="C103">
        <v>-2017403.68</v>
      </c>
      <c r="D103">
        <v>-2022522.66</v>
      </c>
      <c r="E103">
        <v>-1962640.32</v>
      </c>
      <c r="F103">
        <v>-2015558.93</v>
      </c>
      <c r="G103">
        <v>-1797697.03</v>
      </c>
      <c r="H103">
        <v>-1926810.28</v>
      </c>
      <c r="I103">
        <v>-1970650.55</v>
      </c>
      <c r="J103">
        <v>-2157496.4300000002</v>
      </c>
      <c r="K103">
        <v>-2114754.8199999998</v>
      </c>
      <c r="L103">
        <v>-2055192.29</v>
      </c>
      <c r="N103" s="4" t="s">
        <v>14</v>
      </c>
    </row>
    <row r="104" spans="1:14" x14ac:dyDescent="0.3">
      <c r="A104" t="s">
        <v>15</v>
      </c>
      <c r="B104">
        <v>-3078140.84</v>
      </c>
      <c r="C104">
        <v>-3072297.19</v>
      </c>
      <c r="D104">
        <v>-3106626.84</v>
      </c>
      <c r="E104">
        <v>-3205483.86</v>
      </c>
      <c r="F104">
        <v>-2898794.87</v>
      </c>
      <c r="G104">
        <v>-3212275.45</v>
      </c>
      <c r="H104">
        <v>-3227147.65</v>
      </c>
      <c r="I104">
        <v>-3201038.9</v>
      </c>
      <c r="J104">
        <v>-3335956.41</v>
      </c>
      <c r="K104">
        <v>-3093227.95</v>
      </c>
      <c r="L104">
        <v>-3099377.12</v>
      </c>
      <c r="N104" s="4" t="s">
        <v>16</v>
      </c>
    </row>
    <row r="105" spans="1:14" x14ac:dyDescent="0.3">
      <c r="A105" t="s">
        <v>17</v>
      </c>
      <c r="B105">
        <v>-3792335.97</v>
      </c>
      <c r="C105">
        <v>-3661595.91</v>
      </c>
      <c r="D105">
        <v>-3225469.59</v>
      </c>
      <c r="E105">
        <v>-3308566.79</v>
      </c>
      <c r="F105">
        <v>-3258231.59</v>
      </c>
      <c r="G105">
        <v>-3068124.1</v>
      </c>
      <c r="H105">
        <v>-3426567.39</v>
      </c>
      <c r="I105">
        <v>-3423675.76</v>
      </c>
      <c r="J105">
        <v>-3587871.31</v>
      </c>
      <c r="K105">
        <v>-3424616.15</v>
      </c>
      <c r="L105">
        <v>-3532843.27</v>
      </c>
      <c r="N105" s="4" t="s">
        <v>18</v>
      </c>
    </row>
    <row r="106" spans="1:14" x14ac:dyDescent="0.3">
      <c r="A106" t="s">
        <v>19</v>
      </c>
      <c r="B106">
        <v>-1553251.91</v>
      </c>
      <c r="C106">
        <v>-1608763.58</v>
      </c>
      <c r="D106">
        <v>-1636803.39</v>
      </c>
      <c r="E106">
        <v>-1721765.27</v>
      </c>
      <c r="F106">
        <v>-1702511.71</v>
      </c>
      <c r="G106">
        <v>-1630892.8</v>
      </c>
      <c r="H106">
        <v>-1583895.12</v>
      </c>
      <c r="I106">
        <v>-1687174.69</v>
      </c>
      <c r="J106">
        <v>-1639769.83</v>
      </c>
      <c r="K106">
        <v>-1429586</v>
      </c>
      <c r="L106">
        <v>-1373479</v>
      </c>
      <c r="N106" s="4">
        <v>102</v>
      </c>
    </row>
    <row r="107" spans="1:14" x14ac:dyDescent="0.3">
      <c r="A107" t="s">
        <v>20</v>
      </c>
      <c r="B107">
        <v>-1535177.28</v>
      </c>
      <c r="C107">
        <v>-1548090.84</v>
      </c>
      <c r="D107">
        <v>-1616191.89</v>
      </c>
      <c r="E107">
        <v>-1454131.6</v>
      </c>
      <c r="F107">
        <v>-1413694.75</v>
      </c>
      <c r="G107">
        <v>-1237191.06</v>
      </c>
      <c r="H107">
        <v>-1589573.27</v>
      </c>
      <c r="I107">
        <v>-1491310.24</v>
      </c>
      <c r="J107">
        <v>-1572593.34</v>
      </c>
      <c r="K107">
        <v>-1544955</v>
      </c>
      <c r="L107">
        <v>-1577662</v>
      </c>
      <c r="N107" s="4">
        <v>103</v>
      </c>
    </row>
    <row r="108" spans="1:14" x14ac:dyDescent="0.3">
      <c r="A108" t="s">
        <v>21</v>
      </c>
      <c r="B108">
        <v>-912204.47</v>
      </c>
      <c r="C108">
        <v>-899756.83</v>
      </c>
      <c r="D108">
        <v>-938673.61</v>
      </c>
      <c r="E108">
        <v>-1006487.07</v>
      </c>
      <c r="F108">
        <v>-919905.43</v>
      </c>
      <c r="G108">
        <v>-909093.81</v>
      </c>
      <c r="H108">
        <v>-830347.41</v>
      </c>
      <c r="I108">
        <v>-853628.81</v>
      </c>
      <c r="J108">
        <v>-924924.4</v>
      </c>
      <c r="K108">
        <v>-852142</v>
      </c>
      <c r="L108">
        <v>-887190</v>
      </c>
      <c r="N108" s="4">
        <v>110</v>
      </c>
    </row>
    <row r="109" spans="1:14" x14ac:dyDescent="0.3">
      <c r="A109" t="s">
        <v>22</v>
      </c>
      <c r="B109">
        <v>-100501.35</v>
      </c>
      <c r="C109">
        <v>-100979.07</v>
      </c>
      <c r="D109">
        <v>-104260.32</v>
      </c>
      <c r="E109">
        <v>-109266.05</v>
      </c>
      <c r="F109">
        <v>-103013.47</v>
      </c>
      <c r="G109">
        <v>-99459.5</v>
      </c>
      <c r="H109">
        <v>-102985.54</v>
      </c>
      <c r="I109">
        <v>-95260.66</v>
      </c>
      <c r="J109">
        <v>-74910.679999999993</v>
      </c>
      <c r="K109">
        <v>-69829</v>
      </c>
      <c r="L109">
        <v>-70839</v>
      </c>
      <c r="N109" s="4">
        <v>109</v>
      </c>
    </row>
    <row r="110" spans="1:14" x14ac:dyDescent="0.3">
      <c r="A110" t="s">
        <v>23</v>
      </c>
      <c r="B110">
        <v>-1264303.58</v>
      </c>
      <c r="C110">
        <v>-1265934.1399999999</v>
      </c>
      <c r="D110">
        <v>-1188377.45</v>
      </c>
      <c r="E110">
        <v>-1266319.43</v>
      </c>
      <c r="F110">
        <v>-1250761.46</v>
      </c>
      <c r="G110">
        <v>-1317455.3500000001</v>
      </c>
      <c r="H110">
        <v>-1271302.29</v>
      </c>
      <c r="I110">
        <v>-1250000.17</v>
      </c>
      <c r="J110">
        <v>-1174632.1000000001</v>
      </c>
      <c r="K110">
        <v>-1195801</v>
      </c>
      <c r="L110">
        <v>-1218451</v>
      </c>
      <c r="N110" s="4">
        <v>106</v>
      </c>
    </row>
    <row r="111" spans="1:14" x14ac:dyDescent="0.3">
      <c r="A111" t="s">
        <v>24</v>
      </c>
      <c r="B111">
        <v>-1311728.1000000001</v>
      </c>
      <c r="C111">
        <v>-1325681.3799999999</v>
      </c>
      <c r="D111">
        <v>-1321166.99</v>
      </c>
      <c r="E111">
        <v>-1276928.98</v>
      </c>
      <c r="F111">
        <v>-1225370.7</v>
      </c>
      <c r="G111">
        <v>-1264317.8400000001</v>
      </c>
      <c r="H111">
        <v>-1454821.18</v>
      </c>
      <c r="I111">
        <v>-1366290.61</v>
      </c>
      <c r="J111">
        <v>-1551672.58</v>
      </c>
      <c r="K111">
        <v>-1425514</v>
      </c>
      <c r="L111">
        <v>-1409527</v>
      </c>
      <c r="N111" s="4">
        <v>104</v>
      </c>
    </row>
    <row r="112" spans="1:14" x14ac:dyDescent="0.3">
      <c r="A112" t="s">
        <v>25</v>
      </c>
      <c r="B112">
        <v>-963642.66</v>
      </c>
      <c r="C112">
        <v>-979325.99</v>
      </c>
      <c r="D112">
        <v>-1068084.7</v>
      </c>
      <c r="E112">
        <v>-1112699.03</v>
      </c>
      <c r="F112">
        <v>-1192804.6100000001</v>
      </c>
      <c r="G112">
        <v>-1198045.1599999999</v>
      </c>
      <c r="H112">
        <v>-1033971.05</v>
      </c>
      <c r="I112">
        <v>-1206470.98</v>
      </c>
      <c r="J112">
        <v>-1239252.1399999999</v>
      </c>
      <c r="K112">
        <v>-1239593</v>
      </c>
      <c r="L112">
        <v>-1213366</v>
      </c>
      <c r="N112" s="4">
        <v>111</v>
      </c>
    </row>
    <row r="113" spans="1:14" x14ac:dyDescent="0.3">
      <c r="A113" t="s">
        <v>26</v>
      </c>
      <c r="B113">
        <v>-1120983.6399999999</v>
      </c>
      <c r="C113">
        <v>-1114942.96</v>
      </c>
      <c r="D113">
        <v>-1065305.9099999999</v>
      </c>
      <c r="E113">
        <v>-1162182.3700000001</v>
      </c>
      <c r="F113">
        <v>-1170389.72</v>
      </c>
      <c r="G113">
        <v>-1063264.8500000001</v>
      </c>
      <c r="H113">
        <v>-1056848.8799999999</v>
      </c>
      <c r="I113">
        <v>-1103990.67</v>
      </c>
      <c r="J113">
        <v>-1231187.04</v>
      </c>
      <c r="K113">
        <v>-1184534</v>
      </c>
      <c r="L113">
        <v>-1154612</v>
      </c>
      <c r="N113" s="4">
        <v>107</v>
      </c>
    </row>
    <row r="114" spans="1:14" x14ac:dyDescent="0.3">
      <c r="A114" t="s">
        <v>27</v>
      </c>
      <c r="B114">
        <v>-1318828.8899999999</v>
      </c>
      <c r="C114">
        <v>-1318108.03</v>
      </c>
      <c r="D114">
        <v>-1287148.46</v>
      </c>
      <c r="E114">
        <v>-1322658.23</v>
      </c>
      <c r="F114">
        <v>-1327543.98</v>
      </c>
      <c r="G114">
        <v>-1259949.78</v>
      </c>
      <c r="H114">
        <v>-1288716.3999999999</v>
      </c>
      <c r="I114">
        <v>-1291151.42</v>
      </c>
      <c r="J114">
        <v>-1386911.82</v>
      </c>
      <c r="K114">
        <v>-1297610</v>
      </c>
      <c r="L114">
        <v>-1250407</v>
      </c>
      <c r="N114" s="4">
        <v>108</v>
      </c>
    </row>
    <row r="115" spans="1:14" x14ac:dyDescent="0.3">
      <c r="B115">
        <v>-12524318.690000001</v>
      </c>
      <c r="C115">
        <v>-12614123.299999999</v>
      </c>
      <c r="D115">
        <v>-12790033.550000001</v>
      </c>
      <c r="E115">
        <v>-13072966.669999998</v>
      </c>
      <c r="F115">
        <v>-12771764.619999999</v>
      </c>
      <c r="G115">
        <v>-12411381.469999999</v>
      </c>
      <c r="H115">
        <v>-12794902.35</v>
      </c>
      <c r="I115">
        <v>-12741976.390000001</v>
      </c>
      <c r="J115">
        <v>-13384465.050000001</v>
      </c>
      <c r="K115">
        <v>-28770830</v>
      </c>
    </row>
    <row r="117" spans="1:14" x14ac:dyDescent="0.3">
      <c r="A117" s="3" t="s">
        <v>32</v>
      </c>
      <c r="B117" s="3">
        <v>202505</v>
      </c>
      <c r="C117" s="3">
        <v>202506</v>
      </c>
      <c r="D117" s="3">
        <v>202507</v>
      </c>
      <c r="E117" s="3">
        <v>202508</v>
      </c>
      <c r="F117" s="3">
        <v>202509</v>
      </c>
      <c r="G117" s="3">
        <v>202510</v>
      </c>
      <c r="H117" s="3">
        <v>202511</v>
      </c>
      <c r="I117" s="3">
        <v>202512</v>
      </c>
      <c r="J117" s="3">
        <v>202601</v>
      </c>
      <c r="K117" s="3">
        <v>202602</v>
      </c>
      <c r="L117" s="3">
        <v>202603</v>
      </c>
      <c r="M117" s="3"/>
      <c r="N117" s="4" t="s">
        <v>1</v>
      </c>
    </row>
    <row r="118" spans="1:14" x14ac:dyDescent="0.3">
      <c r="A118" t="s">
        <v>3</v>
      </c>
      <c r="B118">
        <v>-594892.78</v>
      </c>
      <c r="C118">
        <v>-644254.06000000006</v>
      </c>
      <c r="D118">
        <v>-609641.68999999994</v>
      </c>
      <c r="E118">
        <v>-621269.92000000004</v>
      </c>
      <c r="F118">
        <v>-560613.43000000005</v>
      </c>
      <c r="G118">
        <v>-606626.82999999996</v>
      </c>
      <c r="H118">
        <v>-737259.55</v>
      </c>
      <c r="I118">
        <v>-638900.82999999996</v>
      </c>
      <c r="J118">
        <v>-480587.23</v>
      </c>
      <c r="K118">
        <v>-529518</v>
      </c>
      <c r="L118">
        <v>-508232</v>
      </c>
      <c r="N118" s="4">
        <v>4020</v>
      </c>
    </row>
    <row r="119" spans="1:14" x14ac:dyDescent="0.3">
      <c r="A119" t="s">
        <v>4</v>
      </c>
      <c r="B119">
        <v>-88034.65</v>
      </c>
      <c r="C119">
        <v>73349.899999999994</v>
      </c>
      <c r="D119">
        <v>-152640.75</v>
      </c>
      <c r="E119">
        <v>-78987.3</v>
      </c>
      <c r="F119">
        <v>14959.35</v>
      </c>
      <c r="G119">
        <v>-56321.78</v>
      </c>
      <c r="H119">
        <v>53755.7</v>
      </c>
      <c r="I119">
        <v>188169.96</v>
      </c>
      <c r="J119">
        <v>199190.09</v>
      </c>
      <c r="K119">
        <v>-553032</v>
      </c>
      <c r="L119">
        <v>-679693</v>
      </c>
      <c r="N119" s="4">
        <v>302</v>
      </c>
    </row>
    <row r="120" spans="1:14" x14ac:dyDescent="0.3">
      <c r="A120" t="s">
        <v>5</v>
      </c>
      <c r="B120">
        <v>-404142.71</v>
      </c>
      <c r="C120">
        <v>-384265.22</v>
      </c>
      <c r="D120">
        <v>-407415.11</v>
      </c>
      <c r="E120">
        <v>-281021.15000000002</v>
      </c>
      <c r="F120">
        <v>-418862.44</v>
      </c>
      <c r="G120">
        <v>-372410.87</v>
      </c>
      <c r="H120">
        <v>-412521.99</v>
      </c>
      <c r="I120">
        <v>-335254.96999999997</v>
      </c>
      <c r="J120">
        <v>-365152.95</v>
      </c>
      <c r="K120">
        <v>-325487</v>
      </c>
      <c r="L120">
        <v>-320480</v>
      </c>
      <c r="N120" s="4">
        <v>304</v>
      </c>
    </row>
    <row r="121" spans="1:14" x14ac:dyDescent="0.3">
      <c r="A121" t="s">
        <v>6</v>
      </c>
      <c r="B121">
        <v>-92914.18</v>
      </c>
      <c r="C121">
        <v>-97214.99</v>
      </c>
      <c r="D121">
        <v>-94605.58</v>
      </c>
      <c r="E121">
        <v>-70805.509999999995</v>
      </c>
      <c r="F121">
        <v>-125041.86</v>
      </c>
      <c r="G121">
        <v>-120179.26</v>
      </c>
      <c r="H121">
        <v>-146964.92000000001</v>
      </c>
      <c r="I121">
        <v>-127613.72</v>
      </c>
      <c r="J121">
        <v>-153486.87</v>
      </c>
      <c r="K121">
        <v>-118974</v>
      </c>
      <c r="L121">
        <v>-143395</v>
      </c>
      <c r="N121" s="4">
        <v>15</v>
      </c>
    </row>
    <row r="122" spans="1:14" x14ac:dyDescent="0.3">
      <c r="A122" t="s">
        <v>7</v>
      </c>
      <c r="B122">
        <v>-77125.710000000006</v>
      </c>
      <c r="C122">
        <v>-122452.25</v>
      </c>
      <c r="D122">
        <v>-79868.92</v>
      </c>
      <c r="E122">
        <v>-65236.4</v>
      </c>
      <c r="F122">
        <v>-79457.48</v>
      </c>
      <c r="G122">
        <v>-92663.57</v>
      </c>
      <c r="H122">
        <v>-74457.53</v>
      </c>
      <c r="I122">
        <v>-63953.4</v>
      </c>
      <c r="J122">
        <v>-80681.149999999994</v>
      </c>
      <c r="K122">
        <v>-78512</v>
      </c>
      <c r="L122">
        <v>-49816</v>
      </c>
      <c r="N122" s="4">
        <v>303</v>
      </c>
    </row>
    <row r="123" spans="1:14" x14ac:dyDescent="0.3">
      <c r="A123" t="s">
        <v>8</v>
      </c>
      <c r="B123">
        <v>-695773.51</v>
      </c>
      <c r="C123">
        <v>-699060.62</v>
      </c>
      <c r="D123">
        <v>-709960.39</v>
      </c>
      <c r="E123">
        <v>-689542.83</v>
      </c>
      <c r="F123">
        <v>-740229.09</v>
      </c>
      <c r="G123">
        <v>-737674.71</v>
      </c>
      <c r="H123">
        <v>-731916.08</v>
      </c>
      <c r="I123">
        <v>-578697.38</v>
      </c>
      <c r="J123">
        <v>-635731.9</v>
      </c>
      <c r="K123">
        <v>-480772.65</v>
      </c>
      <c r="L123">
        <v>-473445.75</v>
      </c>
      <c r="N123" s="4">
        <v>305</v>
      </c>
    </row>
    <row r="124" spans="1:14" x14ac:dyDescent="0.3">
      <c r="A124" t="s">
        <v>9</v>
      </c>
      <c r="B124">
        <v>-1371028.13</v>
      </c>
      <c r="C124">
        <v>-1198467.29</v>
      </c>
      <c r="D124">
        <v>-1276632.3799999999</v>
      </c>
      <c r="E124">
        <v>-1161414.4099999999</v>
      </c>
      <c r="F124">
        <v>-1332115.81</v>
      </c>
      <c r="G124">
        <v>-1322340.24</v>
      </c>
      <c r="H124">
        <v>-1112736.97</v>
      </c>
      <c r="I124">
        <v>-1266430.46</v>
      </c>
      <c r="J124">
        <v>-1048214.41</v>
      </c>
      <c r="K124">
        <v>-1169120.2</v>
      </c>
      <c r="L124">
        <v>-1152463.99</v>
      </c>
      <c r="N124" s="4" t="s">
        <v>10</v>
      </c>
    </row>
    <row r="125" spans="1:14" x14ac:dyDescent="0.3">
      <c r="A125" t="s">
        <v>11</v>
      </c>
      <c r="B125">
        <v>-1189178.77</v>
      </c>
      <c r="C125">
        <v>-1137215.6499999999</v>
      </c>
      <c r="D125">
        <v>-1246614.5</v>
      </c>
      <c r="E125">
        <v>-933859.13</v>
      </c>
      <c r="F125">
        <v>-1268679.94</v>
      </c>
      <c r="G125">
        <v>-1196830.25</v>
      </c>
      <c r="H125">
        <v>-1111525.69</v>
      </c>
      <c r="I125">
        <v>-1112879.32</v>
      </c>
      <c r="J125">
        <v>-1088019.52</v>
      </c>
      <c r="K125">
        <v>-1031336.83</v>
      </c>
      <c r="L125">
        <v>-956269.07</v>
      </c>
      <c r="N125" s="4" t="s">
        <v>12</v>
      </c>
    </row>
    <row r="126" spans="1:14" x14ac:dyDescent="0.3">
      <c r="A126" t="s">
        <v>13</v>
      </c>
      <c r="B126">
        <v>-1023712.98</v>
      </c>
      <c r="C126">
        <v>-838278.48</v>
      </c>
      <c r="D126">
        <v>-974620.39</v>
      </c>
      <c r="E126">
        <v>-875002.07</v>
      </c>
      <c r="F126">
        <v>-975686.34</v>
      </c>
      <c r="G126">
        <v>-892530.68</v>
      </c>
      <c r="H126">
        <v>-918979.24</v>
      </c>
      <c r="I126">
        <v>-940290.06</v>
      </c>
      <c r="J126">
        <v>-919162.63</v>
      </c>
      <c r="K126">
        <v>-824495.46</v>
      </c>
      <c r="L126">
        <v>-860125.87</v>
      </c>
      <c r="N126" s="4" t="s">
        <v>14</v>
      </c>
    </row>
    <row r="127" spans="1:14" x14ac:dyDescent="0.3">
      <c r="A127" t="s">
        <v>15</v>
      </c>
      <c r="B127">
        <v>-1892600.35</v>
      </c>
      <c r="C127">
        <v>-1823766.57</v>
      </c>
      <c r="D127">
        <v>-1716357.16</v>
      </c>
      <c r="E127">
        <v>-1680433.69</v>
      </c>
      <c r="F127">
        <v>-1888038.53</v>
      </c>
      <c r="G127">
        <v>-1721641.28</v>
      </c>
      <c r="H127">
        <v>-1905771.55</v>
      </c>
      <c r="I127">
        <v>-1633856.17</v>
      </c>
      <c r="J127">
        <v>-1791170.82</v>
      </c>
      <c r="K127">
        <v>-1731930.81</v>
      </c>
      <c r="L127">
        <v>-1687587.32</v>
      </c>
      <c r="N127" s="4" t="s">
        <v>16</v>
      </c>
    </row>
    <row r="128" spans="1:14" x14ac:dyDescent="0.3">
      <c r="A128" t="s">
        <v>17</v>
      </c>
      <c r="B128">
        <v>-1710869.94</v>
      </c>
      <c r="C128">
        <v>-1775835.18</v>
      </c>
      <c r="D128">
        <v>-1627291.75</v>
      </c>
      <c r="E128">
        <v>-1369173.97</v>
      </c>
      <c r="F128">
        <v>-1732346.52</v>
      </c>
      <c r="G128">
        <v>-1751299.87</v>
      </c>
      <c r="H128">
        <v>-1769215.79</v>
      </c>
      <c r="I128">
        <v>-1379357.49</v>
      </c>
      <c r="J128">
        <v>-1617462.33</v>
      </c>
      <c r="K128">
        <v>-1445862.11</v>
      </c>
      <c r="L128">
        <v>-1235094.7</v>
      </c>
      <c r="N128" s="4" t="s">
        <v>18</v>
      </c>
    </row>
    <row r="129" spans="1:14" x14ac:dyDescent="0.3">
      <c r="A129" t="s">
        <v>19</v>
      </c>
      <c r="B129">
        <v>-930227.13</v>
      </c>
      <c r="C129">
        <v>-1034782.28</v>
      </c>
      <c r="D129">
        <v>-906285.13</v>
      </c>
      <c r="E129">
        <v>-817876.07</v>
      </c>
      <c r="F129">
        <v>-930687.45</v>
      </c>
      <c r="G129">
        <v>-1070153.8700000001</v>
      </c>
      <c r="H129">
        <v>-890435.29</v>
      </c>
      <c r="I129">
        <v>-972829.35</v>
      </c>
      <c r="J129">
        <v>-822431.49</v>
      </c>
      <c r="K129">
        <v>-914534</v>
      </c>
      <c r="L129">
        <v>-838919</v>
      </c>
      <c r="N129" s="4">
        <v>102</v>
      </c>
    </row>
    <row r="130" spans="1:14" x14ac:dyDescent="0.3">
      <c r="A130" t="s">
        <v>20</v>
      </c>
      <c r="B130">
        <v>-715147.87</v>
      </c>
      <c r="C130">
        <v>-585527.30000000005</v>
      </c>
      <c r="D130">
        <v>-713099.8</v>
      </c>
      <c r="E130">
        <v>-773657.47</v>
      </c>
      <c r="F130">
        <v>-580672.81999999995</v>
      </c>
      <c r="G130">
        <v>-863988.53</v>
      </c>
      <c r="H130">
        <v>-750284.6</v>
      </c>
      <c r="I130">
        <v>-808781.79</v>
      </c>
      <c r="J130">
        <v>-596362.35</v>
      </c>
      <c r="K130">
        <v>-606824</v>
      </c>
      <c r="L130">
        <v>-695050</v>
      </c>
      <c r="N130" s="4">
        <v>103</v>
      </c>
    </row>
    <row r="131" spans="1:14" x14ac:dyDescent="0.3">
      <c r="A131" t="s">
        <v>21</v>
      </c>
      <c r="B131">
        <v>-340164.78</v>
      </c>
      <c r="C131">
        <v>-412925.93</v>
      </c>
      <c r="D131">
        <v>-247030.37</v>
      </c>
      <c r="E131">
        <v>-287004.83</v>
      </c>
      <c r="F131">
        <v>-397141.53</v>
      </c>
      <c r="G131">
        <v>-256036.71</v>
      </c>
      <c r="H131">
        <v>-332828.36</v>
      </c>
      <c r="I131">
        <v>-310310.67</v>
      </c>
      <c r="J131">
        <v>-310589.75</v>
      </c>
      <c r="K131">
        <v>-359521</v>
      </c>
      <c r="L131">
        <v>-297437</v>
      </c>
      <c r="N131" s="4">
        <v>110</v>
      </c>
    </row>
    <row r="132" spans="1:14" x14ac:dyDescent="0.3">
      <c r="A132" t="s">
        <v>22</v>
      </c>
      <c r="B132">
        <v>-120572.62</v>
      </c>
      <c r="C132">
        <v>-175371.17</v>
      </c>
      <c r="D132">
        <v>-66191.259999999995</v>
      </c>
      <c r="E132">
        <v>-105050.2</v>
      </c>
      <c r="F132">
        <v>-106072.49</v>
      </c>
      <c r="G132">
        <v>-136769.60000000001</v>
      </c>
      <c r="H132">
        <v>-152221.94</v>
      </c>
      <c r="I132">
        <v>-104057.28</v>
      </c>
      <c r="J132">
        <v>-112904.31</v>
      </c>
      <c r="K132">
        <v>-86394</v>
      </c>
      <c r="L132">
        <v>-110794</v>
      </c>
      <c r="N132" s="4">
        <v>109</v>
      </c>
    </row>
    <row r="133" spans="1:14" x14ac:dyDescent="0.3">
      <c r="A133" t="s">
        <v>23</v>
      </c>
      <c r="B133">
        <v>-514429.52</v>
      </c>
      <c r="C133">
        <v>-533057.79</v>
      </c>
      <c r="D133">
        <v>-386352.71</v>
      </c>
      <c r="E133">
        <v>-512903.97</v>
      </c>
      <c r="F133">
        <v>-631788.01</v>
      </c>
      <c r="G133">
        <v>-551517.51</v>
      </c>
      <c r="H133">
        <v>-428184.68</v>
      </c>
      <c r="I133">
        <v>-500318.94</v>
      </c>
      <c r="J133">
        <v>-420671.67</v>
      </c>
      <c r="K133">
        <v>-462274</v>
      </c>
      <c r="L133">
        <v>-481732</v>
      </c>
      <c r="N133" s="4">
        <v>106</v>
      </c>
    </row>
    <row r="134" spans="1:14" x14ac:dyDescent="0.3">
      <c r="A134" t="s">
        <v>24</v>
      </c>
      <c r="B134">
        <v>-545489.84</v>
      </c>
      <c r="C134">
        <v>-610041.11</v>
      </c>
      <c r="D134">
        <v>-482293.64</v>
      </c>
      <c r="E134">
        <v>-599150.72</v>
      </c>
      <c r="F134">
        <v>-526319.32999999996</v>
      </c>
      <c r="G134">
        <v>-638032.52</v>
      </c>
      <c r="H134">
        <v>-568927.56999999995</v>
      </c>
      <c r="I134">
        <v>-612833.85</v>
      </c>
      <c r="J134">
        <v>-544251.19999999995</v>
      </c>
      <c r="K134">
        <v>-527720</v>
      </c>
      <c r="L134">
        <v>-545296</v>
      </c>
      <c r="N134" s="4">
        <v>104</v>
      </c>
    </row>
    <row r="135" spans="1:14" x14ac:dyDescent="0.3">
      <c r="A135" t="s">
        <v>25</v>
      </c>
      <c r="B135">
        <v>-509743.15</v>
      </c>
      <c r="C135">
        <v>-436325.54</v>
      </c>
      <c r="D135">
        <v>-508523.04</v>
      </c>
      <c r="E135">
        <v>-536160</v>
      </c>
      <c r="F135">
        <v>-417059.96</v>
      </c>
      <c r="G135">
        <v>-659892.46</v>
      </c>
      <c r="H135">
        <v>-641570.14</v>
      </c>
      <c r="I135">
        <v>-494438.93</v>
      </c>
      <c r="J135">
        <v>-578553.72</v>
      </c>
      <c r="K135">
        <v>-468876</v>
      </c>
      <c r="L135">
        <v>-503331</v>
      </c>
      <c r="N135" s="4">
        <v>111</v>
      </c>
    </row>
    <row r="136" spans="1:14" x14ac:dyDescent="0.3">
      <c r="A136" t="s">
        <v>26</v>
      </c>
      <c r="B136">
        <v>-545459.85</v>
      </c>
      <c r="C136">
        <v>-449885.97</v>
      </c>
      <c r="D136">
        <v>-374791.99</v>
      </c>
      <c r="E136">
        <v>-481933.85</v>
      </c>
      <c r="F136">
        <v>-486514.45</v>
      </c>
      <c r="G136">
        <v>-439539.41</v>
      </c>
      <c r="H136">
        <v>-522801.58</v>
      </c>
      <c r="I136">
        <v>-428650.39</v>
      </c>
      <c r="J136">
        <v>-405460.47999999998</v>
      </c>
      <c r="K136">
        <v>-401035</v>
      </c>
      <c r="L136">
        <v>-402086</v>
      </c>
      <c r="N136" s="4">
        <v>107</v>
      </c>
    </row>
    <row r="137" spans="1:14" x14ac:dyDescent="0.3">
      <c r="A137" t="s">
        <v>27</v>
      </c>
      <c r="B137">
        <v>-554908.46</v>
      </c>
      <c r="C137">
        <v>-482849.95</v>
      </c>
      <c r="D137">
        <v>-456429.13</v>
      </c>
      <c r="E137">
        <v>-636941.75</v>
      </c>
      <c r="F137">
        <v>-484291.68</v>
      </c>
      <c r="G137">
        <v>-670652.57999999996</v>
      </c>
      <c r="H137">
        <v>-529166.80000000005</v>
      </c>
      <c r="I137">
        <v>-581763.82999999996</v>
      </c>
      <c r="J137">
        <v>-417628.64</v>
      </c>
      <c r="K137">
        <v>-508305</v>
      </c>
      <c r="L137">
        <v>-502203</v>
      </c>
      <c r="N137" s="4">
        <v>108</v>
      </c>
    </row>
    <row r="138" spans="1:14" x14ac:dyDescent="0.3">
      <c r="B138">
        <v>-6033253.2500000009</v>
      </c>
      <c r="C138">
        <v>-5895603.6600000001</v>
      </c>
      <c r="D138">
        <v>-5485169.1199999992</v>
      </c>
      <c r="E138">
        <v>-5867999.1399999997</v>
      </c>
      <c r="F138">
        <v>-5729563.5800000001</v>
      </c>
      <c r="G138">
        <v>-6534785.5000000009</v>
      </c>
      <c r="H138">
        <v>-6133869.25</v>
      </c>
      <c r="I138">
        <v>-5791537.9899999993</v>
      </c>
      <c r="J138">
        <v>-5089571.72</v>
      </c>
      <c r="K138">
        <v>-12624524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81F413-3F4C-45AC-8A6D-6A152E7FAA28}">
  <dimension ref="A2:M64"/>
  <sheetViews>
    <sheetView topLeftCell="A23" workbookViewId="0">
      <selection activeCell="R27" sqref="R27"/>
    </sheetView>
  </sheetViews>
  <sheetFormatPr defaultRowHeight="14.4" x14ac:dyDescent="0.3"/>
  <cols>
    <col min="1" max="1" width="14" bestFit="1" customWidth="1"/>
  </cols>
  <sheetData>
    <row r="2" spans="1:4" x14ac:dyDescent="0.3">
      <c r="A2" t="s">
        <v>94</v>
      </c>
      <c r="B2" t="s">
        <v>95</v>
      </c>
      <c r="C2" t="s">
        <v>96</v>
      </c>
      <c r="D2" t="s">
        <v>97</v>
      </c>
    </row>
    <row r="3" spans="1:4" x14ac:dyDescent="0.3">
      <c r="A3" t="s">
        <v>98</v>
      </c>
      <c r="B3">
        <f t="shared" ref="B3:B22" si="0">D3-C3</f>
        <v>269</v>
      </c>
      <c r="C3">
        <v>1679</v>
      </c>
      <c r="D3">
        <v>1948</v>
      </c>
    </row>
    <row r="4" spans="1:4" x14ac:dyDescent="0.3">
      <c r="A4" t="s">
        <v>99</v>
      </c>
      <c r="B4">
        <f t="shared" si="0"/>
        <v>35</v>
      </c>
      <c r="C4">
        <v>13051</v>
      </c>
      <c r="D4">
        <v>13086</v>
      </c>
    </row>
    <row r="5" spans="1:4" x14ac:dyDescent="0.3">
      <c r="A5" t="s">
        <v>100</v>
      </c>
      <c r="B5">
        <f t="shared" si="0"/>
        <v>31</v>
      </c>
      <c r="C5">
        <v>4845</v>
      </c>
      <c r="D5">
        <v>4876</v>
      </c>
    </row>
    <row r="6" spans="1:4" x14ac:dyDescent="0.3">
      <c r="A6" t="s">
        <v>101</v>
      </c>
      <c r="B6">
        <f t="shared" si="0"/>
        <v>25</v>
      </c>
      <c r="C6">
        <v>7183</v>
      </c>
      <c r="D6">
        <v>7208</v>
      </c>
    </row>
    <row r="7" spans="1:4" x14ac:dyDescent="0.3">
      <c r="A7" t="s">
        <v>102</v>
      </c>
      <c r="B7">
        <f t="shared" si="0"/>
        <v>17</v>
      </c>
      <c r="C7">
        <v>4332</v>
      </c>
      <c r="D7">
        <v>4349</v>
      </c>
    </row>
    <row r="8" spans="1:4" x14ac:dyDescent="0.3">
      <c r="A8" t="s">
        <v>103</v>
      </c>
      <c r="B8">
        <f t="shared" si="0"/>
        <v>15</v>
      </c>
      <c r="C8">
        <v>6969</v>
      </c>
      <c r="D8">
        <v>6984</v>
      </c>
    </row>
    <row r="9" spans="1:4" x14ac:dyDescent="0.3">
      <c r="A9" t="s">
        <v>104</v>
      </c>
      <c r="B9">
        <f t="shared" si="0"/>
        <v>10</v>
      </c>
      <c r="C9">
        <v>1535</v>
      </c>
      <c r="D9">
        <v>1545</v>
      </c>
    </row>
    <row r="10" spans="1:4" x14ac:dyDescent="0.3">
      <c r="A10" t="s">
        <v>105</v>
      </c>
      <c r="B10">
        <f t="shared" si="0"/>
        <v>8</v>
      </c>
      <c r="C10">
        <v>5623</v>
      </c>
      <c r="D10">
        <v>5631</v>
      </c>
    </row>
    <row r="11" spans="1:4" x14ac:dyDescent="0.3">
      <c r="A11" t="s">
        <v>106</v>
      </c>
      <c r="B11">
        <f t="shared" si="0"/>
        <v>8</v>
      </c>
      <c r="C11">
        <v>5034</v>
      </c>
      <c r="D11">
        <v>5042</v>
      </c>
    </row>
    <row r="12" spans="1:4" x14ac:dyDescent="0.3">
      <c r="A12" t="s">
        <v>107</v>
      </c>
      <c r="B12">
        <f t="shared" si="0"/>
        <v>0</v>
      </c>
      <c r="C12">
        <v>1501</v>
      </c>
      <c r="D12">
        <v>1501</v>
      </c>
    </row>
    <row r="13" spans="1:4" x14ac:dyDescent="0.3">
      <c r="A13" t="s">
        <v>108</v>
      </c>
      <c r="B13">
        <f t="shared" si="0"/>
        <v>-13</v>
      </c>
      <c r="C13">
        <v>4226</v>
      </c>
      <c r="D13">
        <v>4213</v>
      </c>
    </row>
    <row r="14" spans="1:4" x14ac:dyDescent="0.3">
      <c r="A14" t="s">
        <v>109</v>
      </c>
      <c r="B14">
        <f t="shared" si="0"/>
        <v>-16</v>
      </c>
      <c r="C14">
        <v>3972</v>
      </c>
      <c r="D14">
        <v>3956</v>
      </c>
    </row>
    <row r="15" spans="1:4" x14ac:dyDescent="0.3">
      <c r="A15" t="s">
        <v>110</v>
      </c>
      <c r="B15">
        <f t="shared" si="0"/>
        <v>-18</v>
      </c>
      <c r="C15">
        <v>5963</v>
      </c>
      <c r="D15">
        <v>5945</v>
      </c>
    </row>
    <row r="16" spans="1:4" x14ac:dyDescent="0.3">
      <c r="A16" t="s">
        <v>111</v>
      </c>
      <c r="B16">
        <f t="shared" si="0"/>
        <v>-24</v>
      </c>
      <c r="C16">
        <v>10632</v>
      </c>
      <c r="D16">
        <v>10608</v>
      </c>
    </row>
    <row r="17" spans="1:13" x14ac:dyDescent="0.3">
      <c r="A17" t="s">
        <v>112</v>
      </c>
      <c r="B17">
        <f t="shared" si="0"/>
        <v>-25</v>
      </c>
      <c r="C17">
        <v>6372</v>
      </c>
      <c r="D17">
        <v>6347</v>
      </c>
    </row>
    <row r="18" spans="1:13" x14ac:dyDescent="0.3">
      <c r="A18" t="s">
        <v>113</v>
      </c>
      <c r="B18">
        <f t="shared" si="0"/>
        <v>-30</v>
      </c>
      <c r="C18">
        <v>6431</v>
      </c>
      <c r="D18">
        <v>6401</v>
      </c>
    </row>
    <row r="19" spans="1:13" x14ac:dyDescent="0.3">
      <c r="A19" t="s">
        <v>114</v>
      </c>
      <c r="B19">
        <f t="shared" si="0"/>
        <v>-31</v>
      </c>
      <c r="C19">
        <v>7810</v>
      </c>
      <c r="D19">
        <v>7779</v>
      </c>
    </row>
    <row r="20" spans="1:13" x14ac:dyDescent="0.3">
      <c r="A20" t="s">
        <v>115</v>
      </c>
      <c r="B20">
        <f t="shared" si="0"/>
        <v>-32</v>
      </c>
      <c r="C20">
        <v>8009</v>
      </c>
      <c r="D20">
        <v>7977</v>
      </c>
    </row>
    <row r="21" spans="1:13" x14ac:dyDescent="0.3">
      <c r="A21" t="s">
        <v>116</v>
      </c>
      <c r="B21">
        <f t="shared" si="0"/>
        <v>-32</v>
      </c>
      <c r="C21">
        <v>8337</v>
      </c>
      <c r="D21">
        <v>8305</v>
      </c>
    </row>
    <row r="22" spans="1:13" x14ac:dyDescent="0.3">
      <c r="A22" t="s">
        <v>117</v>
      </c>
      <c r="B22">
        <f t="shared" si="0"/>
        <v>-47</v>
      </c>
      <c r="C22">
        <v>6258</v>
      </c>
      <c r="D22">
        <v>6211</v>
      </c>
    </row>
    <row r="23" spans="1:13" x14ac:dyDescent="0.3">
      <c r="B23">
        <f>SUBTOTAL(109,Tabell510[förändring])</f>
        <v>150</v>
      </c>
      <c r="C23">
        <f>SUBTOTAL(109,Tabell510[202602])</f>
        <v>119762</v>
      </c>
      <c r="D23">
        <f>SUBTOTAL(109,Tabell510[202603])</f>
        <v>119912</v>
      </c>
    </row>
    <row r="26" spans="1:13" x14ac:dyDescent="0.3">
      <c r="A26" s="15" t="s">
        <v>118</v>
      </c>
      <c r="B26" s="15">
        <v>202504</v>
      </c>
      <c r="C26" s="15">
        <v>202505</v>
      </c>
      <c r="D26" s="15">
        <v>202506</v>
      </c>
      <c r="E26" s="15">
        <v>202507</v>
      </c>
      <c r="F26" s="15">
        <v>202508</v>
      </c>
      <c r="G26" s="15">
        <v>202509</v>
      </c>
      <c r="H26" s="15">
        <v>202510</v>
      </c>
      <c r="I26" s="15">
        <v>202511</v>
      </c>
      <c r="J26" s="15">
        <v>202512</v>
      </c>
      <c r="K26" s="15">
        <v>202601</v>
      </c>
      <c r="L26" s="15">
        <v>202602</v>
      </c>
      <c r="M26" s="15">
        <v>202603</v>
      </c>
    </row>
    <row r="27" spans="1:13" x14ac:dyDescent="0.3">
      <c r="A27" t="s">
        <v>115</v>
      </c>
      <c r="B27">
        <v>41</v>
      </c>
      <c r="C27">
        <v>24</v>
      </c>
      <c r="D27">
        <v>24</v>
      </c>
      <c r="E27">
        <v>47</v>
      </c>
      <c r="F27">
        <v>6</v>
      </c>
      <c r="G27">
        <v>44</v>
      </c>
      <c r="H27">
        <v>46</v>
      </c>
      <c r="I27">
        <v>49</v>
      </c>
      <c r="J27">
        <v>39</v>
      </c>
      <c r="K27">
        <v>23</v>
      </c>
      <c r="L27">
        <v>25</v>
      </c>
      <c r="M27">
        <v>38</v>
      </c>
    </row>
    <row r="28" spans="1:13" x14ac:dyDescent="0.3">
      <c r="A28" t="s">
        <v>103</v>
      </c>
      <c r="B28">
        <v>50</v>
      </c>
      <c r="C28">
        <v>26</v>
      </c>
      <c r="D28">
        <v>34</v>
      </c>
      <c r="E28">
        <v>28</v>
      </c>
      <c r="F28">
        <v>17</v>
      </c>
      <c r="G28">
        <v>57</v>
      </c>
      <c r="H28">
        <v>44</v>
      </c>
      <c r="I28">
        <v>36</v>
      </c>
      <c r="J28">
        <v>29</v>
      </c>
      <c r="K28">
        <v>24</v>
      </c>
      <c r="L28">
        <v>26</v>
      </c>
      <c r="M28">
        <v>54</v>
      </c>
    </row>
    <row r="29" spans="1:13" x14ac:dyDescent="0.3">
      <c r="A29" t="s">
        <v>100</v>
      </c>
      <c r="B29">
        <v>19</v>
      </c>
      <c r="C29">
        <v>13</v>
      </c>
      <c r="D29">
        <v>33</v>
      </c>
      <c r="E29">
        <v>39</v>
      </c>
      <c r="F29">
        <v>23</v>
      </c>
      <c r="G29">
        <v>41</v>
      </c>
      <c r="H29">
        <v>37</v>
      </c>
      <c r="I29">
        <v>36</v>
      </c>
      <c r="J29">
        <v>36</v>
      </c>
      <c r="K29">
        <v>11</v>
      </c>
      <c r="L29">
        <v>15</v>
      </c>
      <c r="M29">
        <v>23</v>
      </c>
    </row>
    <row r="30" spans="1:13" x14ac:dyDescent="0.3">
      <c r="A30" t="s">
        <v>112</v>
      </c>
      <c r="B30">
        <v>40</v>
      </c>
      <c r="C30">
        <v>37</v>
      </c>
      <c r="D30">
        <v>38</v>
      </c>
      <c r="E30">
        <v>24</v>
      </c>
      <c r="F30">
        <v>31</v>
      </c>
      <c r="G30">
        <v>61</v>
      </c>
      <c r="H30">
        <v>52</v>
      </c>
      <c r="I30">
        <v>42</v>
      </c>
      <c r="J30">
        <v>35</v>
      </c>
      <c r="K30">
        <v>64</v>
      </c>
      <c r="L30">
        <v>77</v>
      </c>
      <c r="M30">
        <v>76</v>
      </c>
    </row>
    <row r="31" spans="1:13" x14ac:dyDescent="0.3">
      <c r="A31" t="s">
        <v>105</v>
      </c>
      <c r="B31">
        <v>29</v>
      </c>
      <c r="C31">
        <v>29</v>
      </c>
      <c r="D31">
        <v>29</v>
      </c>
      <c r="E31">
        <v>22</v>
      </c>
      <c r="F31">
        <v>34</v>
      </c>
      <c r="G31">
        <v>29</v>
      </c>
      <c r="H31">
        <v>30</v>
      </c>
      <c r="I31">
        <v>22</v>
      </c>
      <c r="J31">
        <v>26</v>
      </c>
      <c r="K31">
        <v>31</v>
      </c>
      <c r="L31">
        <v>38</v>
      </c>
      <c r="M31">
        <v>54</v>
      </c>
    </row>
    <row r="32" spans="1:13" x14ac:dyDescent="0.3">
      <c r="A32" t="s">
        <v>106</v>
      </c>
      <c r="B32">
        <v>82</v>
      </c>
      <c r="C32">
        <v>78</v>
      </c>
      <c r="D32">
        <v>42</v>
      </c>
      <c r="E32">
        <v>39</v>
      </c>
      <c r="F32">
        <v>58</v>
      </c>
      <c r="G32">
        <v>74</v>
      </c>
      <c r="H32">
        <v>54</v>
      </c>
      <c r="I32">
        <v>78</v>
      </c>
      <c r="J32">
        <v>58</v>
      </c>
      <c r="K32">
        <v>82</v>
      </c>
      <c r="L32">
        <v>115</v>
      </c>
      <c r="M32">
        <v>115</v>
      </c>
    </row>
    <row r="33" spans="1:13" x14ac:dyDescent="0.3">
      <c r="A33" t="s">
        <v>110</v>
      </c>
      <c r="B33">
        <v>21</v>
      </c>
      <c r="C33">
        <v>41</v>
      </c>
      <c r="D33">
        <v>50</v>
      </c>
      <c r="E33">
        <v>23</v>
      </c>
      <c r="F33">
        <v>63</v>
      </c>
      <c r="G33">
        <v>81</v>
      </c>
      <c r="H33">
        <v>63</v>
      </c>
      <c r="I33">
        <v>51</v>
      </c>
      <c r="J33">
        <v>46</v>
      </c>
      <c r="K33">
        <v>34</v>
      </c>
      <c r="L33">
        <v>35</v>
      </c>
      <c r="M33">
        <v>70</v>
      </c>
    </row>
    <row r="34" spans="1:13" x14ac:dyDescent="0.3">
      <c r="A34" t="s">
        <v>98</v>
      </c>
      <c r="B34">
        <v>5</v>
      </c>
      <c r="C34">
        <v>6</v>
      </c>
      <c r="D34">
        <v>7</v>
      </c>
      <c r="E34">
        <v>7</v>
      </c>
      <c r="F34">
        <v>2</v>
      </c>
      <c r="G34">
        <v>7</v>
      </c>
      <c r="H34">
        <v>16</v>
      </c>
      <c r="I34">
        <v>11</v>
      </c>
      <c r="J34">
        <v>9</v>
      </c>
      <c r="K34">
        <v>9</v>
      </c>
      <c r="L34">
        <v>5</v>
      </c>
      <c r="M34">
        <v>14</v>
      </c>
    </row>
    <row r="35" spans="1:13" x14ac:dyDescent="0.3">
      <c r="A35" t="s">
        <v>111</v>
      </c>
      <c r="B35">
        <v>35</v>
      </c>
      <c r="C35">
        <v>29</v>
      </c>
      <c r="D35">
        <v>35</v>
      </c>
      <c r="E35">
        <v>27</v>
      </c>
      <c r="F35">
        <v>12</v>
      </c>
      <c r="G35">
        <v>47</v>
      </c>
      <c r="H35">
        <v>28</v>
      </c>
      <c r="I35">
        <v>34</v>
      </c>
      <c r="J35">
        <v>14</v>
      </c>
      <c r="K35">
        <v>25</v>
      </c>
      <c r="L35">
        <v>44</v>
      </c>
      <c r="M35">
        <v>38</v>
      </c>
    </row>
    <row r="36" spans="1:13" x14ac:dyDescent="0.3">
      <c r="A36" t="s">
        <v>119</v>
      </c>
      <c r="B36">
        <v>20</v>
      </c>
      <c r="C36">
        <v>20</v>
      </c>
      <c r="D36">
        <v>10</v>
      </c>
      <c r="F36">
        <v>9</v>
      </c>
      <c r="G36">
        <v>14</v>
      </c>
      <c r="H36">
        <v>12</v>
      </c>
      <c r="I36">
        <v>17</v>
      </c>
      <c r="J36">
        <v>11</v>
      </c>
      <c r="K36">
        <v>21</v>
      </c>
      <c r="L36">
        <v>39</v>
      </c>
      <c r="M36">
        <v>30</v>
      </c>
    </row>
    <row r="37" spans="1:13" x14ac:dyDescent="0.3">
      <c r="A37" t="s">
        <v>99</v>
      </c>
      <c r="B37">
        <v>50</v>
      </c>
      <c r="C37">
        <v>31</v>
      </c>
      <c r="D37">
        <v>32</v>
      </c>
      <c r="E37">
        <v>18</v>
      </c>
      <c r="F37">
        <v>28</v>
      </c>
      <c r="G37">
        <v>67</v>
      </c>
      <c r="H37">
        <v>38</v>
      </c>
      <c r="I37">
        <v>47</v>
      </c>
      <c r="J37">
        <v>25</v>
      </c>
      <c r="K37">
        <v>32</v>
      </c>
      <c r="L37">
        <v>33</v>
      </c>
      <c r="M37">
        <v>60</v>
      </c>
    </row>
    <row r="38" spans="1:13" x14ac:dyDescent="0.3">
      <c r="A38" t="s">
        <v>114</v>
      </c>
      <c r="B38">
        <v>13</v>
      </c>
      <c r="C38">
        <v>5</v>
      </c>
      <c r="D38">
        <v>12</v>
      </c>
      <c r="E38">
        <v>3</v>
      </c>
      <c r="F38">
        <v>10</v>
      </c>
      <c r="G38">
        <v>14</v>
      </c>
      <c r="H38">
        <v>14</v>
      </c>
      <c r="I38">
        <v>11</v>
      </c>
      <c r="J38">
        <v>24</v>
      </c>
      <c r="K38">
        <v>32</v>
      </c>
      <c r="L38">
        <v>5</v>
      </c>
      <c r="M38">
        <v>12</v>
      </c>
    </row>
    <row r="39" spans="1:13" x14ac:dyDescent="0.3">
      <c r="A39" t="s">
        <v>101</v>
      </c>
      <c r="B39">
        <v>41</v>
      </c>
      <c r="C39">
        <v>21</v>
      </c>
      <c r="D39">
        <v>21</v>
      </c>
      <c r="E39">
        <v>10</v>
      </c>
      <c r="F39">
        <v>10</v>
      </c>
      <c r="G39">
        <v>27</v>
      </c>
      <c r="H39">
        <v>24</v>
      </c>
      <c r="I39">
        <v>17</v>
      </c>
      <c r="J39">
        <v>16</v>
      </c>
      <c r="K39">
        <v>20</v>
      </c>
      <c r="L39">
        <v>24</v>
      </c>
      <c r="M39">
        <v>40</v>
      </c>
    </row>
    <row r="40" spans="1:13" x14ac:dyDescent="0.3">
      <c r="A40" t="s">
        <v>120</v>
      </c>
      <c r="B40">
        <v>104</v>
      </c>
      <c r="C40">
        <v>99</v>
      </c>
      <c r="D40">
        <v>85</v>
      </c>
      <c r="E40">
        <v>50</v>
      </c>
      <c r="F40">
        <v>44</v>
      </c>
      <c r="G40">
        <v>83</v>
      </c>
      <c r="H40">
        <v>44</v>
      </c>
      <c r="I40">
        <v>61</v>
      </c>
      <c r="J40">
        <v>42</v>
      </c>
      <c r="K40">
        <v>59</v>
      </c>
      <c r="L40">
        <v>94</v>
      </c>
      <c r="M40">
        <v>52</v>
      </c>
    </row>
    <row r="41" spans="1:13" x14ac:dyDescent="0.3">
      <c r="A41" t="s">
        <v>121</v>
      </c>
      <c r="B41">
        <v>22</v>
      </c>
      <c r="C41">
        <v>16</v>
      </c>
      <c r="D41">
        <v>10</v>
      </c>
      <c r="E41">
        <v>2</v>
      </c>
      <c r="F41">
        <v>11</v>
      </c>
      <c r="G41">
        <v>15</v>
      </c>
      <c r="H41">
        <v>12</v>
      </c>
      <c r="I41">
        <v>10</v>
      </c>
      <c r="J41">
        <v>11</v>
      </c>
      <c r="K41">
        <v>3</v>
      </c>
      <c r="L41">
        <v>10</v>
      </c>
      <c r="M41">
        <v>11</v>
      </c>
    </row>
    <row r="42" spans="1:13" x14ac:dyDescent="0.3">
      <c r="B42" s="14">
        <f t="shared" ref="B42:M42" si="1">SUM(B27:B41)</f>
        <v>572</v>
      </c>
      <c r="C42" s="14">
        <f t="shared" si="1"/>
        <v>475</v>
      </c>
      <c r="D42" s="14">
        <f>SUM(D27:D41)</f>
        <v>462</v>
      </c>
      <c r="E42" s="14">
        <f t="shared" si="1"/>
        <v>339</v>
      </c>
      <c r="F42" s="14">
        <f t="shared" si="1"/>
        <v>358</v>
      </c>
      <c r="G42" s="14">
        <f t="shared" si="1"/>
        <v>661</v>
      </c>
      <c r="H42" s="14">
        <f t="shared" si="1"/>
        <v>514</v>
      </c>
      <c r="I42" s="14">
        <f t="shared" si="1"/>
        <v>522</v>
      </c>
      <c r="J42" s="14">
        <f t="shared" si="1"/>
        <v>421</v>
      </c>
      <c r="K42" s="14">
        <f t="shared" si="1"/>
        <v>470</v>
      </c>
      <c r="L42" s="14">
        <f t="shared" si="1"/>
        <v>585</v>
      </c>
      <c r="M42" s="14">
        <f t="shared" si="1"/>
        <v>687</v>
      </c>
    </row>
    <row r="44" spans="1:13" x14ac:dyDescent="0.3">
      <c r="B44">
        <v>202504</v>
      </c>
      <c r="C44">
        <v>202505</v>
      </c>
      <c r="D44">
        <v>202506</v>
      </c>
      <c r="E44">
        <v>202507</v>
      </c>
      <c r="F44">
        <v>202508</v>
      </c>
      <c r="G44">
        <v>202509</v>
      </c>
      <c r="H44">
        <v>202510</v>
      </c>
      <c r="I44">
        <v>202511</v>
      </c>
      <c r="J44">
        <v>202512</v>
      </c>
      <c r="K44">
        <v>202601</v>
      </c>
      <c r="L44">
        <v>202602</v>
      </c>
      <c r="M44">
        <v>202603</v>
      </c>
    </row>
    <row r="45" spans="1:13" x14ac:dyDescent="0.3">
      <c r="B45">
        <f>B42</f>
        <v>572</v>
      </c>
      <c r="C45">
        <f t="shared" ref="C45:E45" si="2">C42</f>
        <v>475</v>
      </c>
      <c r="D45">
        <f t="shared" si="2"/>
        <v>462</v>
      </c>
      <c r="E45">
        <f t="shared" si="2"/>
        <v>339</v>
      </c>
      <c r="F45">
        <f>F42</f>
        <v>358</v>
      </c>
      <c r="G45">
        <f t="shared" ref="G45:M45" si="3">G42</f>
        <v>661</v>
      </c>
      <c r="H45">
        <f t="shared" si="3"/>
        <v>514</v>
      </c>
      <c r="I45">
        <f t="shared" si="3"/>
        <v>522</v>
      </c>
      <c r="J45">
        <f t="shared" si="3"/>
        <v>421</v>
      </c>
      <c r="K45">
        <f t="shared" si="3"/>
        <v>470</v>
      </c>
      <c r="L45">
        <f t="shared" si="3"/>
        <v>585</v>
      </c>
      <c r="M45">
        <f t="shared" si="3"/>
        <v>687</v>
      </c>
    </row>
    <row r="48" spans="1:13" x14ac:dyDescent="0.3">
      <c r="A48" t="s">
        <v>122</v>
      </c>
      <c r="B48">
        <v>202504</v>
      </c>
      <c r="C48">
        <v>202505</v>
      </c>
      <c r="D48">
        <v>202506</v>
      </c>
      <c r="E48">
        <v>202507</v>
      </c>
      <c r="F48">
        <v>202508</v>
      </c>
      <c r="G48">
        <v>202509</v>
      </c>
      <c r="H48">
        <v>202510</v>
      </c>
      <c r="I48">
        <v>202511</v>
      </c>
      <c r="J48">
        <v>202512</v>
      </c>
      <c r="K48">
        <v>202601</v>
      </c>
      <c r="L48">
        <v>202602</v>
      </c>
      <c r="M48">
        <v>202603</v>
      </c>
    </row>
    <row r="49" spans="1:13" x14ac:dyDescent="0.3">
      <c r="A49" t="s">
        <v>115</v>
      </c>
      <c r="B49">
        <v>924</v>
      </c>
      <c r="C49">
        <v>842</v>
      </c>
      <c r="D49">
        <v>887</v>
      </c>
      <c r="E49">
        <v>958</v>
      </c>
      <c r="F49">
        <v>560</v>
      </c>
      <c r="G49">
        <v>1031</v>
      </c>
      <c r="H49">
        <v>1025</v>
      </c>
      <c r="I49">
        <v>990</v>
      </c>
      <c r="J49">
        <v>778</v>
      </c>
      <c r="K49">
        <v>779</v>
      </c>
      <c r="L49">
        <v>900</v>
      </c>
      <c r="M49">
        <v>884</v>
      </c>
    </row>
    <row r="50" spans="1:13" x14ac:dyDescent="0.3">
      <c r="A50" t="s">
        <v>103</v>
      </c>
      <c r="B50">
        <v>934</v>
      </c>
      <c r="C50">
        <v>1056</v>
      </c>
      <c r="D50">
        <v>952</v>
      </c>
      <c r="E50">
        <v>829</v>
      </c>
      <c r="F50">
        <v>503</v>
      </c>
      <c r="G50">
        <v>931</v>
      </c>
      <c r="H50">
        <v>1013</v>
      </c>
      <c r="I50">
        <v>990</v>
      </c>
      <c r="J50">
        <v>748</v>
      </c>
      <c r="K50">
        <v>754</v>
      </c>
      <c r="L50">
        <v>884</v>
      </c>
      <c r="M50">
        <v>1064</v>
      </c>
    </row>
    <row r="51" spans="1:13" x14ac:dyDescent="0.3">
      <c r="A51" t="s">
        <v>100</v>
      </c>
      <c r="B51">
        <v>850</v>
      </c>
      <c r="C51">
        <v>675</v>
      </c>
      <c r="D51">
        <v>598</v>
      </c>
      <c r="E51">
        <v>540</v>
      </c>
      <c r="F51">
        <v>578</v>
      </c>
      <c r="G51">
        <v>717</v>
      </c>
      <c r="H51">
        <v>790</v>
      </c>
      <c r="I51">
        <v>864</v>
      </c>
      <c r="J51">
        <v>680</v>
      </c>
      <c r="K51">
        <v>554</v>
      </c>
      <c r="L51">
        <v>962</v>
      </c>
      <c r="M51">
        <v>628</v>
      </c>
    </row>
    <row r="52" spans="1:13" x14ac:dyDescent="0.3">
      <c r="A52" t="s">
        <v>112</v>
      </c>
      <c r="B52">
        <v>919</v>
      </c>
      <c r="C52">
        <v>1009</v>
      </c>
      <c r="D52">
        <v>826</v>
      </c>
      <c r="E52">
        <v>635</v>
      </c>
      <c r="F52">
        <v>659</v>
      </c>
      <c r="G52">
        <v>1065</v>
      </c>
      <c r="H52">
        <v>1036</v>
      </c>
      <c r="I52">
        <v>627</v>
      </c>
      <c r="J52">
        <v>452</v>
      </c>
      <c r="K52">
        <v>894</v>
      </c>
      <c r="L52">
        <v>962</v>
      </c>
      <c r="M52">
        <v>1004</v>
      </c>
    </row>
    <row r="53" spans="1:13" x14ac:dyDescent="0.3">
      <c r="A53" t="s">
        <v>105</v>
      </c>
      <c r="B53">
        <v>557</v>
      </c>
      <c r="C53">
        <v>592</v>
      </c>
      <c r="D53">
        <v>450</v>
      </c>
      <c r="E53">
        <v>493</v>
      </c>
      <c r="F53">
        <v>564</v>
      </c>
      <c r="G53">
        <v>592</v>
      </c>
      <c r="H53">
        <v>635</v>
      </c>
      <c r="I53">
        <v>863</v>
      </c>
      <c r="J53">
        <v>759</v>
      </c>
      <c r="K53">
        <v>476</v>
      </c>
      <c r="L53">
        <v>532</v>
      </c>
      <c r="M53">
        <v>789</v>
      </c>
    </row>
    <row r="54" spans="1:13" x14ac:dyDescent="0.3">
      <c r="A54" t="s">
        <v>106</v>
      </c>
      <c r="B54">
        <v>920</v>
      </c>
      <c r="C54">
        <v>900</v>
      </c>
      <c r="D54">
        <v>576</v>
      </c>
      <c r="E54">
        <v>490</v>
      </c>
      <c r="F54">
        <v>582</v>
      </c>
      <c r="G54">
        <v>844</v>
      </c>
      <c r="H54">
        <v>786</v>
      </c>
      <c r="I54">
        <v>638</v>
      </c>
      <c r="J54">
        <v>474</v>
      </c>
      <c r="K54">
        <v>926</v>
      </c>
      <c r="L54">
        <v>1053</v>
      </c>
      <c r="M54">
        <v>1102</v>
      </c>
    </row>
    <row r="55" spans="1:13" x14ac:dyDescent="0.3">
      <c r="A55" t="s">
        <v>110</v>
      </c>
      <c r="B55">
        <v>809</v>
      </c>
      <c r="C55">
        <v>857</v>
      </c>
      <c r="D55">
        <v>1024</v>
      </c>
      <c r="E55">
        <v>646</v>
      </c>
      <c r="F55">
        <v>996</v>
      </c>
      <c r="G55">
        <v>1358</v>
      </c>
      <c r="H55">
        <v>1215</v>
      </c>
      <c r="I55" s="8">
        <v>1093</v>
      </c>
      <c r="J55">
        <v>905</v>
      </c>
      <c r="K55">
        <v>885</v>
      </c>
      <c r="L55">
        <v>908</v>
      </c>
      <c r="M55">
        <v>1253</v>
      </c>
    </row>
    <row r="56" spans="1:13" x14ac:dyDescent="0.3">
      <c r="A56" t="s">
        <v>98</v>
      </c>
      <c r="B56">
        <v>210</v>
      </c>
      <c r="C56">
        <v>185</v>
      </c>
      <c r="D56">
        <v>200</v>
      </c>
      <c r="E56">
        <v>159</v>
      </c>
      <c r="F56">
        <v>187</v>
      </c>
      <c r="G56">
        <v>208</v>
      </c>
      <c r="H56">
        <v>313</v>
      </c>
      <c r="I56">
        <v>236</v>
      </c>
      <c r="J56">
        <v>245</v>
      </c>
      <c r="K56">
        <v>225</v>
      </c>
      <c r="L56">
        <v>244</v>
      </c>
      <c r="M56">
        <v>313</v>
      </c>
    </row>
    <row r="57" spans="1:13" x14ac:dyDescent="0.3">
      <c r="A57" t="s">
        <v>111</v>
      </c>
      <c r="C57">
        <v>1255</v>
      </c>
      <c r="D57">
        <v>1011</v>
      </c>
      <c r="E57">
        <v>932</v>
      </c>
      <c r="F57">
        <v>702</v>
      </c>
      <c r="G57">
        <v>1198</v>
      </c>
      <c r="H57">
        <v>1074</v>
      </c>
      <c r="I57">
        <v>1029</v>
      </c>
      <c r="J57">
        <v>855</v>
      </c>
      <c r="K57">
        <v>934</v>
      </c>
      <c r="L57">
        <v>1060</v>
      </c>
      <c r="M57">
        <v>1251</v>
      </c>
    </row>
    <row r="58" spans="1:13" x14ac:dyDescent="0.3">
      <c r="A58" t="s">
        <v>119</v>
      </c>
      <c r="C58">
        <v>399</v>
      </c>
      <c r="D58">
        <v>356</v>
      </c>
      <c r="E58">
        <v>500</v>
      </c>
      <c r="F58">
        <v>383</v>
      </c>
      <c r="G58">
        <v>489</v>
      </c>
      <c r="H58">
        <v>370</v>
      </c>
      <c r="I58">
        <v>353</v>
      </c>
      <c r="J58">
        <v>319</v>
      </c>
      <c r="K58">
        <v>353</v>
      </c>
      <c r="L58">
        <v>432</v>
      </c>
      <c r="M58">
        <v>458</v>
      </c>
    </row>
    <row r="59" spans="1:13" x14ac:dyDescent="0.3">
      <c r="A59" t="s">
        <v>99</v>
      </c>
      <c r="C59">
        <v>1056</v>
      </c>
      <c r="D59">
        <v>1001</v>
      </c>
      <c r="E59">
        <v>549</v>
      </c>
      <c r="F59">
        <v>751</v>
      </c>
      <c r="G59">
        <v>1119</v>
      </c>
      <c r="H59">
        <v>916</v>
      </c>
      <c r="I59">
        <v>1005</v>
      </c>
      <c r="J59">
        <v>832</v>
      </c>
      <c r="K59">
        <v>924</v>
      </c>
      <c r="L59">
        <v>959</v>
      </c>
      <c r="M59">
        <v>1203</v>
      </c>
    </row>
    <row r="60" spans="1:13" x14ac:dyDescent="0.3">
      <c r="A60" t="s">
        <v>114</v>
      </c>
      <c r="C60">
        <v>449</v>
      </c>
      <c r="D60">
        <v>407</v>
      </c>
      <c r="E60">
        <v>354</v>
      </c>
      <c r="F60">
        <v>381</v>
      </c>
      <c r="G60">
        <v>617</v>
      </c>
      <c r="H60">
        <v>685</v>
      </c>
      <c r="I60">
        <v>759</v>
      </c>
      <c r="J60">
        <v>656</v>
      </c>
      <c r="K60">
        <v>717</v>
      </c>
      <c r="L60">
        <v>526</v>
      </c>
      <c r="M60">
        <v>527</v>
      </c>
    </row>
    <row r="61" spans="1:13" x14ac:dyDescent="0.3">
      <c r="A61" t="s">
        <v>101</v>
      </c>
      <c r="C61">
        <v>1491</v>
      </c>
      <c r="D61">
        <v>1178</v>
      </c>
      <c r="E61">
        <v>792</v>
      </c>
      <c r="F61">
        <v>1085</v>
      </c>
      <c r="G61">
        <v>1917</v>
      </c>
      <c r="H61">
        <v>1757</v>
      </c>
      <c r="I61">
        <v>1687</v>
      </c>
      <c r="J61">
        <v>1321</v>
      </c>
      <c r="K61">
        <v>1371</v>
      </c>
      <c r="L61">
        <v>1605</v>
      </c>
      <c r="M61">
        <v>2056</v>
      </c>
    </row>
    <row r="62" spans="1:13" x14ac:dyDescent="0.3">
      <c r="A62" t="s">
        <v>120</v>
      </c>
      <c r="C62">
        <v>838</v>
      </c>
      <c r="D62">
        <v>831</v>
      </c>
      <c r="E62">
        <v>536</v>
      </c>
      <c r="F62">
        <v>567</v>
      </c>
      <c r="G62">
        <v>860</v>
      </c>
      <c r="H62">
        <v>715</v>
      </c>
      <c r="I62">
        <v>663</v>
      </c>
      <c r="J62">
        <v>543</v>
      </c>
      <c r="K62">
        <v>605</v>
      </c>
      <c r="L62">
        <v>758</v>
      </c>
      <c r="M62">
        <v>617</v>
      </c>
    </row>
    <row r="63" spans="1:13" x14ac:dyDescent="0.3">
      <c r="A63" t="s">
        <v>121</v>
      </c>
      <c r="C63">
        <v>1211</v>
      </c>
      <c r="D63">
        <v>1006</v>
      </c>
      <c r="E63">
        <v>1002</v>
      </c>
      <c r="F63">
        <v>1003</v>
      </c>
      <c r="G63">
        <v>1309</v>
      </c>
      <c r="H63">
        <v>1511</v>
      </c>
      <c r="I63">
        <v>1307</v>
      </c>
      <c r="J63">
        <v>1006</v>
      </c>
      <c r="K63">
        <v>1084</v>
      </c>
      <c r="L63">
        <v>1232</v>
      </c>
      <c r="M63">
        <v>1389</v>
      </c>
    </row>
    <row r="64" spans="1:13" x14ac:dyDescent="0.3">
      <c r="B64">
        <f>SUM(B49:B63)</f>
        <v>6123</v>
      </c>
      <c r="C64">
        <f t="shared" ref="C64:M64" si="4">SUM(C49:C63)</f>
        <v>12815</v>
      </c>
      <c r="D64">
        <f t="shared" si="4"/>
        <v>11303</v>
      </c>
      <c r="E64">
        <f t="shared" si="4"/>
        <v>9415</v>
      </c>
      <c r="F64">
        <f t="shared" si="4"/>
        <v>9501</v>
      </c>
      <c r="G64">
        <f t="shared" si="4"/>
        <v>14255</v>
      </c>
      <c r="H64">
        <f t="shared" si="4"/>
        <v>13841</v>
      </c>
      <c r="I64">
        <f t="shared" si="4"/>
        <v>13104</v>
      </c>
      <c r="J64">
        <f t="shared" si="4"/>
        <v>10573</v>
      </c>
      <c r="K64">
        <f t="shared" si="4"/>
        <v>11481</v>
      </c>
      <c r="L64">
        <f t="shared" si="4"/>
        <v>13017</v>
      </c>
      <c r="M64">
        <f t="shared" si="4"/>
        <v>14538</v>
      </c>
    </row>
  </sheetData>
  <pageMargins left="0.7" right="0.7" top="0.75" bottom="0.75" header="0.3" footer="0.3"/>
  <drawing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CD16B4-4C9D-4DCF-8D9A-BF04ACF45311}">
  <dimension ref="B2:D48"/>
  <sheetViews>
    <sheetView workbookViewId="0">
      <selection activeCell="B8" sqref="B8"/>
    </sheetView>
  </sheetViews>
  <sheetFormatPr defaultRowHeight="14.4" x14ac:dyDescent="0.3"/>
  <cols>
    <col min="2" max="2" width="25" customWidth="1"/>
    <col min="3" max="3" width="15" style="11" customWidth="1"/>
    <col min="4" max="4" width="25" customWidth="1"/>
  </cols>
  <sheetData>
    <row r="2" spans="2:4" ht="23.4" x14ac:dyDescent="0.3">
      <c r="B2" s="16" t="s">
        <v>88</v>
      </c>
      <c r="C2" s="17"/>
      <c r="D2" s="17"/>
    </row>
    <row r="3" spans="2:4" x14ac:dyDescent="0.3">
      <c r="B3" s="18" t="s">
        <v>89</v>
      </c>
      <c r="C3" s="17"/>
      <c r="D3" s="17"/>
    </row>
    <row r="5" spans="2:4" x14ac:dyDescent="0.3">
      <c r="B5" s="19" t="s">
        <v>90</v>
      </c>
      <c r="C5" s="20"/>
      <c r="D5" s="21"/>
    </row>
    <row r="6" spans="2:4" x14ac:dyDescent="0.3">
      <c r="B6" s="10" t="s">
        <v>92</v>
      </c>
      <c r="C6" s="12" t="s">
        <v>1</v>
      </c>
      <c r="D6" s="10" t="s">
        <v>93</v>
      </c>
    </row>
    <row r="7" spans="2:4" x14ac:dyDescent="0.3">
      <c r="B7" t="s">
        <v>33</v>
      </c>
      <c r="C7" s="11">
        <v>102</v>
      </c>
      <c r="D7" t="s">
        <v>34</v>
      </c>
    </row>
    <row r="8" spans="2:4" x14ac:dyDescent="0.3">
      <c r="B8" t="s">
        <v>35</v>
      </c>
      <c r="C8" s="11">
        <v>601</v>
      </c>
      <c r="D8" t="s">
        <v>34</v>
      </c>
    </row>
    <row r="9" spans="2:4" x14ac:dyDescent="0.3">
      <c r="B9" t="s">
        <v>36</v>
      </c>
      <c r="C9" s="11">
        <v>103</v>
      </c>
      <c r="D9" t="s">
        <v>34</v>
      </c>
    </row>
    <row r="10" spans="2:4" x14ac:dyDescent="0.3">
      <c r="B10" t="s">
        <v>37</v>
      </c>
      <c r="C10" s="11">
        <v>602</v>
      </c>
      <c r="D10" t="s">
        <v>34</v>
      </c>
    </row>
    <row r="11" spans="2:4" x14ac:dyDescent="0.3">
      <c r="B11" t="s">
        <v>38</v>
      </c>
      <c r="C11" s="11">
        <v>104</v>
      </c>
      <c r="D11" t="s">
        <v>39</v>
      </c>
    </row>
    <row r="12" spans="2:4" x14ac:dyDescent="0.3">
      <c r="B12" t="s">
        <v>40</v>
      </c>
      <c r="C12" s="11">
        <v>603</v>
      </c>
      <c r="D12" t="s">
        <v>39</v>
      </c>
    </row>
    <row r="13" spans="2:4" x14ac:dyDescent="0.3">
      <c r="B13" t="s">
        <v>41</v>
      </c>
      <c r="C13" s="11">
        <v>106</v>
      </c>
      <c r="D13" t="s">
        <v>42</v>
      </c>
    </row>
    <row r="14" spans="2:4" x14ac:dyDescent="0.3">
      <c r="B14" t="s">
        <v>43</v>
      </c>
      <c r="C14" s="11">
        <v>107</v>
      </c>
      <c r="D14" t="s">
        <v>44</v>
      </c>
    </row>
    <row r="15" spans="2:4" x14ac:dyDescent="0.3">
      <c r="B15" t="s">
        <v>45</v>
      </c>
      <c r="C15" s="11">
        <v>604</v>
      </c>
      <c r="D15" t="s">
        <v>44</v>
      </c>
    </row>
    <row r="16" spans="2:4" x14ac:dyDescent="0.3">
      <c r="B16" t="s">
        <v>46</v>
      </c>
      <c r="C16" s="11">
        <v>108</v>
      </c>
      <c r="D16" t="s">
        <v>47</v>
      </c>
    </row>
    <row r="17" spans="2:4" x14ac:dyDescent="0.3">
      <c r="B17" t="s">
        <v>48</v>
      </c>
      <c r="C17" s="11">
        <v>605</v>
      </c>
      <c r="D17" t="s">
        <v>47</v>
      </c>
    </row>
    <row r="18" spans="2:4" x14ac:dyDescent="0.3">
      <c r="B18" t="s">
        <v>49</v>
      </c>
      <c r="C18" s="11">
        <v>109</v>
      </c>
      <c r="D18" t="s">
        <v>47</v>
      </c>
    </row>
    <row r="19" spans="2:4" x14ac:dyDescent="0.3">
      <c r="B19" t="s">
        <v>50</v>
      </c>
      <c r="C19" s="11">
        <v>110</v>
      </c>
      <c r="D19" t="s">
        <v>51</v>
      </c>
    </row>
    <row r="20" spans="2:4" x14ac:dyDescent="0.3">
      <c r="B20" t="s">
        <v>52</v>
      </c>
      <c r="C20" s="11">
        <v>111</v>
      </c>
      <c r="D20" t="s">
        <v>53</v>
      </c>
    </row>
    <row r="21" spans="2:4" x14ac:dyDescent="0.3">
      <c r="B21" t="s">
        <v>54</v>
      </c>
      <c r="C21" s="11">
        <v>607</v>
      </c>
      <c r="D21" t="s">
        <v>53</v>
      </c>
    </row>
    <row r="22" spans="2:4" x14ac:dyDescent="0.3">
      <c r="B22" t="s">
        <v>55</v>
      </c>
      <c r="C22" s="11">
        <v>302</v>
      </c>
      <c r="D22" t="s">
        <v>56</v>
      </c>
    </row>
    <row r="23" spans="2:4" x14ac:dyDescent="0.3">
      <c r="B23" t="s">
        <v>57</v>
      </c>
      <c r="C23" s="11">
        <v>660</v>
      </c>
      <c r="D23" t="s">
        <v>56</v>
      </c>
    </row>
    <row r="24" spans="2:4" x14ac:dyDescent="0.3">
      <c r="B24" t="s">
        <v>58</v>
      </c>
      <c r="C24" s="11">
        <v>303</v>
      </c>
      <c r="D24" t="s">
        <v>56</v>
      </c>
    </row>
    <row r="25" spans="2:4" x14ac:dyDescent="0.3">
      <c r="B25" t="s">
        <v>59</v>
      </c>
      <c r="C25" s="11">
        <v>304</v>
      </c>
      <c r="D25" t="s">
        <v>42</v>
      </c>
    </row>
    <row r="26" spans="2:4" x14ac:dyDescent="0.3">
      <c r="B26" t="s">
        <v>60</v>
      </c>
      <c r="C26" s="13" t="s">
        <v>91</v>
      </c>
      <c r="D26" t="s">
        <v>53</v>
      </c>
    </row>
    <row r="27" spans="2:4" x14ac:dyDescent="0.3">
      <c r="B27" t="s">
        <v>61</v>
      </c>
      <c r="C27" s="11">
        <v>715</v>
      </c>
      <c r="D27" t="s">
        <v>53</v>
      </c>
    </row>
    <row r="28" spans="2:4" x14ac:dyDescent="0.3">
      <c r="B28" t="s">
        <v>62</v>
      </c>
      <c r="C28" s="11">
        <v>4020</v>
      </c>
      <c r="D28" t="s">
        <v>63</v>
      </c>
    </row>
    <row r="29" spans="2:4" x14ac:dyDescent="0.3">
      <c r="B29" t="s">
        <v>64</v>
      </c>
      <c r="C29" s="11">
        <v>4001</v>
      </c>
      <c r="D29" t="s">
        <v>65</v>
      </c>
    </row>
    <row r="31" spans="2:4" x14ac:dyDescent="0.3">
      <c r="B31" s="19" t="s">
        <v>66</v>
      </c>
      <c r="C31" s="20"/>
      <c r="D31" s="21"/>
    </row>
    <row r="32" spans="2:4" x14ac:dyDescent="0.3">
      <c r="B32" s="10" t="s">
        <v>92</v>
      </c>
      <c r="C32" s="12" t="s">
        <v>1</v>
      </c>
      <c r="D32" s="10" t="s">
        <v>93</v>
      </c>
    </row>
    <row r="33" spans="2:4" x14ac:dyDescent="0.3">
      <c r="B33" t="s">
        <v>67</v>
      </c>
      <c r="C33" s="13" t="s">
        <v>10</v>
      </c>
      <c r="D33" t="s">
        <v>68</v>
      </c>
    </row>
    <row r="34" spans="2:4" x14ac:dyDescent="0.3">
      <c r="B34" t="s">
        <v>69</v>
      </c>
      <c r="C34" s="11">
        <v>703</v>
      </c>
      <c r="D34" t="s">
        <v>68</v>
      </c>
    </row>
    <row r="35" spans="2:4" x14ac:dyDescent="0.3">
      <c r="B35" t="s">
        <v>70</v>
      </c>
      <c r="C35" s="13" t="s">
        <v>14</v>
      </c>
      <c r="D35" t="s">
        <v>71</v>
      </c>
    </row>
    <row r="36" spans="2:4" x14ac:dyDescent="0.3">
      <c r="B36" t="s">
        <v>72</v>
      </c>
      <c r="C36" s="11">
        <v>705</v>
      </c>
      <c r="D36" t="s">
        <v>71</v>
      </c>
    </row>
    <row r="37" spans="2:4" x14ac:dyDescent="0.3">
      <c r="B37" t="s">
        <v>73</v>
      </c>
      <c r="C37" s="13" t="s">
        <v>12</v>
      </c>
      <c r="D37" t="s">
        <v>74</v>
      </c>
    </row>
    <row r="38" spans="2:4" x14ac:dyDescent="0.3">
      <c r="B38" t="s">
        <v>75</v>
      </c>
      <c r="C38" s="11">
        <v>706</v>
      </c>
      <c r="D38" t="s">
        <v>74</v>
      </c>
    </row>
    <row r="39" spans="2:4" x14ac:dyDescent="0.3">
      <c r="B39" t="s">
        <v>76</v>
      </c>
      <c r="C39" s="13" t="s">
        <v>16</v>
      </c>
      <c r="D39" t="s">
        <v>77</v>
      </c>
    </row>
    <row r="40" spans="2:4" x14ac:dyDescent="0.3">
      <c r="B40" t="s">
        <v>78</v>
      </c>
      <c r="C40" s="11">
        <v>708</v>
      </c>
      <c r="D40" t="s">
        <v>77</v>
      </c>
    </row>
    <row r="41" spans="2:4" x14ac:dyDescent="0.3">
      <c r="B41" t="s">
        <v>79</v>
      </c>
      <c r="C41" s="13" t="s">
        <v>18</v>
      </c>
      <c r="D41" t="s">
        <v>80</v>
      </c>
    </row>
    <row r="42" spans="2:4" x14ac:dyDescent="0.3">
      <c r="B42" t="s">
        <v>81</v>
      </c>
      <c r="C42" s="11">
        <v>714</v>
      </c>
      <c r="D42" t="s">
        <v>80</v>
      </c>
    </row>
    <row r="43" spans="2:4" x14ac:dyDescent="0.3">
      <c r="B43" t="s">
        <v>82</v>
      </c>
      <c r="C43" s="11">
        <v>305</v>
      </c>
      <c r="D43" t="s">
        <v>83</v>
      </c>
    </row>
    <row r="44" spans="2:4" x14ac:dyDescent="0.3">
      <c r="B44" t="s">
        <v>84</v>
      </c>
      <c r="C44" s="11">
        <v>670</v>
      </c>
      <c r="D44" t="s">
        <v>83</v>
      </c>
    </row>
    <row r="45" spans="2:4" x14ac:dyDescent="0.3">
      <c r="B45" t="s">
        <v>85</v>
      </c>
      <c r="C45" s="11">
        <v>650</v>
      </c>
      <c r="D45" t="s">
        <v>83</v>
      </c>
    </row>
    <row r="46" spans="2:4" x14ac:dyDescent="0.3">
      <c r="B46" t="s">
        <v>86</v>
      </c>
      <c r="C46" s="11">
        <v>713</v>
      </c>
      <c r="D46" t="s">
        <v>68</v>
      </c>
    </row>
    <row r="48" spans="2:4" x14ac:dyDescent="0.3">
      <c r="B48" s="22" t="s">
        <v>87</v>
      </c>
      <c r="C48" s="17"/>
      <c r="D48" s="17"/>
    </row>
  </sheetData>
  <mergeCells count="5">
    <mergeCell ref="B2:D2"/>
    <mergeCell ref="B3:D3"/>
    <mergeCell ref="B5:D5"/>
    <mergeCell ref="B31:D31"/>
    <mergeCell ref="B48:D4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Kalkylblad</vt:lpstr>
      </vt:variant>
      <vt:variant>
        <vt:i4>3</vt:i4>
      </vt:variant>
    </vt:vector>
  </HeadingPairs>
  <TitlesOfParts>
    <vt:vector size="3" baseType="lpstr">
      <vt:lpstr>INFO</vt:lpstr>
      <vt:lpstr>KPI</vt:lpstr>
      <vt:lpstr>Org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Ezzat Rajab</dc:creator>
  <cp:lastModifiedBy>Ezzat Rajab</cp:lastModifiedBy>
  <dcterms:created xsi:type="dcterms:W3CDTF">2026-04-12T20:07:23Z</dcterms:created>
  <dcterms:modified xsi:type="dcterms:W3CDTF">2026-05-04T05:36:22Z</dcterms:modified>
</cp:coreProperties>
</file>