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Ex1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0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V:\Ekonomi\1. Omtanken Västerleden Vård AB 556717-9980\Ezzat\Resultatrapporter Stor-GBG\Analyser\"/>
    </mc:Choice>
  </mc:AlternateContent>
  <xr:revisionPtr revIDLastSave="0" documentId="13_ncr:1_{2386C44B-2A27-4BD8-AE32-983844A39958}" xr6:coauthVersionLast="47" xr6:coauthVersionMax="47" xr10:uidLastSave="{00000000-0000-0000-0000-000000000000}"/>
  <bookViews>
    <workbookView xWindow="-108" yWindow="-108" windowWidth="23256" windowHeight="12456" tabRatio="875" activeTab="2" xr2:uid="{00000000-000D-0000-FFFF-FFFF00000000}"/>
  </bookViews>
  <sheets>
    <sheet name="Resultat-VC (3)" sheetId="27" r:id="rId1"/>
    <sheet name="Info" sheetId="3" r:id="rId2"/>
    <sheet name="Data" sheetId="18" r:id="rId3"/>
  </sheets>
  <externalReferences>
    <externalReference r:id="rId4"/>
  </externalReferences>
  <definedNames>
    <definedName name="_xlchart.v1.0" hidden="1">Data!$A$323:$A$336</definedName>
    <definedName name="_xlchart.v1.1" hidden="1">Data!$B$322</definedName>
    <definedName name="_xlchart.v1.2" hidden="1">Data!$B$323:$B$336</definedName>
    <definedName name="_xlchart.v1.3" hidden="1">Data!$A$323:$A$336</definedName>
    <definedName name="_xlchart.v1.4" hidden="1">Data!$B$322</definedName>
    <definedName name="_xlchart.v1.5" hidden="1">Data!$B$323:$B$336</definedName>
    <definedName name="_xlchart.v1.6" hidden="1">[1]Blad1!$A$90:$A$103</definedName>
    <definedName name="_xlchart.v1.7" hidden="1">[1]Blad1!$B$89</definedName>
    <definedName name="_xlchart.v1.8" hidden="1">[1]Blad1!$B$90:$B$103</definedName>
    <definedName name="Externadata_2" localSheetId="0" hidden="1">'Resultat-VC (3)'!$A$1:$AD$382</definedName>
    <definedName name="Utsnitt_ACG_casemix">#N/A</definedName>
    <definedName name="Utsnitt_Antal_listade_pat">#N/A</definedName>
    <definedName name="Utsnitt_Intäkter___listad_pat">#N/A</definedName>
    <definedName name="Utsnitt_Medical_staff_cost___listad_pat">#N/A</definedName>
    <definedName name="Utsnitt_Other_direct_costs___listad_pat">#N/A</definedName>
    <definedName name="Utsnitt_Stor_GBG_AO">#N/A</definedName>
  </definedNam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5"/>
        <x14:slicerCache r:id="rId6"/>
        <x14:slicerCache r:id="rId7"/>
        <x14:slicerCache r:id="rId8"/>
        <x14:slicerCache r:id="rId9"/>
        <x14:slicerCache r:id="rId10"/>
      </x15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99" i="18" l="1"/>
  <c r="AB200" i="18"/>
  <c r="AB201" i="18"/>
  <c r="AB202" i="18"/>
  <c r="AB203" i="18"/>
  <c r="AB204" i="18"/>
  <c r="AB205" i="18"/>
  <c r="AB206" i="18"/>
  <c r="AB207" i="18"/>
  <c r="AB208" i="18"/>
  <c r="AB209" i="18"/>
  <c r="AB210" i="18"/>
  <c r="AB211" i="18"/>
  <c r="AB212" i="18"/>
  <c r="B337" i="18"/>
  <c r="B336" i="18"/>
  <c r="B335" i="18"/>
  <c r="B334" i="18"/>
  <c r="B333" i="18"/>
  <c r="B332" i="18"/>
  <c r="B331" i="18"/>
  <c r="B330" i="18"/>
  <c r="B329" i="18"/>
  <c r="B328" i="18"/>
  <c r="B327" i="18"/>
  <c r="B326" i="18"/>
  <c r="B325" i="18"/>
  <c r="B324" i="18"/>
  <c r="B323" i="18"/>
  <c r="T314" i="18"/>
  <c r="T317" i="18" s="1"/>
  <c r="S314" i="18"/>
  <c r="S317" i="18" s="1"/>
  <c r="R314" i="18"/>
  <c r="R317" i="18" s="1"/>
  <c r="Q314" i="18"/>
  <c r="Q317" i="18" s="1"/>
  <c r="P314" i="18"/>
  <c r="P317" i="18" s="1"/>
  <c r="O314" i="18"/>
  <c r="O317" i="18" s="1"/>
  <c r="N314" i="18"/>
  <c r="N317" i="18" s="1"/>
  <c r="M314" i="18"/>
  <c r="M317" i="18" s="1"/>
  <c r="L314" i="18"/>
  <c r="L317" i="18" s="1"/>
  <c r="K314" i="18"/>
  <c r="K317" i="18" s="1"/>
  <c r="J314" i="18"/>
  <c r="J317" i="18" s="1"/>
  <c r="G314" i="18"/>
  <c r="G317" i="18" s="1"/>
  <c r="F309" i="18"/>
  <c r="E309" i="18"/>
  <c r="I307" i="18"/>
  <c r="H307" i="18"/>
  <c r="G307" i="18"/>
  <c r="F307" i="18"/>
  <c r="E307" i="18"/>
  <c r="D307" i="18"/>
  <c r="C307" i="18"/>
  <c r="I306" i="18"/>
  <c r="I314" i="18" s="1"/>
  <c r="I317" i="18" s="1"/>
  <c r="H306" i="18"/>
  <c r="H314" i="18" s="1"/>
  <c r="H317" i="18" s="1"/>
  <c r="G306" i="18"/>
  <c r="F306" i="18"/>
  <c r="F314" i="18" s="1"/>
  <c r="F317" i="18" s="1"/>
  <c r="E306" i="18"/>
  <c r="E314" i="18" s="1"/>
  <c r="E317" i="18" s="1"/>
  <c r="D306" i="18"/>
  <c r="D314" i="18" s="1"/>
  <c r="D317" i="18" s="1"/>
  <c r="C306" i="18"/>
  <c r="C314" i="18" s="1"/>
  <c r="C317" i="18" s="1"/>
  <c r="T302" i="18"/>
  <c r="S302" i="18"/>
  <c r="R302" i="18"/>
  <c r="Q302" i="18"/>
  <c r="P302" i="18"/>
  <c r="O302" i="18"/>
  <c r="N302" i="18"/>
  <c r="M302" i="18"/>
  <c r="L302" i="18"/>
  <c r="K302" i="18"/>
  <c r="J302" i="18"/>
  <c r="I302" i="18"/>
  <c r="H302" i="18"/>
  <c r="G302" i="18"/>
  <c r="F302" i="18"/>
  <c r="E302" i="18"/>
  <c r="D302" i="18"/>
  <c r="C302" i="18"/>
  <c r="AC36" i="3"/>
  <c r="AB125" i="18" s="1"/>
  <c r="AA36" i="3"/>
  <c r="AB130" i="18"/>
  <c r="AB45" i="18"/>
  <c r="AB46" i="18"/>
  <c r="AB47" i="18"/>
  <c r="AB48" i="18"/>
  <c r="AB49" i="18"/>
  <c r="AB50" i="18"/>
  <c r="AB51" i="18"/>
  <c r="AB52" i="18"/>
  <c r="AB53" i="18"/>
  <c r="AB54" i="18"/>
  <c r="AB55" i="18"/>
  <c r="AB56" i="18"/>
  <c r="AB57" i="18"/>
  <c r="AB83" i="18"/>
  <c r="AB84" i="18"/>
  <c r="AB85" i="18"/>
  <c r="AB86" i="18"/>
  <c r="AB87" i="18"/>
  <c r="AB88" i="18"/>
  <c r="AB89" i="18"/>
  <c r="AB90" i="18"/>
  <c r="AB91" i="18"/>
  <c r="AB92" i="18"/>
  <c r="AB93" i="18"/>
  <c r="AB94" i="18"/>
  <c r="AB95" i="18"/>
  <c r="AB96" i="18"/>
  <c r="AB97" i="18"/>
  <c r="AB4" i="18"/>
  <c r="AB5" i="18"/>
  <c r="AB6" i="18"/>
  <c r="AB7" i="18"/>
  <c r="AB8" i="18"/>
  <c r="AB9" i="18"/>
  <c r="AB10" i="18"/>
  <c r="AB11" i="18"/>
  <c r="AB12" i="18"/>
  <c r="AB13" i="18"/>
  <c r="AB14" i="18"/>
  <c r="AB15" i="18"/>
  <c r="AB16" i="18"/>
  <c r="AB17" i="18"/>
  <c r="AB18" i="18"/>
  <c r="AB154" i="18"/>
  <c r="AB155" i="18"/>
  <c r="AB156" i="18"/>
  <c r="AB157" i="18"/>
  <c r="AB158" i="18"/>
  <c r="AB159" i="18"/>
  <c r="AB160" i="18"/>
  <c r="AB161" i="18"/>
  <c r="AB162" i="18"/>
  <c r="AB163" i="18"/>
  <c r="AB164" i="18"/>
  <c r="AB165" i="18"/>
  <c r="AB166" i="18"/>
  <c r="AB167" i="18"/>
  <c r="AB168" i="18"/>
  <c r="AA168" i="18"/>
  <c r="AB265" i="18"/>
  <c r="AB241" i="18"/>
  <c r="AC19" i="3"/>
  <c r="AB36" i="3"/>
  <c r="AA125" i="18" s="1"/>
  <c r="AC87" i="3"/>
  <c r="AE6" i="3"/>
  <c r="AE7" i="3"/>
  <c r="AE8" i="3"/>
  <c r="AE9" i="3"/>
  <c r="AE10" i="3"/>
  <c r="AE11" i="3"/>
  <c r="AE12" i="3"/>
  <c r="AE13" i="3"/>
  <c r="AE14" i="3"/>
  <c r="AE15" i="3"/>
  <c r="AE16" i="3"/>
  <c r="AE17" i="3"/>
  <c r="AE18" i="3"/>
  <c r="AE5" i="3"/>
  <c r="AC53" i="3"/>
  <c r="AA265" i="18"/>
  <c r="AA241" i="18"/>
  <c r="AA199" i="18"/>
  <c r="AA200" i="18"/>
  <c r="AA201" i="18"/>
  <c r="AA202" i="18"/>
  <c r="AA203" i="18"/>
  <c r="AA204" i="18"/>
  <c r="AA205" i="18"/>
  <c r="AA206" i="18"/>
  <c r="AA207" i="18"/>
  <c r="AA208" i="18"/>
  <c r="AA209" i="18"/>
  <c r="AA210" i="18"/>
  <c r="AA211" i="18"/>
  <c r="AA212" i="18"/>
  <c r="AA154" i="18"/>
  <c r="AA155" i="18"/>
  <c r="AA156" i="18"/>
  <c r="AA157" i="18"/>
  <c r="AA158" i="18"/>
  <c r="AA159" i="18"/>
  <c r="AA160" i="18"/>
  <c r="AA161" i="18"/>
  <c r="AA162" i="18"/>
  <c r="AA163" i="18"/>
  <c r="AA164" i="18"/>
  <c r="AA165" i="18"/>
  <c r="AA166" i="18"/>
  <c r="AA167" i="18"/>
  <c r="AA124" i="18"/>
  <c r="AA126" i="18"/>
  <c r="AA130" i="18"/>
  <c r="D90" i="3"/>
  <c r="E90" i="3"/>
  <c r="F90" i="3"/>
  <c r="G90" i="3"/>
  <c r="H90" i="3"/>
  <c r="I90" i="3"/>
  <c r="J90" i="3"/>
  <c r="K90" i="3"/>
  <c r="L90" i="3"/>
  <c r="M90" i="3"/>
  <c r="N90" i="3"/>
  <c r="O90" i="3"/>
  <c r="P90" i="3"/>
  <c r="Q90" i="3"/>
  <c r="R90" i="3"/>
  <c r="S90" i="3"/>
  <c r="T90" i="3"/>
  <c r="U90" i="3"/>
  <c r="V90" i="3"/>
  <c r="W90" i="3"/>
  <c r="X90" i="3"/>
  <c r="Y90" i="3"/>
  <c r="Z90" i="3"/>
  <c r="AA90" i="3"/>
  <c r="AB90" i="3"/>
  <c r="AA83" i="18" s="1"/>
  <c r="D91" i="3"/>
  <c r="E91" i="3"/>
  <c r="F91" i="3"/>
  <c r="G91" i="3"/>
  <c r="H91" i="3"/>
  <c r="I91" i="3"/>
  <c r="J91" i="3"/>
  <c r="K91" i="3"/>
  <c r="L91" i="3"/>
  <c r="M91" i="3"/>
  <c r="N91" i="3"/>
  <c r="O91" i="3"/>
  <c r="P91" i="3"/>
  <c r="Q91" i="3"/>
  <c r="R91" i="3"/>
  <c r="S91" i="3"/>
  <c r="T91" i="3"/>
  <c r="U91" i="3"/>
  <c r="V91" i="3"/>
  <c r="W91" i="3"/>
  <c r="X91" i="3"/>
  <c r="Y91" i="3"/>
  <c r="Z91" i="3"/>
  <c r="AA91" i="3"/>
  <c r="AB91" i="3"/>
  <c r="AC104" i="3"/>
  <c r="D92" i="3"/>
  <c r="E92" i="3"/>
  <c r="F92" i="3"/>
  <c r="G92" i="3"/>
  <c r="H92" i="3"/>
  <c r="I92" i="3"/>
  <c r="J92" i="3"/>
  <c r="K92" i="3"/>
  <c r="L92" i="3"/>
  <c r="M92" i="3"/>
  <c r="N92" i="3"/>
  <c r="O92" i="3"/>
  <c r="P92" i="3"/>
  <c r="Q92" i="3"/>
  <c r="R92" i="3"/>
  <c r="S92" i="3"/>
  <c r="T92" i="3"/>
  <c r="U92" i="3"/>
  <c r="V92" i="3"/>
  <c r="W92" i="3"/>
  <c r="X92" i="3"/>
  <c r="Y92" i="3"/>
  <c r="X85" i="18" s="1"/>
  <c r="Z92" i="3"/>
  <c r="Y85" i="18" s="1"/>
  <c r="AA92" i="3"/>
  <c r="Z85" i="18" s="1"/>
  <c r="AB92" i="3"/>
  <c r="AA85" i="18" s="1"/>
  <c r="D93" i="3"/>
  <c r="E93" i="3"/>
  <c r="F93" i="3"/>
  <c r="G93" i="3"/>
  <c r="H93" i="3"/>
  <c r="I93" i="3"/>
  <c r="J93" i="3"/>
  <c r="K93" i="3"/>
  <c r="L93" i="3"/>
  <c r="M93" i="3"/>
  <c r="N93" i="3"/>
  <c r="O93" i="3"/>
  <c r="P93" i="3"/>
  <c r="Q93" i="3"/>
  <c r="R93" i="3"/>
  <c r="S93" i="3"/>
  <c r="T93" i="3"/>
  <c r="U93" i="3"/>
  <c r="V93" i="3"/>
  <c r="W93" i="3"/>
  <c r="X93" i="3"/>
  <c r="Y93" i="3"/>
  <c r="X96" i="18" s="1"/>
  <c r="Z93" i="3"/>
  <c r="Y96" i="18" s="1"/>
  <c r="AA93" i="3"/>
  <c r="Z96" i="18" s="1"/>
  <c r="AB93" i="3"/>
  <c r="AA96" i="18" s="1"/>
  <c r="D94" i="3"/>
  <c r="E94" i="3"/>
  <c r="F94" i="3"/>
  <c r="G94" i="3"/>
  <c r="H94" i="3"/>
  <c r="I94" i="3"/>
  <c r="J94" i="3"/>
  <c r="K94" i="3"/>
  <c r="L94" i="3"/>
  <c r="M94" i="3"/>
  <c r="N94" i="3"/>
  <c r="O94" i="3"/>
  <c r="P94" i="3"/>
  <c r="Q94" i="3"/>
  <c r="R94" i="3"/>
  <c r="S94" i="3"/>
  <c r="T94" i="3"/>
  <c r="U94" i="3"/>
  <c r="V94" i="3"/>
  <c r="W94" i="3"/>
  <c r="X94" i="3"/>
  <c r="Y94" i="3"/>
  <c r="Z94" i="3"/>
  <c r="AA94" i="3"/>
  <c r="AB94" i="3"/>
  <c r="AA86" i="18" s="1"/>
  <c r="D95" i="3"/>
  <c r="E95" i="3"/>
  <c r="F95" i="3"/>
  <c r="G95" i="3"/>
  <c r="H95" i="3"/>
  <c r="I95" i="3"/>
  <c r="J95" i="3"/>
  <c r="K95" i="3"/>
  <c r="L95" i="3"/>
  <c r="M95" i="3"/>
  <c r="N95" i="3"/>
  <c r="O95" i="3"/>
  <c r="P95" i="3"/>
  <c r="Q95" i="3"/>
  <c r="R95" i="3"/>
  <c r="S95" i="3"/>
  <c r="T95" i="3"/>
  <c r="U95" i="3"/>
  <c r="V95" i="3"/>
  <c r="W95" i="3"/>
  <c r="X95" i="3"/>
  <c r="Y95" i="3"/>
  <c r="Z95" i="3"/>
  <c r="AA95" i="3"/>
  <c r="AB95" i="3"/>
  <c r="AA87" i="18" s="1"/>
  <c r="D96" i="3"/>
  <c r="E96" i="3"/>
  <c r="F96" i="3"/>
  <c r="G96" i="3"/>
  <c r="H96" i="3"/>
  <c r="I96" i="3"/>
  <c r="J96" i="3"/>
  <c r="K96" i="3"/>
  <c r="L96" i="3"/>
  <c r="M96" i="3"/>
  <c r="N96" i="3"/>
  <c r="O96" i="3"/>
  <c r="P96" i="3"/>
  <c r="Q96" i="3"/>
  <c r="R96" i="3"/>
  <c r="S96" i="3"/>
  <c r="T96" i="3"/>
  <c r="U96" i="3"/>
  <c r="V96" i="3"/>
  <c r="W96" i="3"/>
  <c r="X96" i="3"/>
  <c r="Y96" i="3"/>
  <c r="Z96" i="3"/>
  <c r="AA96" i="3"/>
  <c r="AB96" i="3"/>
  <c r="AA88" i="18" s="1"/>
  <c r="D97" i="3"/>
  <c r="E97" i="3"/>
  <c r="F97" i="3"/>
  <c r="G97" i="3"/>
  <c r="H97" i="3"/>
  <c r="I97" i="3"/>
  <c r="J97" i="3"/>
  <c r="K97" i="3"/>
  <c r="L97" i="3"/>
  <c r="M97" i="3"/>
  <c r="N97" i="3"/>
  <c r="O97" i="3"/>
  <c r="P97" i="3"/>
  <c r="Q97" i="3"/>
  <c r="R97" i="3"/>
  <c r="S97" i="3"/>
  <c r="T97" i="3"/>
  <c r="U97" i="3"/>
  <c r="V97" i="3"/>
  <c r="W97" i="3"/>
  <c r="X97" i="3"/>
  <c r="Y97" i="3"/>
  <c r="X89" i="18" s="1"/>
  <c r="Z97" i="3"/>
  <c r="Y89" i="18" s="1"/>
  <c r="AA97" i="3"/>
  <c r="Z89" i="18" s="1"/>
  <c r="AB97" i="3"/>
  <c r="AA89" i="18" s="1"/>
  <c r="D98" i="3"/>
  <c r="E98" i="3"/>
  <c r="F98" i="3"/>
  <c r="G98" i="3"/>
  <c r="H98" i="3"/>
  <c r="I98" i="3"/>
  <c r="J98" i="3"/>
  <c r="K98" i="3"/>
  <c r="L98" i="3"/>
  <c r="M98" i="3"/>
  <c r="N98" i="3"/>
  <c r="O98" i="3"/>
  <c r="P98" i="3"/>
  <c r="Q98" i="3"/>
  <c r="R98" i="3"/>
  <c r="S98" i="3"/>
  <c r="T98" i="3"/>
  <c r="U98" i="3"/>
  <c r="V98" i="3"/>
  <c r="W98" i="3"/>
  <c r="X98" i="3"/>
  <c r="Y98" i="3"/>
  <c r="X90" i="18" s="1"/>
  <c r="Z98" i="3"/>
  <c r="Y90" i="18" s="1"/>
  <c r="AA98" i="3"/>
  <c r="Z90" i="18" s="1"/>
  <c r="AB98" i="3"/>
  <c r="AA90" i="18" s="1"/>
  <c r="D99" i="3"/>
  <c r="E99" i="3"/>
  <c r="F99" i="3"/>
  <c r="G99" i="3"/>
  <c r="H99" i="3"/>
  <c r="I99" i="3"/>
  <c r="J99" i="3"/>
  <c r="K99" i="3"/>
  <c r="L99" i="3"/>
  <c r="M99" i="3"/>
  <c r="N99" i="3"/>
  <c r="O99" i="3"/>
  <c r="P99" i="3"/>
  <c r="Q99" i="3"/>
  <c r="R99" i="3"/>
  <c r="S99" i="3"/>
  <c r="T99" i="3"/>
  <c r="U99" i="3"/>
  <c r="V99" i="3"/>
  <c r="W99" i="3"/>
  <c r="X99" i="3"/>
  <c r="Y99" i="3"/>
  <c r="Z99" i="3"/>
  <c r="AA99" i="3"/>
  <c r="AB99" i="3"/>
  <c r="AA91" i="18" s="1"/>
  <c r="D100" i="3"/>
  <c r="E100" i="3"/>
  <c r="F100" i="3"/>
  <c r="G100" i="3"/>
  <c r="H100" i="3"/>
  <c r="I100" i="3"/>
  <c r="J100" i="3"/>
  <c r="K100" i="3"/>
  <c r="L100" i="3"/>
  <c r="M100" i="3"/>
  <c r="N100" i="3"/>
  <c r="O100" i="3"/>
  <c r="P100" i="3"/>
  <c r="Q100" i="3"/>
  <c r="R100" i="3"/>
  <c r="S100" i="3"/>
  <c r="T100" i="3"/>
  <c r="U100" i="3"/>
  <c r="V100" i="3"/>
  <c r="W100" i="3"/>
  <c r="X100" i="3"/>
  <c r="Y100" i="3"/>
  <c r="Z100" i="3"/>
  <c r="AA100" i="3"/>
  <c r="AB100" i="3"/>
  <c r="AA92" i="18" s="1"/>
  <c r="D101" i="3"/>
  <c r="E101" i="3"/>
  <c r="F101" i="3"/>
  <c r="G101" i="3"/>
  <c r="H101" i="3"/>
  <c r="I101" i="3"/>
  <c r="J101" i="3"/>
  <c r="K101" i="3"/>
  <c r="L101" i="3"/>
  <c r="M101" i="3"/>
  <c r="N101" i="3"/>
  <c r="O101" i="3"/>
  <c r="P101" i="3"/>
  <c r="Q101" i="3"/>
  <c r="R101" i="3"/>
  <c r="S101" i="3"/>
  <c r="T101" i="3"/>
  <c r="U101" i="3"/>
  <c r="V101" i="3"/>
  <c r="W101" i="3"/>
  <c r="X101" i="3"/>
  <c r="Y101" i="3"/>
  <c r="X93" i="18" s="1"/>
  <c r="Z101" i="3"/>
  <c r="Y93" i="18" s="1"/>
  <c r="AA101" i="3"/>
  <c r="Z93" i="18" s="1"/>
  <c r="AB101" i="3"/>
  <c r="AA93" i="18" s="1"/>
  <c r="D102" i="3"/>
  <c r="E102" i="3"/>
  <c r="F102" i="3"/>
  <c r="G102" i="3"/>
  <c r="H102" i="3"/>
  <c r="I102" i="3"/>
  <c r="J102" i="3"/>
  <c r="K102" i="3"/>
  <c r="L102" i="3"/>
  <c r="M102" i="3"/>
  <c r="N102" i="3"/>
  <c r="O102" i="3"/>
  <c r="P102" i="3"/>
  <c r="Q102" i="3"/>
  <c r="R102" i="3"/>
  <c r="S102" i="3"/>
  <c r="T102" i="3"/>
  <c r="U102" i="3"/>
  <c r="V102" i="3"/>
  <c r="W102" i="3"/>
  <c r="X102" i="3"/>
  <c r="Y102" i="3"/>
  <c r="X94" i="18" s="1"/>
  <c r="Z102" i="3"/>
  <c r="Y94" i="18" s="1"/>
  <c r="AA102" i="3"/>
  <c r="Z94" i="18" s="1"/>
  <c r="AB102" i="3"/>
  <c r="AA94" i="18" s="1"/>
  <c r="D103" i="3"/>
  <c r="E103" i="3"/>
  <c r="F103" i="3"/>
  <c r="G103" i="3"/>
  <c r="H103" i="3"/>
  <c r="I103" i="3"/>
  <c r="J103" i="3"/>
  <c r="K103" i="3"/>
  <c r="L103" i="3"/>
  <c r="M103" i="3"/>
  <c r="N103" i="3"/>
  <c r="O103" i="3"/>
  <c r="P103" i="3"/>
  <c r="Q103" i="3"/>
  <c r="R103" i="3"/>
  <c r="S103" i="3"/>
  <c r="T103" i="3"/>
  <c r="U103" i="3"/>
  <c r="V103" i="3"/>
  <c r="W103" i="3"/>
  <c r="X103" i="3"/>
  <c r="Y103" i="3"/>
  <c r="X95" i="18" s="1"/>
  <c r="Z103" i="3"/>
  <c r="Y95" i="18" s="1"/>
  <c r="AA103" i="3"/>
  <c r="Z95" i="18" s="1"/>
  <c r="AB103" i="3"/>
  <c r="AA95" i="18" s="1"/>
  <c r="D73" i="3"/>
  <c r="E73" i="3"/>
  <c r="F73" i="3"/>
  <c r="G73" i="3"/>
  <c r="H73" i="3"/>
  <c r="I73" i="3"/>
  <c r="J73" i="3"/>
  <c r="K73" i="3"/>
  <c r="L73" i="3"/>
  <c r="M73" i="3"/>
  <c r="N73" i="3"/>
  <c r="O73" i="3"/>
  <c r="P73" i="3"/>
  <c r="Q73" i="3"/>
  <c r="R73" i="3"/>
  <c r="S73" i="3"/>
  <c r="T73" i="3"/>
  <c r="U73" i="3"/>
  <c r="V73" i="3"/>
  <c r="W73" i="3"/>
  <c r="X73" i="3"/>
  <c r="Y73" i="3"/>
  <c r="Z73" i="3"/>
  <c r="AA73" i="3"/>
  <c r="AB73" i="3"/>
  <c r="AA45" i="18" s="1"/>
  <c r="D74" i="3"/>
  <c r="E74" i="3"/>
  <c r="F74" i="3"/>
  <c r="G74" i="3"/>
  <c r="H74" i="3"/>
  <c r="I74" i="3"/>
  <c r="J74" i="3"/>
  <c r="K74" i="3"/>
  <c r="L74" i="3"/>
  <c r="M74" i="3"/>
  <c r="N74" i="3"/>
  <c r="O74" i="3"/>
  <c r="P74" i="3"/>
  <c r="Q74" i="3"/>
  <c r="R74" i="3"/>
  <c r="S74" i="3"/>
  <c r="T74" i="3"/>
  <c r="U74" i="3"/>
  <c r="V74" i="3"/>
  <c r="W74" i="3"/>
  <c r="X74" i="3"/>
  <c r="Y74" i="3"/>
  <c r="Z74" i="3"/>
  <c r="AA74" i="3"/>
  <c r="AB74" i="3"/>
  <c r="AA46" i="18" s="1"/>
  <c r="D75" i="3"/>
  <c r="E75" i="3"/>
  <c r="F75" i="3"/>
  <c r="G75" i="3"/>
  <c r="H75" i="3"/>
  <c r="I75" i="3"/>
  <c r="J75" i="3"/>
  <c r="K75" i="3"/>
  <c r="L75" i="3"/>
  <c r="M75" i="3"/>
  <c r="N75" i="3"/>
  <c r="O75" i="3"/>
  <c r="P75" i="3"/>
  <c r="Q75" i="3"/>
  <c r="R75" i="3"/>
  <c r="S75" i="3"/>
  <c r="T75" i="3"/>
  <c r="U75" i="3"/>
  <c r="V75" i="3"/>
  <c r="W75" i="3"/>
  <c r="X75" i="3"/>
  <c r="Y75" i="3"/>
  <c r="Z75" i="3"/>
  <c r="AA75" i="3"/>
  <c r="AB75" i="3"/>
  <c r="AA47" i="18" s="1"/>
  <c r="D76" i="3"/>
  <c r="E76" i="3"/>
  <c r="F76" i="3"/>
  <c r="G76" i="3"/>
  <c r="H76" i="3"/>
  <c r="I76" i="3"/>
  <c r="J76" i="3"/>
  <c r="K76" i="3"/>
  <c r="L76" i="3"/>
  <c r="M76" i="3"/>
  <c r="N76" i="3"/>
  <c r="O76" i="3"/>
  <c r="P76" i="3"/>
  <c r="Q76" i="3"/>
  <c r="R76" i="3"/>
  <c r="S76" i="3"/>
  <c r="T76" i="3"/>
  <c r="U76" i="3"/>
  <c r="V76" i="3"/>
  <c r="W76" i="3"/>
  <c r="X76" i="3"/>
  <c r="Y76" i="3"/>
  <c r="Z76" i="3"/>
  <c r="AA76" i="3"/>
  <c r="AB76" i="3"/>
  <c r="AA57" i="18" s="1"/>
  <c r="D78" i="3"/>
  <c r="E78" i="3"/>
  <c r="F78" i="3"/>
  <c r="G78" i="3"/>
  <c r="H78" i="3"/>
  <c r="I78" i="3"/>
  <c r="J78" i="3"/>
  <c r="K78" i="3"/>
  <c r="L78" i="3"/>
  <c r="M78" i="3"/>
  <c r="N78" i="3"/>
  <c r="O78" i="3"/>
  <c r="P78" i="3"/>
  <c r="Q78" i="3"/>
  <c r="R78" i="3"/>
  <c r="S78" i="3"/>
  <c r="T78" i="3"/>
  <c r="U78" i="3"/>
  <c r="V78" i="3"/>
  <c r="W78" i="3"/>
  <c r="X78" i="3"/>
  <c r="Y78" i="3"/>
  <c r="Z78" i="3"/>
  <c r="AA78" i="3"/>
  <c r="AB78" i="3"/>
  <c r="AA48" i="18" s="1"/>
  <c r="D79" i="3"/>
  <c r="E79" i="3"/>
  <c r="F79" i="3"/>
  <c r="G79" i="3"/>
  <c r="H79" i="3"/>
  <c r="I79" i="3"/>
  <c r="J79" i="3"/>
  <c r="K79" i="3"/>
  <c r="L79" i="3"/>
  <c r="M79" i="3"/>
  <c r="N79" i="3"/>
  <c r="O79" i="3"/>
  <c r="P79" i="3"/>
  <c r="Q79" i="3"/>
  <c r="R79" i="3"/>
  <c r="S79" i="3"/>
  <c r="T79" i="3"/>
  <c r="U79" i="3"/>
  <c r="V79" i="3"/>
  <c r="W79" i="3"/>
  <c r="X79" i="3"/>
  <c r="Y79" i="3"/>
  <c r="Z79" i="3"/>
  <c r="AA79" i="3"/>
  <c r="AB79" i="3"/>
  <c r="AA49" i="18" s="1"/>
  <c r="D80" i="3"/>
  <c r="E80" i="3"/>
  <c r="F80" i="3"/>
  <c r="G80" i="3"/>
  <c r="H80" i="3"/>
  <c r="I80" i="3"/>
  <c r="J80" i="3"/>
  <c r="K80" i="3"/>
  <c r="L80" i="3"/>
  <c r="M80" i="3"/>
  <c r="N80" i="3"/>
  <c r="O80" i="3"/>
  <c r="P80" i="3"/>
  <c r="Q80" i="3"/>
  <c r="R80" i="3"/>
  <c r="S80" i="3"/>
  <c r="T80" i="3"/>
  <c r="U80" i="3"/>
  <c r="V80" i="3"/>
  <c r="W80" i="3"/>
  <c r="X80" i="3"/>
  <c r="Y80" i="3"/>
  <c r="Z80" i="3"/>
  <c r="AA80" i="3"/>
  <c r="AB80" i="3"/>
  <c r="AA50" i="18" s="1"/>
  <c r="D81" i="3"/>
  <c r="E81" i="3"/>
  <c r="F81" i="3"/>
  <c r="G81" i="3"/>
  <c r="H81" i="3"/>
  <c r="I81" i="3"/>
  <c r="J81" i="3"/>
  <c r="K81" i="3"/>
  <c r="L81" i="3"/>
  <c r="M81" i="3"/>
  <c r="N81" i="3"/>
  <c r="O81" i="3"/>
  <c r="P81" i="3"/>
  <c r="Q81" i="3"/>
  <c r="R81" i="3"/>
  <c r="S81" i="3"/>
  <c r="T81" i="3"/>
  <c r="U81" i="3"/>
  <c r="V81" i="3"/>
  <c r="W81" i="3"/>
  <c r="X81" i="3"/>
  <c r="Y81" i="3"/>
  <c r="Z81" i="3"/>
  <c r="AA81" i="3"/>
  <c r="AB81" i="3"/>
  <c r="D82" i="3"/>
  <c r="E82" i="3"/>
  <c r="F82" i="3"/>
  <c r="G82" i="3"/>
  <c r="H82" i="3"/>
  <c r="I82" i="3"/>
  <c r="J82" i="3"/>
  <c r="K82" i="3"/>
  <c r="L82" i="3"/>
  <c r="M82" i="3"/>
  <c r="N82" i="3"/>
  <c r="O82" i="3"/>
  <c r="P82" i="3"/>
  <c r="Q82" i="3"/>
  <c r="R82" i="3"/>
  <c r="S82" i="3"/>
  <c r="T82" i="3"/>
  <c r="U82" i="3"/>
  <c r="V82" i="3"/>
  <c r="W82" i="3"/>
  <c r="X82" i="3"/>
  <c r="Y82" i="3"/>
  <c r="Z82" i="3"/>
  <c r="AA82" i="3"/>
  <c r="AB82" i="3"/>
  <c r="AA51" i="18" s="1"/>
  <c r="D83" i="3"/>
  <c r="E83" i="3"/>
  <c r="F83" i="3"/>
  <c r="G83" i="3"/>
  <c r="H83" i="3"/>
  <c r="I83" i="3"/>
  <c r="J83" i="3"/>
  <c r="K83" i="3"/>
  <c r="L83" i="3"/>
  <c r="M83" i="3"/>
  <c r="N83" i="3"/>
  <c r="O83" i="3"/>
  <c r="P83" i="3"/>
  <c r="Q83" i="3"/>
  <c r="R83" i="3"/>
  <c r="S83" i="3"/>
  <c r="T83" i="3"/>
  <c r="U83" i="3"/>
  <c r="V83" i="3"/>
  <c r="W83" i="3"/>
  <c r="X83" i="3"/>
  <c r="Y83" i="3"/>
  <c r="Z83" i="3"/>
  <c r="AA83" i="3"/>
  <c r="AB83" i="3"/>
  <c r="AA52" i="18" s="1"/>
  <c r="D84" i="3"/>
  <c r="E84" i="3"/>
  <c r="F84" i="3"/>
  <c r="G84" i="3"/>
  <c r="H84" i="3"/>
  <c r="I84" i="3"/>
  <c r="J84" i="3"/>
  <c r="K84" i="3"/>
  <c r="L84" i="3"/>
  <c r="M84" i="3"/>
  <c r="N84" i="3"/>
  <c r="O84" i="3"/>
  <c r="P84" i="3"/>
  <c r="Q84" i="3"/>
  <c r="R84" i="3"/>
  <c r="S84" i="3"/>
  <c r="T84" i="3"/>
  <c r="U84" i="3"/>
  <c r="V84" i="3"/>
  <c r="W84" i="3"/>
  <c r="X84" i="3"/>
  <c r="Y84" i="3"/>
  <c r="Z84" i="3"/>
  <c r="AA84" i="3"/>
  <c r="AB84" i="3"/>
  <c r="AA53" i="18" s="1"/>
  <c r="D85" i="3"/>
  <c r="E85" i="3"/>
  <c r="F85" i="3"/>
  <c r="G85" i="3"/>
  <c r="H85" i="3"/>
  <c r="I85" i="3"/>
  <c r="J85" i="3"/>
  <c r="K85" i="3"/>
  <c r="L85" i="3"/>
  <c r="M85" i="3"/>
  <c r="N85" i="3"/>
  <c r="O85" i="3"/>
  <c r="P85" i="3"/>
  <c r="Q85" i="3"/>
  <c r="R85" i="3"/>
  <c r="S85" i="3"/>
  <c r="T85" i="3"/>
  <c r="U85" i="3"/>
  <c r="V85" i="3"/>
  <c r="W85" i="3"/>
  <c r="X85" i="3"/>
  <c r="Y85" i="3"/>
  <c r="Z85" i="3"/>
  <c r="AA85" i="3"/>
  <c r="AB85" i="3"/>
  <c r="AA54" i="18" s="1"/>
  <c r="D86" i="3"/>
  <c r="E86" i="3"/>
  <c r="F86" i="3"/>
  <c r="G86" i="3"/>
  <c r="H86" i="3"/>
  <c r="I86" i="3"/>
  <c r="J86" i="3"/>
  <c r="K86" i="3"/>
  <c r="L86" i="3"/>
  <c r="M86" i="3"/>
  <c r="N86" i="3"/>
  <c r="O86" i="3"/>
  <c r="P86" i="3"/>
  <c r="Q86" i="3"/>
  <c r="R86" i="3"/>
  <c r="S86" i="3"/>
  <c r="T86" i="3"/>
  <c r="U86" i="3"/>
  <c r="V86" i="3"/>
  <c r="W86" i="3"/>
  <c r="X86" i="3"/>
  <c r="Y86" i="3"/>
  <c r="Z86" i="3"/>
  <c r="AA86" i="3"/>
  <c r="AB86" i="3"/>
  <c r="AA55" i="18" s="1"/>
  <c r="D56" i="3"/>
  <c r="E56" i="3"/>
  <c r="F56" i="3"/>
  <c r="G56" i="3"/>
  <c r="H56" i="3"/>
  <c r="I56" i="3"/>
  <c r="J56" i="3"/>
  <c r="K56" i="3"/>
  <c r="L56" i="3"/>
  <c r="M56" i="3"/>
  <c r="N56" i="3"/>
  <c r="O56" i="3"/>
  <c r="P56" i="3"/>
  <c r="Q56" i="3"/>
  <c r="R56" i="3"/>
  <c r="S56" i="3"/>
  <c r="T56" i="3"/>
  <c r="U56" i="3"/>
  <c r="V56" i="3"/>
  <c r="W56" i="3"/>
  <c r="X56" i="3"/>
  <c r="Y56" i="3"/>
  <c r="Z56" i="3"/>
  <c r="AA56" i="3"/>
  <c r="AB56" i="3"/>
  <c r="D57" i="3"/>
  <c r="E57" i="3"/>
  <c r="F57" i="3"/>
  <c r="G57" i="3"/>
  <c r="H57" i="3"/>
  <c r="I57" i="3"/>
  <c r="J57" i="3"/>
  <c r="K57" i="3"/>
  <c r="L57" i="3"/>
  <c r="M57" i="3"/>
  <c r="N57" i="3"/>
  <c r="O57" i="3"/>
  <c r="P57" i="3"/>
  <c r="Q57" i="3"/>
  <c r="R57" i="3"/>
  <c r="S57" i="3"/>
  <c r="T57" i="3"/>
  <c r="U57" i="3"/>
  <c r="V57" i="3"/>
  <c r="W57" i="3"/>
  <c r="X57" i="3"/>
  <c r="Y57" i="3"/>
  <c r="X5" i="18" s="1"/>
  <c r="Z57" i="3"/>
  <c r="Y5" i="18" s="1"/>
  <c r="AA57" i="3"/>
  <c r="Z5" i="18" s="1"/>
  <c r="AB57" i="3"/>
  <c r="D58" i="3"/>
  <c r="E58" i="3"/>
  <c r="F58" i="3"/>
  <c r="G58" i="3"/>
  <c r="H58" i="3"/>
  <c r="I58" i="3"/>
  <c r="J58" i="3"/>
  <c r="K58" i="3"/>
  <c r="L58" i="3"/>
  <c r="M58" i="3"/>
  <c r="N58" i="3"/>
  <c r="O58" i="3"/>
  <c r="P58" i="3"/>
  <c r="Q58" i="3"/>
  <c r="R58" i="3"/>
  <c r="S58" i="3"/>
  <c r="T58" i="3"/>
  <c r="U58" i="3"/>
  <c r="V58" i="3"/>
  <c r="W58" i="3"/>
  <c r="X58" i="3"/>
  <c r="Y58" i="3"/>
  <c r="X6" i="18" s="1"/>
  <c r="Z58" i="3"/>
  <c r="Y6" i="18" s="1"/>
  <c r="AA58" i="3"/>
  <c r="Z6" i="18" s="1"/>
  <c r="AB58" i="3"/>
  <c r="D59" i="3"/>
  <c r="E59" i="3"/>
  <c r="F59" i="3"/>
  <c r="G59" i="3"/>
  <c r="H59" i="3"/>
  <c r="I59" i="3"/>
  <c r="J59" i="3"/>
  <c r="K59" i="3"/>
  <c r="L59" i="3"/>
  <c r="M59" i="3"/>
  <c r="N59" i="3"/>
  <c r="O59" i="3"/>
  <c r="P59" i="3"/>
  <c r="Q59" i="3"/>
  <c r="R59" i="3"/>
  <c r="S59" i="3"/>
  <c r="T59" i="3"/>
  <c r="U59" i="3"/>
  <c r="V59" i="3"/>
  <c r="W59" i="3"/>
  <c r="X59" i="3"/>
  <c r="Y59" i="3"/>
  <c r="X7" i="18" s="1"/>
  <c r="Z59" i="3"/>
  <c r="Y7" i="18" s="1"/>
  <c r="AA59" i="3"/>
  <c r="Z7" i="18" s="1"/>
  <c r="AB59" i="3"/>
  <c r="AA7" i="18" s="1"/>
  <c r="D60" i="3"/>
  <c r="E60" i="3"/>
  <c r="F60" i="3"/>
  <c r="G60" i="3"/>
  <c r="H60" i="3"/>
  <c r="I60" i="3"/>
  <c r="J60" i="3"/>
  <c r="K60" i="3"/>
  <c r="L60" i="3"/>
  <c r="M60" i="3"/>
  <c r="N60" i="3"/>
  <c r="O60" i="3"/>
  <c r="P60" i="3"/>
  <c r="Q60" i="3"/>
  <c r="R60" i="3"/>
  <c r="S60" i="3"/>
  <c r="T60" i="3"/>
  <c r="U60" i="3"/>
  <c r="V60" i="3"/>
  <c r="W60" i="3"/>
  <c r="X60" i="3"/>
  <c r="Y60" i="3"/>
  <c r="Z60" i="3"/>
  <c r="AA60" i="3"/>
  <c r="AB60" i="3"/>
  <c r="AA8" i="18" s="1"/>
  <c r="D61" i="3"/>
  <c r="E61" i="3"/>
  <c r="F61" i="3"/>
  <c r="G61" i="3"/>
  <c r="H61" i="3"/>
  <c r="I61" i="3"/>
  <c r="J61" i="3"/>
  <c r="K61" i="3"/>
  <c r="L61" i="3"/>
  <c r="M61" i="3"/>
  <c r="N61" i="3"/>
  <c r="O61" i="3"/>
  <c r="P61" i="3"/>
  <c r="Q61" i="3"/>
  <c r="R61" i="3"/>
  <c r="S61" i="3"/>
  <c r="T61" i="3"/>
  <c r="U61" i="3"/>
  <c r="V61" i="3"/>
  <c r="W61" i="3"/>
  <c r="X61" i="3"/>
  <c r="Y61" i="3"/>
  <c r="Z61" i="3"/>
  <c r="Y9" i="18" s="1"/>
  <c r="AA61" i="3"/>
  <c r="Z9" i="18" s="1"/>
  <c r="AB61" i="3"/>
  <c r="AA9" i="18" s="1"/>
  <c r="D62" i="3"/>
  <c r="E62" i="3"/>
  <c r="F62" i="3"/>
  <c r="G62" i="3"/>
  <c r="H62" i="3"/>
  <c r="I62" i="3"/>
  <c r="J62" i="3"/>
  <c r="K62" i="3"/>
  <c r="L62" i="3"/>
  <c r="M62" i="3"/>
  <c r="N62" i="3"/>
  <c r="O62" i="3"/>
  <c r="P62" i="3"/>
  <c r="Q62" i="3"/>
  <c r="R62" i="3"/>
  <c r="S62" i="3"/>
  <c r="T62" i="3"/>
  <c r="U62" i="3"/>
  <c r="V62" i="3"/>
  <c r="W62" i="3"/>
  <c r="X62" i="3"/>
  <c r="Y62" i="3"/>
  <c r="X10" i="18" s="1"/>
  <c r="Z62" i="3"/>
  <c r="Y10" i="18" s="1"/>
  <c r="AA62" i="3"/>
  <c r="Z10" i="18" s="1"/>
  <c r="AB62" i="3"/>
  <c r="D63" i="3"/>
  <c r="E63" i="3"/>
  <c r="F63" i="3"/>
  <c r="G63" i="3"/>
  <c r="H63" i="3"/>
  <c r="I63" i="3"/>
  <c r="J63" i="3"/>
  <c r="K63" i="3"/>
  <c r="L63" i="3"/>
  <c r="M63" i="3"/>
  <c r="N63" i="3"/>
  <c r="O63" i="3"/>
  <c r="P63" i="3"/>
  <c r="Q63" i="3"/>
  <c r="R63" i="3"/>
  <c r="S63" i="3"/>
  <c r="T63" i="3"/>
  <c r="U63" i="3"/>
  <c r="V63" i="3"/>
  <c r="W63" i="3"/>
  <c r="X63" i="3"/>
  <c r="Y63" i="3"/>
  <c r="X11" i="18" s="1"/>
  <c r="Z63" i="3"/>
  <c r="Y11" i="18" s="1"/>
  <c r="AA63" i="3"/>
  <c r="Z11" i="18" s="1"/>
  <c r="AB63" i="3"/>
  <c r="D64" i="3"/>
  <c r="E64" i="3"/>
  <c r="F64" i="3"/>
  <c r="G64" i="3"/>
  <c r="H64" i="3"/>
  <c r="I64" i="3"/>
  <c r="J64" i="3"/>
  <c r="K64" i="3"/>
  <c r="L64" i="3"/>
  <c r="M64" i="3"/>
  <c r="N64" i="3"/>
  <c r="O64" i="3"/>
  <c r="P64" i="3"/>
  <c r="Q64" i="3"/>
  <c r="R64" i="3"/>
  <c r="S64" i="3"/>
  <c r="T64" i="3"/>
  <c r="U64" i="3"/>
  <c r="V64" i="3"/>
  <c r="W64" i="3"/>
  <c r="X64" i="3"/>
  <c r="Y64" i="3"/>
  <c r="X12" i="18" s="1"/>
  <c r="Z64" i="3"/>
  <c r="Y12" i="18" s="1"/>
  <c r="AA64" i="3"/>
  <c r="Z12" i="18" s="1"/>
  <c r="AB64" i="3"/>
  <c r="AA12" i="18" s="1"/>
  <c r="D65" i="3"/>
  <c r="E65" i="3"/>
  <c r="F65" i="3"/>
  <c r="G65" i="3"/>
  <c r="H65" i="3"/>
  <c r="I65" i="3"/>
  <c r="J65" i="3"/>
  <c r="K65" i="3"/>
  <c r="L65" i="3"/>
  <c r="M65" i="3"/>
  <c r="N65" i="3"/>
  <c r="O65" i="3"/>
  <c r="P65" i="3"/>
  <c r="Q65" i="3"/>
  <c r="R65" i="3"/>
  <c r="S65" i="3"/>
  <c r="T65" i="3"/>
  <c r="U65" i="3"/>
  <c r="V65" i="3"/>
  <c r="W65" i="3"/>
  <c r="X65" i="3"/>
  <c r="Y65" i="3"/>
  <c r="X13" i="18" s="1"/>
  <c r="Z65" i="3"/>
  <c r="Y13" i="18" s="1"/>
  <c r="AA65" i="3"/>
  <c r="Z13" i="18" s="1"/>
  <c r="AB65" i="3"/>
  <c r="AA13" i="18" s="1"/>
  <c r="D66" i="3"/>
  <c r="E66" i="3"/>
  <c r="F66" i="3"/>
  <c r="G66" i="3"/>
  <c r="H66" i="3"/>
  <c r="I66" i="3"/>
  <c r="J66" i="3"/>
  <c r="K66" i="3"/>
  <c r="L66" i="3"/>
  <c r="M66" i="3"/>
  <c r="N66" i="3"/>
  <c r="O66" i="3"/>
  <c r="P66" i="3"/>
  <c r="Q66" i="3"/>
  <c r="R66" i="3"/>
  <c r="S66" i="3"/>
  <c r="T66" i="3"/>
  <c r="U66" i="3"/>
  <c r="V66" i="3"/>
  <c r="W66" i="3"/>
  <c r="X66" i="3"/>
  <c r="Y66" i="3"/>
  <c r="X14" i="18" s="1"/>
  <c r="Z66" i="3"/>
  <c r="Y14" i="18" s="1"/>
  <c r="AA66" i="3"/>
  <c r="Z14" i="18" s="1"/>
  <c r="AB66" i="3"/>
  <c r="AA14" i="18" s="1"/>
  <c r="D67" i="3"/>
  <c r="E67" i="3"/>
  <c r="F67" i="3"/>
  <c r="G67" i="3"/>
  <c r="H67" i="3"/>
  <c r="I67" i="3"/>
  <c r="J67" i="3"/>
  <c r="K67" i="3"/>
  <c r="L67" i="3"/>
  <c r="M67" i="3"/>
  <c r="N67" i="3"/>
  <c r="O67" i="3"/>
  <c r="P67" i="3"/>
  <c r="Q67" i="3"/>
  <c r="R67" i="3"/>
  <c r="S67" i="3"/>
  <c r="T67" i="3"/>
  <c r="U67" i="3"/>
  <c r="V67" i="3"/>
  <c r="W67" i="3"/>
  <c r="X67" i="3"/>
  <c r="Y67" i="3"/>
  <c r="X15" i="18" s="1"/>
  <c r="Z67" i="3"/>
  <c r="Y15" i="18" s="1"/>
  <c r="AA67" i="3"/>
  <c r="Z15" i="18" s="1"/>
  <c r="AB67" i="3"/>
  <c r="AA15" i="18" s="1"/>
  <c r="D68" i="3"/>
  <c r="E68" i="3"/>
  <c r="F68" i="3"/>
  <c r="G68" i="3"/>
  <c r="H68" i="3"/>
  <c r="I68" i="3"/>
  <c r="J68" i="3"/>
  <c r="K68" i="3"/>
  <c r="L68" i="3"/>
  <c r="M68" i="3"/>
  <c r="N68" i="3"/>
  <c r="O68" i="3"/>
  <c r="P68" i="3"/>
  <c r="Q68" i="3"/>
  <c r="R68" i="3"/>
  <c r="S68" i="3"/>
  <c r="T68" i="3"/>
  <c r="U68" i="3"/>
  <c r="V68" i="3"/>
  <c r="W68" i="3"/>
  <c r="X68" i="3"/>
  <c r="Y68" i="3"/>
  <c r="X16" i="18" s="1"/>
  <c r="Z68" i="3"/>
  <c r="Y16" i="18" s="1"/>
  <c r="AA68" i="3"/>
  <c r="Z16" i="18" s="1"/>
  <c r="AB68" i="3"/>
  <c r="AA16" i="18" s="1"/>
  <c r="D69" i="3"/>
  <c r="E69" i="3"/>
  <c r="F69" i="3"/>
  <c r="G69" i="3"/>
  <c r="H69" i="3"/>
  <c r="I69" i="3"/>
  <c r="J69" i="3"/>
  <c r="K69" i="3"/>
  <c r="L69" i="3"/>
  <c r="M69" i="3"/>
  <c r="N69" i="3"/>
  <c r="O69" i="3"/>
  <c r="P69" i="3"/>
  <c r="Q69" i="3"/>
  <c r="R69" i="3"/>
  <c r="S69" i="3"/>
  <c r="T69" i="3"/>
  <c r="U69" i="3"/>
  <c r="V69" i="3"/>
  <c r="W69" i="3"/>
  <c r="X69" i="3"/>
  <c r="Y69" i="3"/>
  <c r="X17" i="18" s="1"/>
  <c r="Z69" i="3"/>
  <c r="Y17" i="18" s="1"/>
  <c r="AA69" i="3"/>
  <c r="Z17" i="18" s="1"/>
  <c r="AB69" i="3"/>
  <c r="AA17" i="18" s="1"/>
  <c r="C103" i="3"/>
  <c r="C86" i="3"/>
  <c r="C102" i="3"/>
  <c r="C85" i="3"/>
  <c r="C101" i="3"/>
  <c r="C84" i="3"/>
  <c r="C100" i="3"/>
  <c r="C83" i="3"/>
  <c r="C99" i="3"/>
  <c r="C82" i="3"/>
  <c r="C98" i="3"/>
  <c r="C81" i="3"/>
  <c r="C97" i="3"/>
  <c r="C80" i="3"/>
  <c r="C96" i="3"/>
  <c r="C79" i="3"/>
  <c r="C95" i="3"/>
  <c r="C78" i="3"/>
  <c r="C94" i="3"/>
  <c r="C93" i="3"/>
  <c r="C76" i="3"/>
  <c r="C92" i="3"/>
  <c r="C75" i="3"/>
  <c r="C90" i="3"/>
  <c r="C73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AC70" i="3"/>
  <c r="AA4" i="18"/>
  <c r="AA6" i="18"/>
  <c r="AA10" i="18"/>
  <c r="AA11" i="18"/>
  <c r="AB53" i="3"/>
  <c r="AB20" i="3"/>
  <c r="AB19" i="3"/>
  <c r="Y130" i="18"/>
  <c r="Z130" i="18"/>
  <c r="Z265" i="18"/>
  <c r="Z241" i="18"/>
  <c r="Z199" i="18"/>
  <c r="Z200" i="18"/>
  <c r="Z201" i="18"/>
  <c r="Z202" i="18"/>
  <c r="Z203" i="18"/>
  <c r="Z204" i="18"/>
  <c r="Z205" i="18"/>
  <c r="Z206" i="18"/>
  <c r="Z207" i="18"/>
  <c r="Z208" i="18"/>
  <c r="Z209" i="18"/>
  <c r="Z210" i="18"/>
  <c r="Z211" i="18"/>
  <c r="Z212" i="18"/>
  <c r="Z154" i="18"/>
  <c r="Z155" i="18"/>
  <c r="Z156" i="18"/>
  <c r="Z157" i="18"/>
  <c r="Z158" i="18"/>
  <c r="Z159" i="18"/>
  <c r="Z168" i="18" s="1"/>
  <c r="Z160" i="18"/>
  <c r="Z161" i="18"/>
  <c r="Z162" i="18"/>
  <c r="Z163" i="18"/>
  <c r="Z164" i="18"/>
  <c r="Z165" i="18"/>
  <c r="Z166" i="18"/>
  <c r="Z167" i="18"/>
  <c r="Z124" i="18"/>
  <c r="Z125" i="18"/>
  <c r="Z126" i="18"/>
  <c r="X83" i="18"/>
  <c r="Y83" i="18"/>
  <c r="Z83" i="18"/>
  <c r="X84" i="18"/>
  <c r="Y84" i="18"/>
  <c r="Z84" i="18"/>
  <c r="X86" i="18"/>
  <c r="Y86" i="18"/>
  <c r="Z86" i="18"/>
  <c r="X87" i="18"/>
  <c r="Y87" i="18"/>
  <c r="Z87" i="18"/>
  <c r="X88" i="18"/>
  <c r="Y88" i="18"/>
  <c r="Z88" i="18"/>
  <c r="X91" i="18"/>
  <c r="Y91" i="18"/>
  <c r="Z91" i="18"/>
  <c r="X92" i="18"/>
  <c r="Y92" i="18"/>
  <c r="Z92" i="18"/>
  <c r="C91" i="3"/>
  <c r="X45" i="18"/>
  <c r="Y45" i="18"/>
  <c r="Z45" i="18"/>
  <c r="X46" i="18"/>
  <c r="Y46" i="18"/>
  <c r="Z46" i="18"/>
  <c r="X47" i="18"/>
  <c r="Y47" i="18"/>
  <c r="Z47" i="18"/>
  <c r="X57" i="18"/>
  <c r="Y57" i="18"/>
  <c r="Z57" i="18"/>
  <c r="X48" i="18"/>
  <c r="Y48" i="18"/>
  <c r="Z48" i="18"/>
  <c r="X49" i="18"/>
  <c r="Y49" i="18"/>
  <c r="Z49" i="18"/>
  <c r="X50" i="18"/>
  <c r="Y50" i="18"/>
  <c r="Z50" i="18"/>
  <c r="X51" i="18"/>
  <c r="Y51" i="18"/>
  <c r="Z51" i="18"/>
  <c r="X52" i="18"/>
  <c r="Y52" i="18"/>
  <c r="Z52" i="18"/>
  <c r="X53" i="18"/>
  <c r="Y53" i="18"/>
  <c r="Z53" i="18"/>
  <c r="X54" i="18"/>
  <c r="Y54" i="18"/>
  <c r="Z54" i="18"/>
  <c r="C74" i="3"/>
  <c r="X4" i="18"/>
  <c r="Y4" i="18"/>
  <c r="Z4" i="18"/>
  <c r="X8" i="18"/>
  <c r="Y8" i="18"/>
  <c r="Z8" i="18"/>
  <c r="X9" i="18"/>
  <c r="AA53" i="3"/>
  <c r="AA37" i="3"/>
  <c r="AA19" i="3"/>
  <c r="AA20" i="3" s="1"/>
  <c r="Y265" i="18"/>
  <c r="Y241" i="18"/>
  <c r="Y199" i="18"/>
  <c r="Y200" i="18"/>
  <c r="Y201" i="18"/>
  <c r="Y202" i="18"/>
  <c r="Y203" i="18"/>
  <c r="Y204" i="18"/>
  <c r="Y205" i="18"/>
  <c r="Y206" i="18"/>
  <c r="Y207" i="18"/>
  <c r="Y208" i="18"/>
  <c r="Y209" i="18"/>
  <c r="Y210" i="18"/>
  <c r="Y211" i="18"/>
  <c r="Y212" i="18"/>
  <c r="Y154" i="18"/>
  <c r="Y155" i="18"/>
  <c r="Y156" i="18"/>
  <c r="Y157" i="18"/>
  <c r="Y158" i="18"/>
  <c r="Y159" i="18"/>
  <c r="Y160" i="18"/>
  <c r="Y161" i="18"/>
  <c r="Y162" i="18"/>
  <c r="Y163" i="18"/>
  <c r="Y164" i="18"/>
  <c r="Y165" i="18"/>
  <c r="Y166" i="18"/>
  <c r="Y167" i="18"/>
  <c r="Z20" i="3"/>
  <c r="X20" i="3"/>
  <c r="Y20" i="3"/>
  <c r="W20" i="3"/>
  <c r="Y37" i="3"/>
  <c r="Z37" i="3"/>
  <c r="Z36" i="3"/>
  <c r="Y124" i="18"/>
  <c r="Y125" i="18"/>
  <c r="Y126" i="18"/>
  <c r="Z53" i="3"/>
  <c r="Y53" i="3"/>
  <c r="Z19" i="3"/>
  <c r="Y19" i="3"/>
  <c r="Y36" i="3"/>
  <c r="W130" i="18"/>
  <c r="X130" i="18"/>
  <c r="X265" i="18"/>
  <c r="X241" i="18"/>
  <c r="X199" i="18"/>
  <c r="X200" i="18"/>
  <c r="X201" i="18"/>
  <c r="X202" i="18"/>
  <c r="X203" i="18"/>
  <c r="X204" i="18"/>
  <c r="X205" i="18"/>
  <c r="X206" i="18"/>
  <c r="X207" i="18"/>
  <c r="X208" i="18"/>
  <c r="X209" i="18"/>
  <c r="X210" i="18"/>
  <c r="X211" i="18"/>
  <c r="X212" i="18"/>
  <c r="X154" i="18"/>
  <c r="X155" i="18"/>
  <c r="X156" i="18"/>
  <c r="X157" i="18"/>
  <c r="X158" i="18"/>
  <c r="X159" i="18"/>
  <c r="X160" i="18"/>
  <c r="X161" i="18"/>
  <c r="X162" i="18"/>
  <c r="X163" i="18"/>
  <c r="X164" i="18"/>
  <c r="X165" i="18"/>
  <c r="X166" i="18"/>
  <c r="X167" i="18"/>
  <c r="X124" i="18"/>
  <c r="X125" i="18"/>
  <c r="X126" i="18"/>
  <c r="W154" i="18"/>
  <c r="W155" i="18"/>
  <c r="W156" i="18"/>
  <c r="W157" i="18"/>
  <c r="W158" i="18"/>
  <c r="W159" i="18"/>
  <c r="W160" i="18"/>
  <c r="W161" i="18"/>
  <c r="W162" i="18"/>
  <c r="W168" i="18" s="1"/>
  <c r="W163" i="18"/>
  <c r="W164" i="18"/>
  <c r="W165" i="18"/>
  <c r="W166" i="18"/>
  <c r="W167" i="18"/>
  <c r="X53" i="3"/>
  <c r="AA56" i="18" l="1"/>
  <c r="AB87" i="3"/>
  <c r="AA128" i="18" s="1"/>
  <c r="AB104" i="3"/>
  <c r="AA129" i="18" s="1"/>
  <c r="AA84" i="18"/>
  <c r="AA97" i="18" s="1"/>
  <c r="AC20" i="3"/>
  <c r="AE19" i="3"/>
  <c r="AB70" i="3"/>
  <c r="AA127" i="18" s="1"/>
  <c r="AA5" i="18"/>
  <c r="AA18" i="18" s="1"/>
  <c r="Y55" i="18"/>
  <c r="Z55" i="18"/>
  <c r="Z97" i="18"/>
  <c r="Y168" i="18"/>
  <c r="Z18" i="18"/>
  <c r="X168" i="18"/>
  <c r="Z56" i="18"/>
  <c r="Y97" i="18"/>
  <c r="Y18" i="18"/>
  <c r="Y56" i="18"/>
  <c r="X55" i="18"/>
  <c r="X18" i="18"/>
  <c r="X56" i="18"/>
  <c r="X97" i="18"/>
  <c r="W265" i="18"/>
  <c r="W199" i="18"/>
  <c r="W200" i="18"/>
  <c r="W201" i="18"/>
  <c r="W202" i="18"/>
  <c r="W203" i="18"/>
  <c r="W204" i="18"/>
  <c r="W205" i="18"/>
  <c r="W206" i="18"/>
  <c r="W207" i="18"/>
  <c r="W208" i="18"/>
  <c r="W209" i="18"/>
  <c r="W210" i="18"/>
  <c r="W211" i="18"/>
  <c r="W212" i="18"/>
  <c r="X37" i="3"/>
  <c r="X36" i="3"/>
  <c r="W124" i="18"/>
  <c r="W125" i="18"/>
  <c r="W126" i="18"/>
  <c r="T83" i="18"/>
  <c r="V83" i="18"/>
  <c r="W83" i="18"/>
  <c r="R84" i="18"/>
  <c r="S84" i="18"/>
  <c r="T84" i="18"/>
  <c r="U84" i="18"/>
  <c r="V84" i="18"/>
  <c r="W84" i="18"/>
  <c r="R85" i="18"/>
  <c r="S85" i="18"/>
  <c r="T85" i="18"/>
  <c r="U85" i="18"/>
  <c r="V85" i="18"/>
  <c r="W85" i="18"/>
  <c r="R96" i="18"/>
  <c r="V96" i="18"/>
  <c r="W96" i="18"/>
  <c r="S86" i="18"/>
  <c r="T86" i="18"/>
  <c r="U86" i="18"/>
  <c r="V86" i="18"/>
  <c r="W86" i="18"/>
  <c r="R87" i="18"/>
  <c r="S87" i="18"/>
  <c r="T87" i="18"/>
  <c r="U87" i="18"/>
  <c r="W87" i="18"/>
  <c r="R88" i="18"/>
  <c r="S88" i="18"/>
  <c r="W88" i="18"/>
  <c r="R89" i="18"/>
  <c r="S89" i="18"/>
  <c r="U89" i="18"/>
  <c r="V89" i="18"/>
  <c r="W89" i="18"/>
  <c r="R90" i="18"/>
  <c r="T90" i="18"/>
  <c r="U90" i="18"/>
  <c r="V90" i="18"/>
  <c r="W90" i="18"/>
  <c r="S91" i="18"/>
  <c r="T91" i="18"/>
  <c r="U91" i="18"/>
  <c r="V91" i="18"/>
  <c r="W91" i="18"/>
  <c r="R92" i="18"/>
  <c r="S92" i="18"/>
  <c r="T92" i="18"/>
  <c r="V92" i="18"/>
  <c r="W92" i="18"/>
  <c r="R93" i="18"/>
  <c r="S93" i="18"/>
  <c r="T93" i="18"/>
  <c r="U93" i="18"/>
  <c r="V93" i="18"/>
  <c r="W93" i="18"/>
  <c r="T94" i="18"/>
  <c r="U94" i="18"/>
  <c r="W94" i="18"/>
  <c r="R95" i="18"/>
  <c r="S95" i="18"/>
  <c r="T95" i="18"/>
  <c r="U95" i="18"/>
  <c r="V95" i="18"/>
  <c r="W95" i="18"/>
  <c r="P45" i="18"/>
  <c r="Q45" i="18"/>
  <c r="S45" i="18"/>
  <c r="T45" i="18"/>
  <c r="U45" i="18"/>
  <c r="W45" i="18"/>
  <c r="C46" i="18"/>
  <c r="D46" i="18"/>
  <c r="E46" i="18"/>
  <c r="F46" i="18"/>
  <c r="G46" i="18"/>
  <c r="I46" i="18"/>
  <c r="J46" i="18"/>
  <c r="K46" i="18"/>
  <c r="N46" i="18"/>
  <c r="O46" i="18"/>
  <c r="P46" i="18"/>
  <c r="Q46" i="18"/>
  <c r="R46" i="18"/>
  <c r="S46" i="18"/>
  <c r="W46" i="18"/>
  <c r="Q47" i="18"/>
  <c r="R47" i="18"/>
  <c r="S47" i="18"/>
  <c r="T47" i="18"/>
  <c r="U47" i="18"/>
  <c r="V47" i="18"/>
  <c r="W47" i="18"/>
  <c r="Q57" i="18"/>
  <c r="R57" i="18"/>
  <c r="S57" i="18"/>
  <c r="T57" i="18"/>
  <c r="U57" i="18"/>
  <c r="V57" i="18"/>
  <c r="W57" i="18"/>
  <c r="P48" i="18"/>
  <c r="Q48" i="18"/>
  <c r="S48" i="18"/>
  <c r="T48" i="18"/>
  <c r="U48" i="18"/>
  <c r="V48" i="18"/>
  <c r="W48" i="18"/>
  <c r="Q49" i="18"/>
  <c r="R49" i="18"/>
  <c r="S49" i="18"/>
  <c r="U49" i="18"/>
  <c r="V49" i="18"/>
  <c r="W49" i="18"/>
  <c r="P50" i="18"/>
  <c r="Q50" i="18"/>
  <c r="R50" i="18"/>
  <c r="T50" i="18"/>
  <c r="U50" i="18"/>
  <c r="W50" i="18"/>
  <c r="V55" i="18"/>
  <c r="P51" i="18"/>
  <c r="Q51" i="18"/>
  <c r="R51" i="18"/>
  <c r="S51" i="18"/>
  <c r="T51" i="18"/>
  <c r="U51" i="18"/>
  <c r="V51" i="18"/>
  <c r="W51" i="18"/>
  <c r="Q52" i="18"/>
  <c r="R52" i="18"/>
  <c r="S52" i="18"/>
  <c r="T52" i="18"/>
  <c r="U52" i="18"/>
  <c r="V52" i="18"/>
  <c r="W52" i="18"/>
  <c r="P53" i="18"/>
  <c r="Q53" i="18"/>
  <c r="U53" i="18"/>
  <c r="V53" i="18"/>
  <c r="W53" i="18"/>
  <c r="P54" i="18"/>
  <c r="Q54" i="18"/>
  <c r="R54" i="18"/>
  <c r="S54" i="18"/>
  <c r="V54" i="18"/>
  <c r="W54" i="18"/>
  <c r="B46" i="18"/>
  <c r="S4" i="18"/>
  <c r="T4" i="18"/>
  <c r="U4" i="18"/>
  <c r="V4" i="18"/>
  <c r="W4" i="18"/>
  <c r="S5" i="18"/>
  <c r="T5" i="18"/>
  <c r="U5" i="18"/>
  <c r="V5" i="18"/>
  <c r="W5" i="18"/>
  <c r="S6" i="18"/>
  <c r="T6" i="18"/>
  <c r="U6" i="18"/>
  <c r="V6" i="18"/>
  <c r="W6" i="18"/>
  <c r="S7" i="18"/>
  <c r="T7" i="18"/>
  <c r="U7" i="18"/>
  <c r="V7" i="18"/>
  <c r="W7" i="18"/>
  <c r="T8" i="18"/>
  <c r="U8" i="18"/>
  <c r="V8" i="18"/>
  <c r="W8" i="18"/>
  <c r="S9" i="18"/>
  <c r="T9" i="18"/>
  <c r="U9" i="18"/>
  <c r="V9" i="18"/>
  <c r="W9" i="18"/>
  <c r="S10" i="18"/>
  <c r="T10" i="18"/>
  <c r="U10" i="18"/>
  <c r="V10" i="18"/>
  <c r="W10" i="18"/>
  <c r="S11" i="18"/>
  <c r="T11" i="18"/>
  <c r="U11" i="18"/>
  <c r="V11" i="18"/>
  <c r="W11" i="18"/>
  <c r="S12" i="18"/>
  <c r="T12" i="18"/>
  <c r="U12" i="18"/>
  <c r="V12" i="18"/>
  <c r="W12" i="18"/>
  <c r="S13" i="18"/>
  <c r="T13" i="18"/>
  <c r="U13" i="18"/>
  <c r="V13" i="18"/>
  <c r="W13" i="18"/>
  <c r="S14" i="18"/>
  <c r="T14" i="18"/>
  <c r="U14" i="18"/>
  <c r="V14" i="18"/>
  <c r="W14" i="18"/>
  <c r="S15" i="18"/>
  <c r="T15" i="18"/>
  <c r="V15" i="18"/>
  <c r="W15" i="18"/>
  <c r="T16" i="18"/>
  <c r="U16" i="18"/>
  <c r="V16" i="18"/>
  <c r="W16" i="18"/>
  <c r="S17" i="18"/>
  <c r="T17" i="18"/>
  <c r="U17" i="18"/>
  <c r="W17" i="18"/>
  <c r="X19" i="3"/>
  <c r="W241" i="18"/>
  <c r="W53" i="3"/>
  <c r="V265" i="18" s="1"/>
  <c r="R86" i="18"/>
  <c r="V87" i="18"/>
  <c r="U88" i="18"/>
  <c r="S90" i="18"/>
  <c r="V45" i="18"/>
  <c r="H46" i="18"/>
  <c r="L46" i="18"/>
  <c r="M46" i="18"/>
  <c r="T46" i="18"/>
  <c r="U46" i="18"/>
  <c r="V46" i="18"/>
  <c r="R48" i="18"/>
  <c r="P49" i="18"/>
  <c r="S50" i="18"/>
  <c r="V50" i="18"/>
  <c r="R53" i="18"/>
  <c r="T54" i="18"/>
  <c r="U54" i="18"/>
  <c r="U15" i="18"/>
  <c r="S16" i="18"/>
  <c r="V199" i="18"/>
  <c r="V200" i="18"/>
  <c r="V201" i="18"/>
  <c r="V202" i="18"/>
  <c r="V203" i="18"/>
  <c r="V204" i="18"/>
  <c r="V205" i="18"/>
  <c r="V206" i="18"/>
  <c r="V207" i="18"/>
  <c r="V208" i="18"/>
  <c r="V209" i="18"/>
  <c r="V210" i="18"/>
  <c r="V211" i="18"/>
  <c r="V212" i="18"/>
  <c r="V154" i="18"/>
  <c r="V155" i="18"/>
  <c r="V156" i="18"/>
  <c r="V157" i="18"/>
  <c r="V158" i="18"/>
  <c r="V159" i="18"/>
  <c r="V160" i="18"/>
  <c r="V161" i="18"/>
  <c r="V162" i="18"/>
  <c r="V163" i="18"/>
  <c r="V164" i="18"/>
  <c r="V165" i="18"/>
  <c r="V166" i="18"/>
  <c r="V167" i="18"/>
  <c r="W36" i="3"/>
  <c r="W19" i="3"/>
  <c r="V241" i="18" s="1"/>
  <c r="V53" i="3"/>
  <c r="U126" i="18" s="1"/>
  <c r="U154" i="18"/>
  <c r="U155" i="18"/>
  <c r="U156" i="18"/>
  <c r="U157" i="18"/>
  <c r="U158" i="18"/>
  <c r="U159" i="18"/>
  <c r="U160" i="18"/>
  <c r="U161" i="18"/>
  <c r="U162" i="18"/>
  <c r="U163" i="18"/>
  <c r="U164" i="18"/>
  <c r="U165" i="18"/>
  <c r="U166" i="18"/>
  <c r="U167" i="18"/>
  <c r="R83" i="18"/>
  <c r="S83" i="18"/>
  <c r="U83" i="18"/>
  <c r="S96" i="18"/>
  <c r="T96" i="18"/>
  <c r="U96" i="18"/>
  <c r="T88" i="18"/>
  <c r="V88" i="18"/>
  <c r="T89" i="18"/>
  <c r="R91" i="18"/>
  <c r="U92" i="18"/>
  <c r="R94" i="18"/>
  <c r="V94" i="18"/>
  <c r="R45" i="18"/>
  <c r="T49" i="18"/>
  <c r="P52" i="18"/>
  <c r="S8" i="18"/>
  <c r="V17" i="18"/>
  <c r="U200" i="18"/>
  <c r="U201" i="18"/>
  <c r="U202" i="18"/>
  <c r="U203" i="18"/>
  <c r="U204" i="18"/>
  <c r="U205" i="18"/>
  <c r="U206" i="18"/>
  <c r="U207" i="18"/>
  <c r="U208" i="18"/>
  <c r="U209" i="18"/>
  <c r="U210" i="18"/>
  <c r="U211" i="18"/>
  <c r="U212" i="18"/>
  <c r="U199" i="18"/>
  <c r="B130" i="18"/>
  <c r="V36" i="3"/>
  <c r="U125" i="18" s="1"/>
  <c r="V19" i="3"/>
  <c r="U124" i="18" s="1"/>
  <c r="U53" i="3"/>
  <c r="T126" i="18" s="1"/>
  <c r="S94" i="18"/>
  <c r="P47" i="18"/>
  <c r="P57" i="18"/>
  <c r="T53" i="18"/>
  <c r="T241" i="18"/>
  <c r="T199" i="18"/>
  <c r="T200" i="18"/>
  <c r="T201" i="18"/>
  <c r="T202" i="18"/>
  <c r="T203" i="18"/>
  <c r="T204" i="18"/>
  <c r="T205" i="18"/>
  <c r="T206" i="18"/>
  <c r="T207" i="18"/>
  <c r="T208" i="18"/>
  <c r="T209" i="18"/>
  <c r="T210" i="18"/>
  <c r="T211" i="18"/>
  <c r="T212" i="18"/>
  <c r="T154" i="18"/>
  <c r="T155" i="18"/>
  <c r="T156" i="18"/>
  <c r="T157" i="18"/>
  <c r="T158" i="18"/>
  <c r="T159" i="18"/>
  <c r="T160" i="18"/>
  <c r="T161" i="18"/>
  <c r="T162" i="18"/>
  <c r="T163" i="18"/>
  <c r="T164" i="18"/>
  <c r="T165" i="18"/>
  <c r="T166" i="18"/>
  <c r="T167" i="18"/>
  <c r="U19" i="3"/>
  <c r="T124" i="18" s="1"/>
  <c r="U36" i="3"/>
  <c r="U37" i="3" s="1"/>
  <c r="S199" i="18"/>
  <c r="S200" i="18"/>
  <c r="S201" i="18"/>
  <c r="S202" i="18"/>
  <c r="S203" i="18"/>
  <c r="S204" i="18"/>
  <c r="S205" i="18"/>
  <c r="S206" i="18"/>
  <c r="S207" i="18"/>
  <c r="S208" i="18"/>
  <c r="S209" i="18"/>
  <c r="S210" i="18"/>
  <c r="S211" i="18"/>
  <c r="S212" i="18"/>
  <c r="T53" i="3"/>
  <c r="S265" i="18" s="1"/>
  <c r="T36" i="3"/>
  <c r="S154" i="18"/>
  <c r="S155" i="18"/>
  <c r="S156" i="18"/>
  <c r="S157" i="18"/>
  <c r="S158" i="18"/>
  <c r="S159" i="18"/>
  <c r="S160" i="18"/>
  <c r="S161" i="18"/>
  <c r="S162" i="18"/>
  <c r="S163" i="18"/>
  <c r="S164" i="18"/>
  <c r="S165" i="18"/>
  <c r="S166" i="18"/>
  <c r="S167" i="18"/>
  <c r="S53" i="18"/>
  <c r="T19" i="3"/>
  <c r="S124" i="18" s="1"/>
  <c r="W97" i="18" l="1"/>
  <c r="W55" i="18"/>
  <c r="W56" i="18"/>
  <c r="X70" i="3"/>
  <c r="W127" i="18" s="1"/>
  <c r="W18" i="18"/>
  <c r="X87" i="3"/>
  <c r="W128" i="18" s="1"/>
  <c r="X104" i="3"/>
  <c r="W129" i="18" s="1"/>
  <c r="V20" i="3"/>
  <c r="U130" i="18" s="1"/>
  <c r="U265" i="18"/>
  <c r="U20" i="3"/>
  <c r="T130" i="18" s="1"/>
  <c r="U241" i="18"/>
  <c r="W37" i="3"/>
  <c r="T125" i="18"/>
  <c r="V124" i="18"/>
  <c r="V126" i="18"/>
  <c r="V130" i="18"/>
  <c r="T265" i="18"/>
  <c r="S126" i="18"/>
  <c r="V37" i="3"/>
  <c r="V125" i="18"/>
  <c r="V168" i="18"/>
  <c r="V18" i="18"/>
  <c r="V56" i="18"/>
  <c r="V97" i="18"/>
  <c r="U55" i="18"/>
  <c r="U70" i="3"/>
  <c r="T127" i="18" s="1"/>
  <c r="R55" i="18"/>
  <c r="R56" i="18" s="1"/>
  <c r="U97" i="18"/>
  <c r="U56" i="18"/>
  <c r="U168" i="18"/>
  <c r="T55" i="18"/>
  <c r="T56" i="18" s="1"/>
  <c r="P55" i="18"/>
  <c r="P56" i="18" s="1"/>
  <c r="Q55" i="18"/>
  <c r="Q56" i="18" s="1"/>
  <c r="AA87" i="3"/>
  <c r="Z128" i="18" s="1"/>
  <c r="U18" i="18"/>
  <c r="Z87" i="3"/>
  <c r="Y128" i="18" s="1"/>
  <c r="Y87" i="3"/>
  <c r="X128" i="18" s="1"/>
  <c r="W87" i="3"/>
  <c r="V128" i="18" s="1"/>
  <c r="V87" i="3"/>
  <c r="U128" i="18" s="1"/>
  <c r="U104" i="3"/>
  <c r="T129" i="18" s="1"/>
  <c r="U87" i="3"/>
  <c r="T128" i="18" s="1"/>
  <c r="S55" i="18"/>
  <c r="S56" i="18" s="1"/>
  <c r="T168" i="18"/>
  <c r="T97" i="18"/>
  <c r="T18" i="18"/>
  <c r="S18" i="18"/>
  <c r="S97" i="18"/>
  <c r="R97" i="18"/>
  <c r="S241" i="18"/>
  <c r="S125" i="18"/>
  <c r="S168" i="18"/>
  <c r="D53" i="3"/>
  <c r="C265" i="18" s="1"/>
  <c r="E53" i="3"/>
  <c r="D265" i="18" s="1"/>
  <c r="F53" i="3"/>
  <c r="E265" i="18" s="1"/>
  <c r="G53" i="3"/>
  <c r="F265" i="18" s="1"/>
  <c r="H53" i="3"/>
  <c r="G265" i="18" s="1"/>
  <c r="I53" i="3"/>
  <c r="H265" i="18" s="1"/>
  <c r="J53" i="3"/>
  <c r="I265" i="18" s="1"/>
  <c r="K53" i="3"/>
  <c r="J265" i="18" s="1"/>
  <c r="L53" i="3"/>
  <c r="K265" i="18" s="1"/>
  <c r="M53" i="3"/>
  <c r="L265" i="18" s="1"/>
  <c r="N53" i="3"/>
  <c r="M265" i="18" s="1"/>
  <c r="O53" i="3"/>
  <c r="N265" i="18" s="1"/>
  <c r="P53" i="3"/>
  <c r="O265" i="18" s="1"/>
  <c r="Q53" i="3"/>
  <c r="P126" i="18" s="1"/>
  <c r="R53" i="3"/>
  <c r="Q126" i="18" s="1"/>
  <c r="S53" i="3"/>
  <c r="R126" i="18" s="1"/>
  <c r="C53" i="3"/>
  <c r="B265" i="18" s="1"/>
  <c r="C36" i="3"/>
  <c r="C199" i="18"/>
  <c r="D199" i="18"/>
  <c r="E199" i="18"/>
  <c r="F199" i="18"/>
  <c r="G199" i="18"/>
  <c r="H199" i="18"/>
  <c r="I199" i="18"/>
  <c r="J199" i="18"/>
  <c r="K199" i="18"/>
  <c r="L199" i="18"/>
  <c r="M199" i="18"/>
  <c r="N199" i="18"/>
  <c r="O199" i="18"/>
  <c r="P199" i="18"/>
  <c r="Q199" i="18"/>
  <c r="R199" i="18"/>
  <c r="C200" i="18"/>
  <c r="D200" i="18"/>
  <c r="E200" i="18"/>
  <c r="F200" i="18"/>
  <c r="G200" i="18"/>
  <c r="H200" i="18"/>
  <c r="I200" i="18"/>
  <c r="J200" i="18"/>
  <c r="K200" i="18"/>
  <c r="L200" i="18"/>
  <c r="M200" i="18"/>
  <c r="N200" i="18"/>
  <c r="O200" i="18"/>
  <c r="P200" i="18"/>
  <c r="Q200" i="18"/>
  <c r="R200" i="18"/>
  <c r="C201" i="18"/>
  <c r="D201" i="18"/>
  <c r="E201" i="18"/>
  <c r="F201" i="18"/>
  <c r="G201" i="18"/>
  <c r="H201" i="18"/>
  <c r="I201" i="18"/>
  <c r="J201" i="18"/>
  <c r="K201" i="18"/>
  <c r="L201" i="18"/>
  <c r="M201" i="18"/>
  <c r="N201" i="18"/>
  <c r="O201" i="18"/>
  <c r="P201" i="18"/>
  <c r="Q201" i="18"/>
  <c r="R201" i="18"/>
  <c r="C202" i="18"/>
  <c r="D202" i="18"/>
  <c r="E202" i="18"/>
  <c r="F202" i="18"/>
  <c r="G202" i="18"/>
  <c r="H202" i="18"/>
  <c r="I202" i="18"/>
  <c r="J202" i="18"/>
  <c r="K202" i="18"/>
  <c r="L202" i="18"/>
  <c r="M202" i="18"/>
  <c r="N202" i="18"/>
  <c r="O202" i="18"/>
  <c r="P202" i="18"/>
  <c r="Q202" i="18"/>
  <c r="R202" i="18"/>
  <c r="C203" i="18"/>
  <c r="D203" i="18"/>
  <c r="E203" i="18"/>
  <c r="F203" i="18"/>
  <c r="G203" i="18"/>
  <c r="H203" i="18"/>
  <c r="I203" i="18"/>
  <c r="J203" i="18"/>
  <c r="K203" i="18"/>
  <c r="L203" i="18"/>
  <c r="M203" i="18"/>
  <c r="N203" i="18"/>
  <c r="O203" i="18"/>
  <c r="P203" i="18"/>
  <c r="Q203" i="18"/>
  <c r="R203" i="18"/>
  <c r="C204" i="18"/>
  <c r="D204" i="18"/>
  <c r="E204" i="18"/>
  <c r="F204" i="18"/>
  <c r="G204" i="18"/>
  <c r="H204" i="18"/>
  <c r="I204" i="18"/>
  <c r="J204" i="18"/>
  <c r="K204" i="18"/>
  <c r="L204" i="18"/>
  <c r="M204" i="18"/>
  <c r="N204" i="18"/>
  <c r="O204" i="18"/>
  <c r="P204" i="18"/>
  <c r="Q204" i="18"/>
  <c r="R204" i="18"/>
  <c r="C205" i="18"/>
  <c r="D205" i="18"/>
  <c r="E205" i="18"/>
  <c r="F205" i="18"/>
  <c r="G205" i="18"/>
  <c r="H205" i="18"/>
  <c r="I205" i="18"/>
  <c r="J205" i="18"/>
  <c r="K205" i="18"/>
  <c r="L205" i="18"/>
  <c r="M205" i="18"/>
  <c r="N205" i="18"/>
  <c r="O205" i="18"/>
  <c r="P205" i="18"/>
  <c r="Q205" i="18"/>
  <c r="R205" i="18"/>
  <c r="C206" i="18"/>
  <c r="D206" i="18"/>
  <c r="E206" i="18"/>
  <c r="F206" i="18"/>
  <c r="G206" i="18"/>
  <c r="H206" i="18"/>
  <c r="I206" i="18"/>
  <c r="J206" i="18"/>
  <c r="K206" i="18"/>
  <c r="L206" i="18"/>
  <c r="M206" i="18"/>
  <c r="N206" i="18"/>
  <c r="O206" i="18"/>
  <c r="P206" i="18"/>
  <c r="Q206" i="18"/>
  <c r="R206" i="18"/>
  <c r="C207" i="18"/>
  <c r="D207" i="18"/>
  <c r="E207" i="18"/>
  <c r="F207" i="18"/>
  <c r="G207" i="18"/>
  <c r="H207" i="18"/>
  <c r="I207" i="18"/>
  <c r="J207" i="18"/>
  <c r="K207" i="18"/>
  <c r="L207" i="18"/>
  <c r="M207" i="18"/>
  <c r="N207" i="18"/>
  <c r="O207" i="18"/>
  <c r="P207" i="18"/>
  <c r="Q207" i="18"/>
  <c r="R207" i="18"/>
  <c r="C208" i="18"/>
  <c r="D208" i="18"/>
  <c r="E208" i="18"/>
  <c r="F208" i="18"/>
  <c r="G208" i="18"/>
  <c r="H208" i="18"/>
  <c r="I208" i="18"/>
  <c r="J208" i="18"/>
  <c r="K208" i="18"/>
  <c r="L208" i="18"/>
  <c r="M208" i="18"/>
  <c r="N208" i="18"/>
  <c r="O208" i="18"/>
  <c r="P208" i="18"/>
  <c r="Q208" i="18"/>
  <c r="R208" i="18"/>
  <c r="C209" i="18"/>
  <c r="D209" i="18"/>
  <c r="E209" i="18"/>
  <c r="F209" i="18"/>
  <c r="G209" i="18"/>
  <c r="H209" i="18"/>
  <c r="I209" i="18"/>
  <c r="J209" i="18"/>
  <c r="K209" i="18"/>
  <c r="L209" i="18"/>
  <c r="M209" i="18"/>
  <c r="N209" i="18"/>
  <c r="O209" i="18"/>
  <c r="P209" i="18"/>
  <c r="Q209" i="18"/>
  <c r="R209" i="18"/>
  <c r="C210" i="18"/>
  <c r="D210" i="18"/>
  <c r="E210" i="18"/>
  <c r="F210" i="18"/>
  <c r="G210" i="18"/>
  <c r="H210" i="18"/>
  <c r="I210" i="18"/>
  <c r="J210" i="18"/>
  <c r="K210" i="18"/>
  <c r="L210" i="18"/>
  <c r="M210" i="18"/>
  <c r="N210" i="18"/>
  <c r="O210" i="18"/>
  <c r="P210" i="18"/>
  <c r="Q210" i="18"/>
  <c r="R210" i="18"/>
  <c r="C211" i="18"/>
  <c r="D211" i="18"/>
  <c r="E211" i="18"/>
  <c r="F211" i="18"/>
  <c r="G211" i="18"/>
  <c r="H211" i="18"/>
  <c r="I211" i="18"/>
  <c r="J211" i="18"/>
  <c r="K211" i="18"/>
  <c r="L211" i="18"/>
  <c r="M211" i="18"/>
  <c r="N211" i="18"/>
  <c r="O211" i="18"/>
  <c r="P211" i="18"/>
  <c r="Q211" i="18"/>
  <c r="R211" i="18"/>
  <c r="C212" i="18"/>
  <c r="D212" i="18"/>
  <c r="E212" i="18"/>
  <c r="F212" i="18"/>
  <c r="G212" i="18"/>
  <c r="H212" i="18"/>
  <c r="I212" i="18"/>
  <c r="J212" i="18"/>
  <c r="K212" i="18"/>
  <c r="L212" i="18"/>
  <c r="M212" i="18"/>
  <c r="N212" i="18"/>
  <c r="O212" i="18"/>
  <c r="P212" i="18"/>
  <c r="Q212" i="18"/>
  <c r="R212" i="18"/>
  <c r="B200" i="18"/>
  <c r="B201" i="18"/>
  <c r="B202" i="18"/>
  <c r="B203" i="18"/>
  <c r="B204" i="18"/>
  <c r="B205" i="18"/>
  <c r="B206" i="18"/>
  <c r="B207" i="18"/>
  <c r="B208" i="18"/>
  <c r="B209" i="18"/>
  <c r="B210" i="18"/>
  <c r="B211" i="18"/>
  <c r="B212" i="18"/>
  <c r="B199" i="18"/>
  <c r="C154" i="18"/>
  <c r="D154" i="18"/>
  <c r="E154" i="18"/>
  <c r="F154" i="18"/>
  <c r="G154" i="18"/>
  <c r="H154" i="18"/>
  <c r="I154" i="18"/>
  <c r="J154" i="18"/>
  <c r="K154" i="18"/>
  <c r="L154" i="18"/>
  <c r="M154" i="18"/>
  <c r="N154" i="18"/>
  <c r="O154" i="18"/>
  <c r="P154" i="18"/>
  <c r="Q154" i="18"/>
  <c r="R154" i="18"/>
  <c r="C155" i="18"/>
  <c r="D155" i="18"/>
  <c r="E155" i="18"/>
  <c r="F155" i="18"/>
  <c r="G155" i="18"/>
  <c r="H155" i="18"/>
  <c r="I155" i="18"/>
  <c r="J155" i="18"/>
  <c r="K155" i="18"/>
  <c r="L155" i="18"/>
  <c r="M155" i="18"/>
  <c r="N155" i="18"/>
  <c r="O155" i="18"/>
  <c r="P155" i="18"/>
  <c r="Q155" i="18"/>
  <c r="R155" i="18"/>
  <c r="C156" i="18"/>
  <c r="D156" i="18"/>
  <c r="E156" i="18"/>
  <c r="F156" i="18"/>
  <c r="G156" i="18"/>
  <c r="H156" i="18"/>
  <c r="I156" i="18"/>
  <c r="J156" i="18"/>
  <c r="K156" i="18"/>
  <c r="L156" i="18"/>
  <c r="M156" i="18"/>
  <c r="N156" i="18"/>
  <c r="O156" i="18"/>
  <c r="P156" i="18"/>
  <c r="Q156" i="18"/>
  <c r="R156" i="18"/>
  <c r="C157" i="18"/>
  <c r="D157" i="18"/>
  <c r="E157" i="18"/>
  <c r="F157" i="18"/>
  <c r="G157" i="18"/>
  <c r="H157" i="18"/>
  <c r="I157" i="18"/>
  <c r="J157" i="18"/>
  <c r="K157" i="18"/>
  <c r="L157" i="18"/>
  <c r="M157" i="18"/>
  <c r="N157" i="18"/>
  <c r="O157" i="18"/>
  <c r="P157" i="18"/>
  <c r="Q157" i="18"/>
  <c r="R157" i="18"/>
  <c r="C158" i="18"/>
  <c r="D158" i="18"/>
  <c r="E158" i="18"/>
  <c r="F158" i="18"/>
  <c r="G158" i="18"/>
  <c r="H158" i="18"/>
  <c r="I158" i="18"/>
  <c r="J158" i="18"/>
  <c r="K158" i="18"/>
  <c r="L158" i="18"/>
  <c r="M158" i="18"/>
  <c r="N158" i="18"/>
  <c r="O158" i="18"/>
  <c r="P158" i="18"/>
  <c r="Q158" i="18"/>
  <c r="R158" i="18"/>
  <c r="C159" i="18"/>
  <c r="D159" i="18"/>
  <c r="E159" i="18"/>
  <c r="F159" i="18"/>
  <c r="G159" i="18"/>
  <c r="H159" i="18"/>
  <c r="I159" i="18"/>
  <c r="J159" i="18"/>
  <c r="K159" i="18"/>
  <c r="L159" i="18"/>
  <c r="M159" i="18"/>
  <c r="N159" i="18"/>
  <c r="O159" i="18"/>
  <c r="P159" i="18"/>
  <c r="Q159" i="18"/>
  <c r="R159" i="18"/>
  <c r="C160" i="18"/>
  <c r="D160" i="18"/>
  <c r="E160" i="18"/>
  <c r="F160" i="18"/>
  <c r="G160" i="18"/>
  <c r="H160" i="18"/>
  <c r="I160" i="18"/>
  <c r="J160" i="18"/>
  <c r="K160" i="18"/>
  <c r="L160" i="18"/>
  <c r="M160" i="18"/>
  <c r="N160" i="18"/>
  <c r="O160" i="18"/>
  <c r="P160" i="18"/>
  <c r="Q160" i="18"/>
  <c r="R160" i="18"/>
  <c r="C161" i="18"/>
  <c r="D161" i="18"/>
  <c r="E161" i="18"/>
  <c r="F161" i="18"/>
  <c r="G161" i="18"/>
  <c r="H161" i="18"/>
  <c r="I161" i="18"/>
  <c r="J161" i="18"/>
  <c r="K161" i="18"/>
  <c r="L161" i="18"/>
  <c r="M161" i="18"/>
  <c r="N161" i="18"/>
  <c r="O161" i="18"/>
  <c r="P161" i="18"/>
  <c r="Q161" i="18"/>
  <c r="R161" i="18"/>
  <c r="C162" i="18"/>
  <c r="D162" i="18"/>
  <c r="E162" i="18"/>
  <c r="F162" i="18"/>
  <c r="G162" i="18"/>
  <c r="H162" i="18"/>
  <c r="I162" i="18"/>
  <c r="J162" i="18"/>
  <c r="K162" i="18"/>
  <c r="L162" i="18"/>
  <c r="M162" i="18"/>
  <c r="N162" i="18"/>
  <c r="O162" i="18"/>
  <c r="P162" i="18"/>
  <c r="Q162" i="18"/>
  <c r="R162" i="18"/>
  <c r="C163" i="18"/>
  <c r="D163" i="18"/>
  <c r="E163" i="18"/>
  <c r="F163" i="18"/>
  <c r="G163" i="18"/>
  <c r="H163" i="18"/>
  <c r="I163" i="18"/>
  <c r="J163" i="18"/>
  <c r="K163" i="18"/>
  <c r="L163" i="18"/>
  <c r="M163" i="18"/>
  <c r="N163" i="18"/>
  <c r="O163" i="18"/>
  <c r="P163" i="18"/>
  <c r="Q163" i="18"/>
  <c r="R163" i="18"/>
  <c r="C164" i="18"/>
  <c r="D164" i="18"/>
  <c r="E164" i="18"/>
  <c r="F164" i="18"/>
  <c r="G164" i="18"/>
  <c r="H164" i="18"/>
  <c r="I164" i="18"/>
  <c r="J164" i="18"/>
  <c r="K164" i="18"/>
  <c r="L164" i="18"/>
  <c r="M164" i="18"/>
  <c r="N164" i="18"/>
  <c r="O164" i="18"/>
  <c r="P164" i="18"/>
  <c r="Q164" i="18"/>
  <c r="R164" i="18"/>
  <c r="C165" i="18"/>
  <c r="D165" i="18"/>
  <c r="E165" i="18"/>
  <c r="F165" i="18"/>
  <c r="G165" i="18"/>
  <c r="H165" i="18"/>
  <c r="I165" i="18"/>
  <c r="J165" i="18"/>
  <c r="K165" i="18"/>
  <c r="L165" i="18"/>
  <c r="M165" i="18"/>
  <c r="N165" i="18"/>
  <c r="O165" i="18"/>
  <c r="P165" i="18"/>
  <c r="Q165" i="18"/>
  <c r="R165" i="18"/>
  <c r="C166" i="18"/>
  <c r="D166" i="18"/>
  <c r="E166" i="18"/>
  <c r="F166" i="18"/>
  <c r="G166" i="18"/>
  <c r="H166" i="18"/>
  <c r="I166" i="18"/>
  <c r="J166" i="18"/>
  <c r="K166" i="18"/>
  <c r="L166" i="18"/>
  <c r="M166" i="18"/>
  <c r="N166" i="18"/>
  <c r="O166" i="18"/>
  <c r="P166" i="18"/>
  <c r="Q166" i="18"/>
  <c r="R166" i="18"/>
  <c r="C167" i="18"/>
  <c r="D167" i="18"/>
  <c r="E167" i="18"/>
  <c r="F167" i="18"/>
  <c r="G167" i="18"/>
  <c r="H167" i="18"/>
  <c r="I167" i="18"/>
  <c r="J167" i="18"/>
  <c r="K167" i="18"/>
  <c r="L167" i="18"/>
  <c r="M167" i="18"/>
  <c r="N167" i="18"/>
  <c r="O167" i="18"/>
  <c r="P167" i="18"/>
  <c r="Q167" i="18"/>
  <c r="R167" i="18"/>
  <c r="B155" i="18"/>
  <c r="B156" i="18"/>
  <c r="B157" i="18"/>
  <c r="B158" i="18"/>
  <c r="B159" i="18"/>
  <c r="B160" i="18"/>
  <c r="B161" i="18"/>
  <c r="B162" i="18"/>
  <c r="B163" i="18"/>
  <c r="B164" i="18"/>
  <c r="B165" i="18"/>
  <c r="B166" i="18"/>
  <c r="B167" i="18"/>
  <c r="B154" i="18"/>
  <c r="P83" i="18"/>
  <c r="Q83" i="18"/>
  <c r="P84" i="18"/>
  <c r="Q84" i="18"/>
  <c r="P85" i="18"/>
  <c r="Q85" i="18"/>
  <c r="P96" i="18"/>
  <c r="Q96" i="18"/>
  <c r="P86" i="18"/>
  <c r="Q86" i="18"/>
  <c r="P87" i="18"/>
  <c r="Q87" i="18"/>
  <c r="P88" i="18"/>
  <c r="Q88" i="18"/>
  <c r="P89" i="18"/>
  <c r="Q89" i="18"/>
  <c r="P90" i="18"/>
  <c r="Q90" i="18"/>
  <c r="P91" i="18"/>
  <c r="Q91" i="18"/>
  <c r="P92" i="18"/>
  <c r="Q92" i="18"/>
  <c r="P93" i="18"/>
  <c r="Q93" i="18"/>
  <c r="P94" i="18"/>
  <c r="Q94" i="18"/>
  <c r="P95" i="18"/>
  <c r="Q95" i="18"/>
  <c r="P4" i="18"/>
  <c r="Q4" i="18"/>
  <c r="R4" i="18"/>
  <c r="P5" i="18"/>
  <c r="Q5" i="18"/>
  <c r="R5" i="18"/>
  <c r="P6" i="18"/>
  <c r="Q6" i="18"/>
  <c r="R6" i="18"/>
  <c r="P7" i="18"/>
  <c r="Q7" i="18"/>
  <c r="R7" i="18"/>
  <c r="P8" i="18"/>
  <c r="Q8" i="18"/>
  <c r="R8" i="18"/>
  <c r="P9" i="18"/>
  <c r="Q9" i="18"/>
  <c r="R9" i="18"/>
  <c r="P10" i="18"/>
  <c r="Q10" i="18"/>
  <c r="R10" i="18"/>
  <c r="P11" i="18"/>
  <c r="Q11" i="18"/>
  <c r="R11" i="18"/>
  <c r="P12" i="18"/>
  <c r="Q12" i="18"/>
  <c r="R12" i="18"/>
  <c r="P13" i="18"/>
  <c r="Q13" i="18"/>
  <c r="R13" i="18"/>
  <c r="P14" i="18"/>
  <c r="Q14" i="18"/>
  <c r="R14" i="18"/>
  <c r="P15" i="18"/>
  <c r="Q15" i="18"/>
  <c r="R15" i="18"/>
  <c r="P16" i="18"/>
  <c r="Q16" i="18"/>
  <c r="R16" i="18"/>
  <c r="P17" i="18"/>
  <c r="Q17" i="18"/>
  <c r="R17" i="18"/>
  <c r="S36" i="3"/>
  <c r="S19" i="3"/>
  <c r="R241" i="18" s="1"/>
  <c r="R19" i="3"/>
  <c r="Q124" i="18" s="1"/>
  <c r="Q265" i="18" l="1"/>
  <c r="P265" i="18"/>
  <c r="R125" i="18"/>
  <c r="T37" i="3"/>
  <c r="Q241" i="18"/>
  <c r="R124" i="18"/>
  <c r="S20" i="3"/>
  <c r="R130" i="18" s="1"/>
  <c r="T20" i="3"/>
  <c r="S130" i="18" s="1"/>
  <c r="R265" i="18"/>
  <c r="O168" i="18"/>
  <c r="K168" i="18"/>
  <c r="I168" i="18"/>
  <c r="Q97" i="18"/>
  <c r="P97" i="18"/>
  <c r="P18" i="18"/>
  <c r="H168" i="18"/>
  <c r="G168" i="18"/>
  <c r="E168" i="18"/>
  <c r="J168" i="18"/>
  <c r="Q168" i="18"/>
  <c r="P168" i="18"/>
  <c r="D168" i="18"/>
  <c r="F168" i="18"/>
  <c r="C168" i="18"/>
  <c r="N168" i="18"/>
  <c r="R168" i="18"/>
  <c r="M168" i="18"/>
  <c r="B168" i="18"/>
  <c r="L168" i="18"/>
  <c r="R18" i="18"/>
  <c r="Q18" i="18"/>
  <c r="S104" i="3"/>
  <c r="R129" i="18" s="1"/>
  <c r="S87" i="3"/>
  <c r="R128" i="18" s="1"/>
  <c r="Y70" i="3"/>
  <c r="X127" i="18" s="1"/>
  <c r="Z70" i="3"/>
  <c r="Y127" i="18" s="1"/>
  <c r="AA70" i="3"/>
  <c r="Z127" i="18" s="1"/>
  <c r="S70" i="3"/>
  <c r="R127" i="18" s="1"/>
  <c r="T87" i="3" l="1"/>
  <c r="S128" i="18" s="1"/>
  <c r="AA104" i="3"/>
  <c r="Y104" i="3"/>
  <c r="Y105" i="3" s="1"/>
  <c r="W104" i="3"/>
  <c r="V129" i="18" s="1"/>
  <c r="V104" i="3"/>
  <c r="U129" i="18" s="1"/>
  <c r="T104" i="3"/>
  <c r="S129" i="18" s="1"/>
  <c r="W70" i="3"/>
  <c r="V127" i="18" s="1"/>
  <c r="V70" i="3"/>
  <c r="U127" i="18" s="1"/>
  <c r="T70" i="3"/>
  <c r="S127" i="18" s="1"/>
  <c r="Z104" i="3"/>
  <c r="R104" i="3"/>
  <c r="Q129" i="18" s="1"/>
  <c r="R87" i="3"/>
  <c r="Q128" i="18" s="1"/>
  <c r="Q104" i="3"/>
  <c r="P129" i="18" s="1"/>
  <c r="Q87" i="3"/>
  <c r="P128" i="18" s="1"/>
  <c r="R70" i="3"/>
  <c r="Q127" i="18" s="1"/>
  <c r="Q70" i="3"/>
  <c r="P127" i="18" s="1"/>
  <c r="Q36" i="3"/>
  <c r="R36" i="3"/>
  <c r="Q19" i="3"/>
  <c r="O126" i="18"/>
  <c r="K96" i="18"/>
  <c r="L96" i="18"/>
  <c r="M96" i="18"/>
  <c r="N96" i="18"/>
  <c r="O96" i="18"/>
  <c r="C57" i="18"/>
  <c r="D57" i="18"/>
  <c r="E57" i="18"/>
  <c r="F57" i="18"/>
  <c r="G57" i="18"/>
  <c r="H57" i="18"/>
  <c r="I57" i="18"/>
  <c r="J57" i="18"/>
  <c r="K57" i="18"/>
  <c r="L57" i="18"/>
  <c r="M57" i="18"/>
  <c r="N57" i="18"/>
  <c r="O57" i="18"/>
  <c r="B57" i="18"/>
  <c r="C55" i="18"/>
  <c r="D55" i="18"/>
  <c r="E55" i="18"/>
  <c r="F55" i="18"/>
  <c r="G55" i="18"/>
  <c r="H55" i="18"/>
  <c r="I55" i="18"/>
  <c r="J55" i="18"/>
  <c r="K55" i="18"/>
  <c r="L55" i="18"/>
  <c r="M55" i="18"/>
  <c r="N55" i="18"/>
  <c r="O55" i="18"/>
  <c r="B55" i="18"/>
  <c r="C126" i="18"/>
  <c r="D126" i="18"/>
  <c r="E126" i="18"/>
  <c r="F126" i="18"/>
  <c r="G126" i="18"/>
  <c r="H126" i="18"/>
  <c r="I126" i="18"/>
  <c r="J126" i="18"/>
  <c r="K126" i="18"/>
  <c r="L126" i="18"/>
  <c r="M126" i="18"/>
  <c r="N126" i="18"/>
  <c r="B126" i="18"/>
  <c r="I125" i="18"/>
  <c r="J125" i="18"/>
  <c r="K125" i="18"/>
  <c r="L125" i="18"/>
  <c r="B125" i="18"/>
  <c r="G124" i="18"/>
  <c r="D104" i="3"/>
  <c r="C129" i="18" s="1"/>
  <c r="E104" i="3"/>
  <c r="D129" i="18" s="1"/>
  <c r="F104" i="3"/>
  <c r="E129" i="18" s="1"/>
  <c r="G104" i="3"/>
  <c r="F129" i="18" s="1"/>
  <c r="H104" i="3"/>
  <c r="G129" i="18" s="1"/>
  <c r="I104" i="3"/>
  <c r="H129" i="18" s="1"/>
  <c r="J104" i="3"/>
  <c r="I129" i="18" s="1"/>
  <c r="K104" i="3"/>
  <c r="J129" i="18" s="1"/>
  <c r="L104" i="3"/>
  <c r="K129" i="18" s="1"/>
  <c r="M104" i="3"/>
  <c r="L129" i="18" s="1"/>
  <c r="N104" i="3"/>
  <c r="M129" i="18" s="1"/>
  <c r="O104" i="3"/>
  <c r="N129" i="18" s="1"/>
  <c r="P104" i="3"/>
  <c r="O129" i="18" s="1"/>
  <c r="C104" i="3"/>
  <c r="B129" i="18" s="1"/>
  <c r="D87" i="3"/>
  <c r="C128" i="18" s="1"/>
  <c r="E87" i="3"/>
  <c r="D128" i="18" s="1"/>
  <c r="F87" i="3"/>
  <c r="E128" i="18" s="1"/>
  <c r="G87" i="3"/>
  <c r="F128" i="18" s="1"/>
  <c r="H87" i="3"/>
  <c r="G128" i="18" s="1"/>
  <c r="I87" i="3"/>
  <c r="H128" i="18" s="1"/>
  <c r="J87" i="3"/>
  <c r="I128" i="18" s="1"/>
  <c r="K87" i="3"/>
  <c r="J128" i="18" s="1"/>
  <c r="L87" i="3"/>
  <c r="K128" i="18" s="1"/>
  <c r="M87" i="3"/>
  <c r="L128" i="18" s="1"/>
  <c r="N87" i="3"/>
  <c r="M128" i="18" s="1"/>
  <c r="O87" i="3"/>
  <c r="N128" i="18" s="1"/>
  <c r="P87" i="3"/>
  <c r="O128" i="18" s="1"/>
  <c r="C87" i="3"/>
  <c r="B128" i="18" s="1"/>
  <c r="D70" i="3"/>
  <c r="C127" i="18" s="1"/>
  <c r="E70" i="3"/>
  <c r="D127" i="18" s="1"/>
  <c r="F70" i="3"/>
  <c r="E127" i="18" s="1"/>
  <c r="G70" i="3"/>
  <c r="F127" i="18" s="1"/>
  <c r="H70" i="3"/>
  <c r="G127" i="18" s="1"/>
  <c r="I70" i="3"/>
  <c r="H127" i="18" s="1"/>
  <c r="J70" i="3"/>
  <c r="I127" i="18" s="1"/>
  <c r="K70" i="3"/>
  <c r="J127" i="18" s="1"/>
  <c r="L70" i="3"/>
  <c r="K127" i="18" s="1"/>
  <c r="M70" i="3"/>
  <c r="L127" i="18" s="1"/>
  <c r="N70" i="3"/>
  <c r="M127" i="18" s="1"/>
  <c r="O70" i="3"/>
  <c r="N127" i="18" s="1"/>
  <c r="P70" i="3"/>
  <c r="O127" i="18" s="1"/>
  <c r="C70" i="3"/>
  <c r="B127" i="18" s="1"/>
  <c r="D36" i="3"/>
  <c r="D37" i="3" s="1"/>
  <c r="E36" i="3"/>
  <c r="D125" i="18" s="1"/>
  <c r="F36" i="3"/>
  <c r="F37" i="3" s="1"/>
  <c r="G36" i="3"/>
  <c r="H36" i="3"/>
  <c r="G125" i="18" s="1"/>
  <c r="I36" i="3"/>
  <c r="I37" i="3" s="1"/>
  <c r="J36" i="3"/>
  <c r="J37" i="3" s="1"/>
  <c r="K36" i="3"/>
  <c r="K37" i="3" s="1"/>
  <c r="L36" i="3"/>
  <c r="L37" i="3" s="1"/>
  <c r="M36" i="3"/>
  <c r="M37" i="3" s="1"/>
  <c r="N36" i="3"/>
  <c r="N37" i="3" s="1"/>
  <c r="O36" i="3"/>
  <c r="O37" i="3" s="1"/>
  <c r="P36" i="3"/>
  <c r="O125" i="18" s="1"/>
  <c r="D19" i="3"/>
  <c r="C124" i="18" s="1"/>
  <c r="E19" i="3"/>
  <c r="D124" i="18" s="1"/>
  <c r="F19" i="3"/>
  <c r="E124" i="18" s="1"/>
  <c r="G19" i="3"/>
  <c r="F124" i="18" s="1"/>
  <c r="H19" i="3"/>
  <c r="I19" i="3"/>
  <c r="H124" i="18" s="1"/>
  <c r="J19" i="3"/>
  <c r="I124" i="18" s="1"/>
  <c r="K19" i="3"/>
  <c r="J124" i="18" s="1"/>
  <c r="L19" i="3"/>
  <c r="M19" i="3"/>
  <c r="N19" i="3"/>
  <c r="O19" i="3"/>
  <c r="N124" i="18" s="1"/>
  <c r="P19" i="3"/>
  <c r="O124" i="18" s="1"/>
  <c r="C19" i="3"/>
  <c r="B241" i="18" s="1"/>
  <c r="B84" i="18"/>
  <c r="C84" i="18"/>
  <c r="D84" i="18"/>
  <c r="E84" i="18"/>
  <c r="F84" i="18"/>
  <c r="G84" i="18"/>
  <c r="H84" i="18"/>
  <c r="I84" i="18"/>
  <c r="J84" i="18"/>
  <c r="K84" i="18"/>
  <c r="L84" i="18"/>
  <c r="M84" i="18"/>
  <c r="N84" i="18"/>
  <c r="O84" i="18"/>
  <c r="B85" i="18"/>
  <c r="C85" i="18"/>
  <c r="D85" i="18"/>
  <c r="E85" i="18"/>
  <c r="F85" i="18"/>
  <c r="G85" i="18"/>
  <c r="H85" i="18"/>
  <c r="I85" i="18"/>
  <c r="J85" i="18"/>
  <c r="K85" i="18"/>
  <c r="L85" i="18"/>
  <c r="M85" i="18"/>
  <c r="N85" i="18"/>
  <c r="O85" i="18"/>
  <c r="B86" i="18"/>
  <c r="C86" i="18"/>
  <c r="D86" i="18"/>
  <c r="E86" i="18"/>
  <c r="F86" i="18"/>
  <c r="G86" i="18"/>
  <c r="H86" i="18"/>
  <c r="I86" i="18"/>
  <c r="J86" i="18"/>
  <c r="K86" i="18"/>
  <c r="L86" i="18"/>
  <c r="M86" i="18"/>
  <c r="N86" i="18"/>
  <c r="O86" i="18"/>
  <c r="B87" i="18"/>
  <c r="C87" i="18"/>
  <c r="D87" i="18"/>
  <c r="E87" i="18"/>
  <c r="F87" i="18"/>
  <c r="G87" i="18"/>
  <c r="H87" i="18"/>
  <c r="I87" i="18"/>
  <c r="J87" i="18"/>
  <c r="K87" i="18"/>
  <c r="L87" i="18"/>
  <c r="M87" i="18"/>
  <c r="N87" i="18"/>
  <c r="O87" i="18"/>
  <c r="B88" i="18"/>
  <c r="C88" i="18"/>
  <c r="D88" i="18"/>
  <c r="E88" i="18"/>
  <c r="F88" i="18"/>
  <c r="G88" i="18"/>
  <c r="H88" i="18"/>
  <c r="I88" i="18"/>
  <c r="J88" i="18"/>
  <c r="K88" i="18"/>
  <c r="L88" i="18"/>
  <c r="M88" i="18"/>
  <c r="N88" i="18"/>
  <c r="O88" i="18"/>
  <c r="B89" i="18"/>
  <c r="C89" i="18"/>
  <c r="D89" i="18"/>
  <c r="E89" i="18"/>
  <c r="F89" i="18"/>
  <c r="G89" i="18"/>
  <c r="H89" i="18"/>
  <c r="I89" i="18"/>
  <c r="J89" i="18"/>
  <c r="K89" i="18"/>
  <c r="L89" i="18"/>
  <c r="M89" i="18"/>
  <c r="N89" i="18"/>
  <c r="O89" i="18"/>
  <c r="B90" i="18"/>
  <c r="C90" i="18"/>
  <c r="D90" i="18"/>
  <c r="E90" i="18"/>
  <c r="F90" i="18"/>
  <c r="G90" i="18"/>
  <c r="H90" i="18"/>
  <c r="I90" i="18"/>
  <c r="J90" i="18"/>
  <c r="K90" i="18"/>
  <c r="L90" i="18"/>
  <c r="M90" i="18"/>
  <c r="N90" i="18"/>
  <c r="O90" i="18"/>
  <c r="B91" i="18"/>
  <c r="C91" i="18"/>
  <c r="D91" i="18"/>
  <c r="E91" i="18"/>
  <c r="F91" i="18"/>
  <c r="G91" i="18"/>
  <c r="H91" i="18"/>
  <c r="I91" i="18"/>
  <c r="J91" i="18"/>
  <c r="K91" i="18"/>
  <c r="L91" i="18"/>
  <c r="M91" i="18"/>
  <c r="N91" i="18"/>
  <c r="O91" i="18"/>
  <c r="B92" i="18"/>
  <c r="C92" i="18"/>
  <c r="D92" i="18"/>
  <c r="E92" i="18"/>
  <c r="F92" i="18"/>
  <c r="G92" i="18"/>
  <c r="H92" i="18"/>
  <c r="I92" i="18"/>
  <c r="J92" i="18"/>
  <c r="K92" i="18"/>
  <c r="L92" i="18"/>
  <c r="M92" i="18"/>
  <c r="N92" i="18"/>
  <c r="O92" i="18"/>
  <c r="B93" i="18"/>
  <c r="C93" i="18"/>
  <c r="D93" i="18"/>
  <c r="E93" i="18"/>
  <c r="F93" i="18"/>
  <c r="G93" i="18"/>
  <c r="H93" i="18"/>
  <c r="I93" i="18"/>
  <c r="J93" i="18"/>
  <c r="K93" i="18"/>
  <c r="L93" i="18"/>
  <c r="M93" i="18"/>
  <c r="N93" i="18"/>
  <c r="O93" i="18"/>
  <c r="B94" i="18"/>
  <c r="C94" i="18"/>
  <c r="D94" i="18"/>
  <c r="E94" i="18"/>
  <c r="F94" i="18"/>
  <c r="G94" i="18"/>
  <c r="H94" i="18"/>
  <c r="I94" i="18"/>
  <c r="J94" i="18"/>
  <c r="K94" i="18"/>
  <c r="L94" i="18"/>
  <c r="M94" i="18"/>
  <c r="N94" i="18"/>
  <c r="O94" i="18"/>
  <c r="B95" i="18"/>
  <c r="C95" i="18"/>
  <c r="D95" i="18"/>
  <c r="E95" i="18"/>
  <c r="F95" i="18"/>
  <c r="G95" i="18"/>
  <c r="H95" i="18"/>
  <c r="I95" i="18"/>
  <c r="J95" i="18"/>
  <c r="K95" i="18"/>
  <c r="L95" i="18"/>
  <c r="M95" i="18"/>
  <c r="N95" i="18"/>
  <c r="O95" i="18"/>
  <c r="C83" i="18"/>
  <c r="D83" i="18"/>
  <c r="E83" i="18"/>
  <c r="F83" i="18"/>
  <c r="G83" i="18"/>
  <c r="H83" i="18"/>
  <c r="I83" i="18"/>
  <c r="J83" i="18"/>
  <c r="K83" i="18"/>
  <c r="L83" i="18"/>
  <c r="M83" i="18"/>
  <c r="N83" i="18"/>
  <c r="O83" i="18"/>
  <c r="B83" i="18"/>
  <c r="B47" i="18"/>
  <c r="C47" i="18"/>
  <c r="D47" i="18"/>
  <c r="E47" i="18"/>
  <c r="F47" i="18"/>
  <c r="G47" i="18"/>
  <c r="H47" i="18"/>
  <c r="I47" i="18"/>
  <c r="J47" i="18"/>
  <c r="K47" i="18"/>
  <c r="L47" i="18"/>
  <c r="M47" i="18"/>
  <c r="N47" i="18"/>
  <c r="O47" i="18"/>
  <c r="B48" i="18"/>
  <c r="C48" i="18"/>
  <c r="D48" i="18"/>
  <c r="E48" i="18"/>
  <c r="F48" i="18"/>
  <c r="G48" i="18"/>
  <c r="H48" i="18"/>
  <c r="I48" i="18"/>
  <c r="J48" i="18"/>
  <c r="K48" i="18"/>
  <c r="L48" i="18"/>
  <c r="M48" i="18"/>
  <c r="N48" i="18"/>
  <c r="O48" i="18"/>
  <c r="B49" i="18"/>
  <c r="C49" i="18"/>
  <c r="D49" i="18"/>
  <c r="E49" i="18"/>
  <c r="F49" i="18"/>
  <c r="G49" i="18"/>
  <c r="H49" i="18"/>
  <c r="I49" i="18"/>
  <c r="J49" i="18"/>
  <c r="K49" i="18"/>
  <c r="L49" i="18"/>
  <c r="M49" i="18"/>
  <c r="N49" i="18"/>
  <c r="O49" i="18"/>
  <c r="B50" i="18"/>
  <c r="C50" i="18"/>
  <c r="D50" i="18"/>
  <c r="E50" i="18"/>
  <c r="F50" i="18"/>
  <c r="G50" i="18"/>
  <c r="H50" i="18"/>
  <c r="I50" i="18"/>
  <c r="J50" i="18"/>
  <c r="K50" i="18"/>
  <c r="L50" i="18"/>
  <c r="M50" i="18"/>
  <c r="N50" i="18"/>
  <c r="O50" i="18"/>
  <c r="B51" i="18"/>
  <c r="C51" i="18"/>
  <c r="D51" i="18"/>
  <c r="E51" i="18"/>
  <c r="F51" i="18"/>
  <c r="G51" i="18"/>
  <c r="H51" i="18"/>
  <c r="I51" i="18"/>
  <c r="J51" i="18"/>
  <c r="K51" i="18"/>
  <c r="L51" i="18"/>
  <c r="M51" i="18"/>
  <c r="N51" i="18"/>
  <c r="O51" i="18"/>
  <c r="B52" i="18"/>
  <c r="C52" i="18"/>
  <c r="D52" i="18"/>
  <c r="E52" i="18"/>
  <c r="F52" i="18"/>
  <c r="G52" i="18"/>
  <c r="H52" i="18"/>
  <c r="I52" i="18"/>
  <c r="J52" i="18"/>
  <c r="K52" i="18"/>
  <c r="L52" i="18"/>
  <c r="M52" i="18"/>
  <c r="N52" i="18"/>
  <c r="O52" i="18"/>
  <c r="B53" i="18"/>
  <c r="C53" i="18"/>
  <c r="D53" i="18"/>
  <c r="E53" i="18"/>
  <c r="F53" i="18"/>
  <c r="G53" i="18"/>
  <c r="H53" i="18"/>
  <c r="I53" i="18"/>
  <c r="J53" i="18"/>
  <c r="K53" i="18"/>
  <c r="L53" i="18"/>
  <c r="M53" i="18"/>
  <c r="N53" i="18"/>
  <c r="O53" i="18"/>
  <c r="B54" i="18"/>
  <c r="C54" i="18"/>
  <c r="D54" i="18"/>
  <c r="E54" i="18"/>
  <c r="F54" i="18"/>
  <c r="G54" i="18"/>
  <c r="H54" i="18"/>
  <c r="I54" i="18"/>
  <c r="J54" i="18"/>
  <c r="K54" i="18"/>
  <c r="L54" i="18"/>
  <c r="M54" i="18"/>
  <c r="N54" i="18"/>
  <c r="O54" i="18"/>
  <c r="C45" i="18"/>
  <c r="D45" i="18"/>
  <c r="E45" i="18"/>
  <c r="F45" i="18"/>
  <c r="G45" i="18"/>
  <c r="H45" i="18"/>
  <c r="I45" i="18"/>
  <c r="J45" i="18"/>
  <c r="K45" i="18"/>
  <c r="L45" i="18"/>
  <c r="M45" i="18"/>
  <c r="N45" i="18"/>
  <c r="O45" i="18"/>
  <c r="B45" i="18"/>
  <c r="C4" i="18"/>
  <c r="D4" i="18"/>
  <c r="E4" i="18"/>
  <c r="F4" i="18"/>
  <c r="G4" i="18"/>
  <c r="H4" i="18"/>
  <c r="I4" i="18"/>
  <c r="J4" i="18"/>
  <c r="K4" i="18"/>
  <c r="L4" i="18"/>
  <c r="M4" i="18"/>
  <c r="N4" i="18"/>
  <c r="O4" i="18"/>
  <c r="C5" i="18"/>
  <c r="D5" i="18"/>
  <c r="E5" i="18"/>
  <c r="F5" i="18"/>
  <c r="G5" i="18"/>
  <c r="H5" i="18"/>
  <c r="I5" i="18"/>
  <c r="J5" i="18"/>
  <c r="K5" i="18"/>
  <c r="L5" i="18"/>
  <c r="M5" i="18"/>
  <c r="N5" i="18"/>
  <c r="O5" i="18"/>
  <c r="C6" i="18"/>
  <c r="D6" i="18"/>
  <c r="E6" i="18"/>
  <c r="F6" i="18"/>
  <c r="G6" i="18"/>
  <c r="H6" i="18"/>
  <c r="I6" i="18"/>
  <c r="J6" i="18"/>
  <c r="K6" i="18"/>
  <c r="L6" i="18"/>
  <c r="M6" i="18"/>
  <c r="N6" i="18"/>
  <c r="O6" i="18"/>
  <c r="K7" i="18"/>
  <c r="L7" i="18"/>
  <c r="M7" i="18"/>
  <c r="N7" i="18"/>
  <c r="O7" i="18"/>
  <c r="C8" i="18"/>
  <c r="D8" i="18"/>
  <c r="E8" i="18"/>
  <c r="F8" i="18"/>
  <c r="G8" i="18"/>
  <c r="H8" i="18"/>
  <c r="I8" i="18"/>
  <c r="J8" i="18"/>
  <c r="K8" i="18"/>
  <c r="L8" i="18"/>
  <c r="M8" i="18"/>
  <c r="N8" i="18"/>
  <c r="O8" i="18"/>
  <c r="C9" i="18"/>
  <c r="D9" i="18"/>
  <c r="E9" i="18"/>
  <c r="F9" i="18"/>
  <c r="G9" i="18"/>
  <c r="H9" i="18"/>
  <c r="I9" i="18"/>
  <c r="J9" i="18"/>
  <c r="K9" i="18"/>
  <c r="L9" i="18"/>
  <c r="M9" i="18"/>
  <c r="N9" i="18"/>
  <c r="O9" i="18"/>
  <c r="C10" i="18"/>
  <c r="D10" i="18"/>
  <c r="E10" i="18"/>
  <c r="F10" i="18"/>
  <c r="G10" i="18"/>
  <c r="H10" i="18"/>
  <c r="I10" i="18"/>
  <c r="J10" i="18"/>
  <c r="K10" i="18"/>
  <c r="L10" i="18"/>
  <c r="M10" i="18"/>
  <c r="N10" i="18"/>
  <c r="O10" i="18"/>
  <c r="C11" i="18"/>
  <c r="D11" i="18"/>
  <c r="E11" i="18"/>
  <c r="F11" i="18"/>
  <c r="G11" i="18"/>
  <c r="H11" i="18"/>
  <c r="I11" i="18"/>
  <c r="J11" i="18"/>
  <c r="K11" i="18"/>
  <c r="L11" i="18"/>
  <c r="M11" i="18"/>
  <c r="N11" i="18"/>
  <c r="O11" i="18"/>
  <c r="C12" i="18"/>
  <c r="D12" i="18"/>
  <c r="E12" i="18"/>
  <c r="F12" i="18"/>
  <c r="G12" i="18"/>
  <c r="H12" i="18"/>
  <c r="I12" i="18"/>
  <c r="J12" i="18"/>
  <c r="K12" i="18"/>
  <c r="L12" i="18"/>
  <c r="M12" i="18"/>
  <c r="N12" i="18"/>
  <c r="O12" i="18"/>
  <c r="C13" i="18"/>
  <c r="D13" i="18"/>
  <c r="E13" i="18"/>
  <c r="F13" i="18"/>
  <c r="G13" i="18"/>
  <c r="H13" i="18"/>
  <c r="I13" i="18"/>
  <c r="J13" i="18"/>
  <c r="K13" i="18"/>
  <c r="L13" i="18"/>
  <c r="M13" i="18"/>
  <c r="N13" i="18"/>
  <c r="O13" i="18"/>
  <c r="C14" i="18"/>
  <c r="D14" i="18"/>
  <c r="E14" i="18"/>
  <c r="F14" i="18"/>
  <c r="G14" i="18"/>
  <c r="H14" i="18"/>
  <c r="I14" i="18"/>
  <c r="J14" i="18"/>
  <c r="K14" i="18"/>
  <c r="L14" i="18"/>
  <c r="M14" i="18"/>
  <c r="N14" i="18"/>
  <c r="O14" i="18"/>
  <c r="C15" i="18"/>
  <c r="D15" i="18"/>
  <c r="E15" i="18"/>
  <c r="F15" i="18"/>
  <c r="G15" i="18"/>
  <c r="H15" i="18"/>
  <c r="I15" i="18"/>
  <c r="J15" i="18"/>
  <c r="K15" i="18"/>
  <c r="L15" i="18"/>
  <c r="M15" i="18"/>
  <c r="N15" i="18"/>
  <c r="O15" i="18"/>
  <c r="C16" i="18"/>
  <c r="D16" i="18"/>
  <c r="E16" i="18"/>
  <c r="F16" i="18"/>
  <c r="G16" i="18"/>
  <c r="H16" i="18"/>
  <c r="I16" i="18"/>
  <c r="J16" i="18"/>
  <c r="K16" i="18"/>
  <c r="L16" i="18"/>
  <c r="M16" i="18"/>
  <c r="N16" i="18"/>
  <c r="O16" i="18"/>
  <c r="C17" i="18"/>
  <c r="D17" i="18"/>
  <c r="E17" i="18"/>
  <c r="F17" i="18"/>
  <c r="G17" i="18"/>
  <c r="H17" i="18"/>
  <c r="I17" i="18"/>
  <c r="J17" i="18"/>
  <c r="K17" i="18"/>
  <c r="L17" i="18"/>
  <c r="M17" i="18"/>
  <c r="N17" i="18"/>
  <c r="O17" i="18"/>
  <c r="B5" i="18"/>
  <c r="B6" i="18"/>
  <c r="B8" i="18"/>
  <c r="B9" i="18"/>
  <c r="B10" i="18"/>
  <c r="B11" i="18"/>
  <c r="B12" i="18"/>
  <c r="B13" i="18"/>
  <c r="B14" i="18"/>
  <c r="B15" i="18"/>
  <c r="B16" i="18"/>
  <c r="B17" i="18"/>
  <c r="B4" i="18"/>
  <c r="Z129" i="18" l="1"/>
  <c r="AA105" i="3"/>
  <c r="Y129" i="18"/>
  <c r="Z105" i="3"/>
  <c r="X129" i="18"/>
  <c r="G37" i="3"/>
  <c r="J20" i="3"/>
  <c r="I130" i="18" s="1"/>
  <c r="I241" i="18"/>
  <c r="H125" i="18"/>
  <c r="L241" i="18"/>
  <c r="M20" i="3"/>
  <c r="L130" i="18" s="1"/>
  <c r="H241" i="18"/>
  <c r="I20" i="3"/>
  <c r="H130" i="18" s="1"/>
  <c r="K20" i="3"/>
  <c r="J130" i="18" s="1"/>
  <c r="J241" i="18"/>
  <c r="H20" i="3"/>
  <c r="G130" i="18" s="1"/>
  <c r="G241" i="18"/>
  <c r="B124" i="18"/>
  <c r="F125" i="18"/>
  <c r="G20" i="3"/>
  <c r="F130" i="18" s="1"/>
  <c r="F241" i="18"/>
  <c r="H37" i="3"/>
  <c r="E125" i="18"/>
  <c r="N20" i="3"/>
  <c r="M130" i="18" s="1"/>
  <c r="M241" i="18"/>
  <c r="F20" i="3"/>
  <c r="E130" i="18" s="1"/>
  <c r="E241" i="18"/>
  <c r="K241" i="18"/>
  <c r="L20" i="3"/>
  <c r="K130" i="18" s="1"/>
  <c r="E20" i="3"/>
  <c r="D130" i="18" s="1"/>
  <c r="D241" i="18"/>
  <c r="M124" i="18"/>
  <c r="C125" i="18"/>
  <c r="P124" i="18"/>
  <c r="Q20" i="3"/>
  <c r="P130" i="18" s="1"/>
  <c r="P241" i="18"/>
  <c r="R20" i="3"/>
  <c r="Q130" i="18" s="1"/>
  <c r="P20" i="3"/>
  <c r="O130" i="18" s="1"/>
  <c r="O241" i="18"/>
  <c r="C241" i="18"/>
  <c r="D20" i="3"/>
  <c r="C130" i="18" s="1"/>
  <c r="E37" i="3"/>
  <c r="L124" i="18"/>
  <c r="N125" i="18"/>
  <c r="Q125" i="18"/>
  <c r="S37" i="3"/>
  <c r="R37" i="3"/>
  <c r="O20" i="3"/>
  <c r="N130" i="18" s="1"/>
  <c r="N241" i="18"/>
  <c r="P37" i="3"/>
  <c r="K124" i="18"/>
  <c r="M125" i="18"/>
  <c r="P125" i="18"/>
  <c r="Q37" i="3"/>
  <c r="B18" i="18"/>
  <c r="O97" i="18"/>
  <c r="C97" i="18"/>
  <c r="I97" i="18"/>
  <c r="E97" i="18"/>
  <c r="L97" i="18"/>
  <c r="K97" i="18"/>
  <c r="J97" i="18"/>
  <c r="H97" i="18"/>
  <c r="G97" i="18"/>
  <c r="F97" i="18"/>
  <c r="B97" i="18"/>
  <c r="D97" i="18"/>
  <c r="N97" i="18"/>
  <c r="M97" i="18"/>
  <c r="N18" i="18"/>
  <c r="L18" i="18"/>
  <c r="K18" i="18"/>
  <c r="M18" i="18"/>
  <c r="J18" i="18"/>
  <c r="I18" i="18"/>
  <c r="H18" i="18"/>
  <c r="G18" i="18"/>
  <c r="F18" i="18"/>
  <c r="E18" i="18"/>
  <c r="D18" i="18"/>
  <c r="O18" i="18"/>
  <c r="C18" i="18"/>
  <c r="B56" i="18"/>
  <c r="N56" i="18"/>
  <c r="H56" i="18"/>
  <c r="G56" i="18"/>
  <c r="F56" i="18"/>
  <c r="E56" i="18"/>
  <c r="D56" i="18"/>
  <c r="C56" i="18"/>
  <c r="O56" i="18"/>
  <c r="I56" i="18"/>
  <c r="M56" i="18"/>
  <c r="L56" i="18"/>
  <c r="K56" i="18"/>
  <c r="J56" i="1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8586103-CB36-4425-9725-C358518519E2}" keepAlive="1" name="Fråga - Exempelfil" description="Anslutning till Exempelfil-frågan i arbetsboken." type="5" refreshedVersion="0" background="1">
    <dbPr connection="Provider=Microsoft.Mashup.OleDb.1;Data Source=$Workbook$;Location=Exempelfil;Extended Properties=&quot;&quot;" command="SELECT * FROM [Exempelfil]"/>
  </connection>
  <connection id="2" xr16:uid="{8924C252-C7BD-4357-AC43-00BC7F0487D4}" keepAlive="1" name="Fråga - Exempelfil (2)" description="Anslutning till Exempelfil (2)-frågan i arbetsboken." type="5" refreshedVersion="0" background="1">
    <dbPr connection="Provider=Microsoft.Mashup.OleDb.1;Data Source=$Workbook$;Location=&quot;Exempelfil (2)&quot;;Extended Properties=&quot;&quot;" command="SELECT * FROM [Exempelfil (2)]"/>
  </connection>
  <connection id="3" xr16:uid="{872E3E43-08DA-4E62-BF7D-121985DD285C}" keepAlive="1" name="Fråga - Exempelfil (3)" description="Anslutning till Exempelfil (3)-frågan i arbetsboken." type="5" refreshedVersion="0" background="1">
    <dbPr connection="Provider=Microsoft.Mashup.OleDb.1;Data Source=$Workbook$;Location=&quot;Exempelfil (3)&quot;;Extended Properties=&quot;&quot;" command="SELECT * FROM [Exempelfil (3)]"/>
  </connection>
  <connection id="4" xr16:uid="{F91EA888-D259-4E05-B3E8-458E73F1DB1A}" keepAlive="1" name="Fråga - Export" description="Anslutning till Export-frågan i arbetsboken." type="5" refreshedVersion="0" background="1">
    <dbPr connection="Provider=Microsoft.Mashup.OleDb.1;Data Source=$Workbook$;Location=Export;Extended Properties=&quot;&quot;" command="SELECT * FROM [Export]"/>
  </connection>
  <connection id="5" xr16:uid="{BE11FFDB-94D3-46F5-BACE-5E4C1E1FAAF5}" keepAlive="1" name="Fråga - Export (2)" description="Anslutning till Export (2)-frågan i arbetsboken." type="5" refreshedVersion="0" background="1">
    <dbPr connection="Provider=Microsoft.Mashup.OleDb.1;Data Source=$Workbook$;Location=&quot;Export (2)&quot;;Extended Properties=&quot;&quot;" command="SELECT * FROM [Export (2)]"/>
  </connection>
  <connection id="6" xr16:uid="{ED08FF05-2709-454F-AB30-E330D96333C6}" keepAlive="1" name="Fråga - Export (3)" description="Anslutning till Export (3)-frågan i arbetsboken." type="5" refreshedVersion="0" background="1">
    <dbPr connection="Provider=Microsoft.Mashup.OleDb.1;Data Source=$Workbook$;Location=&quot;Export (3)&quot;;Extended Properties=&quot;&quot;" command="SELECT * FROM [Export (3)]"/>
  </connection>
  <connection id="7" xr16:uid="{A6F68F96-22D2-40D9-9702-317EAF601F1D}" keepAlive="1" name="Fråga - Parameter1" description="Anslutning till Parameter1-frågan i arbetsboken." type="5" refreshedVersion="0" background="1">
    <dbPr connection="Provider=Microsoft.Mashup.OleDb.1;Data Source=$Workbook$;Location=Parameter1;Extended Properties=&quot;&quot;" command="SELECT * FROM [Parameter1]"/>
  </connection>
  <connection id="8" xr16:uid="{A5B98BE7-531F-4605-9BD9-6EF986497F19}" keepAlive="1" name="Fråga - Parameter2" description="Anslutning till Parameter2-frågan i arbetsboken." type="5" refreshedVersion="0" background="1">
    <dbPr connection="Provider=Microsoft.Mashup.OleDb.1;Data Source=$Workbook$;Location=Parameter2;Extended Properties=&quot;&quot;" command="SELECT * FROM [Parameter2]"/>
  </connection>
  <connection id="9" xr16:uid="{C2783DFA-D726-4927-9885-1C23C1DACBBD}" keepAlive="1" name="Fråga - Parameter3" description="Anslutning till Parameter3-frågan i arbetsboken." type="5" refreshedVersion="0" background="1">
    <dbPr connection="Provider=Microsoft.Mashup.OleDb.1;Data Source=$Workbook$;Location=Parameter3;Extended Properties=&quot;&quot;" command="SELECT * FROM [Parameter3]"/>
  </connection>
  <connection id="10" xr16:uid="{9316E2A9-743D-4977-A7FD-A5CFE98A4A88}" keepAlive="1" name="Fråga - Resultat-VC" description="Anslutning till Resultat-VC-frågan i arbetsboken." type="5" refreshedVersion="8" background="1" saveData="1">
    <dbPr connection="Provider=Microsoft.Mashup.OleDb.1;Data Source=$Workbook$;Location=Resultat-VC;Extended Properties=&quot;&quot;" command="SELECT * FROM [Resultat-VC]"/>
  </connection>
  <connection id="11" xr16:uid="{9DC420DB-3DAE-4920-AA61-C8FB9249B79E}" keepAlive="1" name="Fråga - Resultat-VC (2)" description="Anslutning till Resultat-VC (2)-frågan i arbetsboken." type="5" refreshedVersion="8" background="1" saveData="1">
    <dbPr connection="Provider=Microsoft.Mashup.OleDb.1;Data Source=$Workbook$;Location=&quot;Resultat-VC (2)&quot;;Extended Properties=&quot;&quot;" command="SELECT * FROM [Resultat-VC (2)]"/>
  </connection>
  <connection id="12" xr16:uid="{A99D14E8-D8A7-46F4-A7CD-0CBFB09376B7}" keepAlive="1" name="Fråga - Resultat-VC (3)" description="Anslutning till Resultat-VC (3)-frågan i arbetsboken." type="5" refreshedVersion="8" background="1" saveData="1">
    <dbPr connection="Provider=Microsoft.Mashup.OleDb.1;Data Source=$Workbook$;Location=&quot;Resultat-VC (3)&quot;;Extended Properties=&quot;&quot;" command="SELECT * FROM [Resultat-VC (3)]"/>
  </connection>
  <connection id="13" xr16:uid="{8E63EFBF-DF4D-4526-8DB2-F7491AF2693F}" keepAlive="1" name="Fråga - Transformera exempelfil" description="Anslutning till Transformera exempelfil-frågan i arbetsboken." type="5" refreshedVersion="0" background="1">
    <dbPr connection="Provider=Microsoft.Mashup.OleDb.1;Data Source=$Workbook$;Location=&quot;Transformera exempelfil&quot;;Extended Properties=&quot;&quot;" command="SELECT * FROM [Transformera exempelfil]"/>
  </connection>
  <connection id="14" xr16:uid="{17F1B673-6500-4A6F-845E-0F97F4B396D9}" keepAlive="1" name="Fråga - Transformera exempelfil (2)" description="Anslutning till Transformera exempelfil (2)-frågan i arbetsboken." type="5" refreshedVersion="0" background="1">
    <dbPr connection="Provider=Microsoft.Mashup.OleDb.1;Data Source=$Workbook$;Location=&quot;Transformera exempelfil (2)&quot;;Extended Properties=&quot;&quot;" command="SELECT * FROM [Transformera exempelfil (2)]"/>
  </connection>
  <connection id="15" xr16:uid="{A9342A6D-7E2A-4D23-A99C-79A13BB82C5C}" keepAlive="1" name="Fråga - Transformera exempelfil (3)" description="Anslutning till Transformera exempelfil (3)-frågan i arbetsboken." type="5" refreshedVersion="0" background="1">
    <dbPr connection="Provider=Microsoft.Mashup.OleDb.1;Data Source=$Workbook$;Location=&quot;Transformera exempelfil (3)&quot;;Extended Properties=&quot;&quot;" command="SELECT * FROM [Transformera exempelfil (3)]"/>
  </connection>
  <connection id="16" xr16:uid="{8ECE92AF-F1B7-41E5-BB63-44007B90A128}" keepAlive="1" name="Fråga - Transformera fil" description="Anslutning till Transformera fil-frågan i arbetsboken." type="5" refreshedVersion="0" background="1">
    <dbPr connection="Provider=Microsoft.Mashup.OleDb.1;Data Source=$Workbook$;Location=&quot;Transformera fil&quot;;Extended Properties=&quot;&quot;" command="SELECT * FROM [Transformera fil]"/>
  </connection>
  <connection id="17" xr16:uid="{F0D26C91-7817-4EE2-B71A-5BA02B14DC90}" keepAlive="1" name="Fråga - Transformera fil (2)" description="Anslutning till Transformera fil (2)-frågan i arbetsboken." type="5" refreshedVersion="0" background="1">
    <dbPr connection="Provider=Microsoft.Mashup.OleDb.1;Data Source=$Workbook$;Location=&quot;Transformera fil (2)&quot;;Extended Properties=&quot;&quot;" command="SELECT * FROM [Transformera fil (2)]"/>
  </connection>
  <connection id="18" xr16:uid="{034A53FD-40BB-462B-9F8F-D04A23679DE4}" keepAlive="1" name="Fråga - Transformera fil (3)" description="Anslutning till Transformera fil (3)-frågan i arbetsboken." type="5" refreshedVersion="0" background="1">
    <dbPr connection="Provider=Microsoft.Mashup.OleDb.1;Data Source=$Workbook$;Location=&quot;Transformera fil (3)&quot;;Extended Properties=&quot;&quot;" command="SELECT * FROM [Transformera fil (3)]"/>
  </connection>
</connections>
</file>

<file path=xl/sharedStrings.xml><?xml version="1.0" encoding="utf-8"?>
<sst xmlns="http://schemas.openxmlformats.org/spreadsheetml/2006/main" count="2412" uniqueCount="164">
  <si>
    <t>Kvarterskliniken Avenyn</t>
  </si>
  <si>
    <t>Omtanken Vårdcentral Majorna</t>
  </si>
  <si>
    <t>Kvarterskliniken Husaren</t>
  </si>
  <si>
    <t>Omtanken Vårdcentral Åby</t>
  </si>
  <si>
    <t>Omtanken Vårdcentral Frölunda Torg</t>
  </si>
  <si>
    <t>Omtanken Vårdcentral Kållered</t>
  </si>
  <si>
    <t>Omtanken Vårdcentral Kviberg</t>
  </si>
  <si>
    <t>Omtanken Vårdcentral Grimmered</t>
  </si>
  <si>
    <t>Kvarterskliniken Lorensberg</t>
  </si>
  <si>
    <t>Omtanken Vårdcentral Pedagogen Park</t>
  </si>
  <si>
    <t>Omtanken Vårdcentral Olskroken</t>
  </si>
  <si>
    <t>Omtanken Vårdcentral Landala</t>
  </si>
  <si>
    <t>Citysjukhuset Plus 7 vårdcentral</t>
  </si>
  <si>
    <t>Kvarterskliniken Karlastaden</t>
  </si>
  <si>
    <t>Antal listade pat</t>
  </si>
  <si>
    <t>Antal listningpoäng</t>
  </si>
  <si>
    <t>ACG casemix</t>
  </si>
  <si>
    <t>Huvudintäkter (VGR)</t>
  </si>
  <si>
    <t>Medical staff</t>
  </si>
  <si>
    <t xml:space="preserve">Other direct costs </t>
  </si>
  <si>
    <t>CG Item</t>
  </si>
  <si>
    <t>Selected Period</t>
  </si>
  <si>
    <t>Year Month No</t>
  </si>
  <si>
    <t>Scenario</t>
  </si>
  <si>
    <t>Actual</t>
  </si>
  <si>
    <t>ElementName</t>
  </si>
  <si>
    <t>Reference Account</t>
  </si>
  <si>
    <t>Cluster</t>
  </si>
  <si>
    <t>Profit and Loss Table</t>
  </si>
  <si>
    <t>Revenue</t>
  </si>
  <si>
    <t>Total</t>
  </si>
  <si>
    <t>Revenues</t>
  </si>
  <si>
    <t>RG Huvudintäkter</t>
  </si>
  <si>
    <t>Patientintäkter</t>
  </si>
  <si>
    <t>Övriga intäkter</t>
  </si>
  <si>
    <t>Other revenues</t>
  </si>
  <si>
    <t>COGS</t>
  </si>
  <si>
    <t>Other direct costs</t>
  </si>
  <si>
    <t>Gross Profit</t>
  </si>
  <si>
    <t>OPEX</t>
  </si>
  <si>
    <t>Operating expenses</t>
  </si>
  <si>
    <t>Overhead costs</t>
  </si>
  <si>
    <t>EBITDA1</t>
  </si>
  <si>
    <t>Management Fee/ Overhead</t>
  </si>
  <si>
    <t>EBITDA2</t>
  </si>
  <si>
    <t>Adjustments historical</t>
  </si>
  <si>
    <t>EBITDA2 (adjusted)</t>
  </si>
  <si>
    <t>Depreciation &amp; Amortisation</t>
  </si>
  <si>
    <t>Financial Items</t>
  </si>
  <si>
    <t>Intäkter / listad pat</t>
  </si>
  <si>
    <t>Medical staff cost / listad pat</t>
  </si>
  <si>
    <t>Other direct costs / listad pat</t>
  </si>
  <si>
    <t>202312</t>
  </si>
  <si>
    <t>202401</t>
  </si>
  <si>
    <t>202402</t>
  </si>
  <si>
    <t>202403</t>
  </si>
  <si>
    <t>202404</t>
  </si>
  <si>
    <t>202405</t>
  </si>
  <si>
    <t>202406</t>
  </si>
  <si>
    <t>202407</t>
  </si>
  <si>
    <t>202408</t>
  </si>
  <si>
    <t>202409</t>
  </si>
  <si>
    <t>202410</t>
  </si>
  <si>
    <t>202411</t>
  </si>
  <si>
    <t>202412</t>
  </si>
  <si>
    <t>202501</t>
  </si>
  <si>
    <t>Stor-GBG AO</t>
  </si>
  <si>
    <t>Medelvärde stor-gbg</t>
  </si>
  <si>
    <t>Medelvärde Stor-GBG</t>
  </si>
  <si>
    <t>Column2</t>
  </si>
  <si>
    <t>Column3</t>
  </si>
  <si>
    <t>Selected Period_1</t>
  </si>
  <si>
    <t>Selected Period_2</t>
  </si>
  <si>
    <t>Selected Period_3</t>
  </si>
  <si>
    <t>Selected Period_4</t>
  </si>
  <si>
    <t>Selected Period_5</t>
  </si>
  <si>
    <t>Selected Period_6</t>
  </si>
  <si>
    <t>Selected Period_7</t>
  </si>
  <si>
    <t>Selected Period_8</t>
  </si>
  <si>
    <t>Selected Period_9</t>
  </si>
  <si>
    <t>Selected Period_10</t>
  </si>
  <si>
    <t>Selected Period_11</t>
  </si>
  <si>
    <t>Selected Period_12</t>
  </si>
  <si>
    <t>Selected Period_13</t>
  </si>
  <si>
    <t>Selected Period_14</t>
  </si>
  <si>
    <t>Selected Period_15</t>
  </si>
  <si>
    <t>Source.Name</t>
  </si>
  <si>
    <t>015.xlsx</t>
  </si>
  <si>
    <t>102.xlsx</t>
  </si>
  <si>
    <t>103.xlsx</t>
  </si>
  <si>
    <t>104.xlsx</t>
  </si>
  <si>
    <t>106.xlsx</t>
  </si>
  <si>
    <t>107.xlsx</t>
  </si>
  <si>
    <t>108.xlsx</t>
  </si>
  <si>
    <t>109.xlsx</t>
  </si>
  <si>
    <t>110.xlsx</t>
  </si>
  <si>
    <t>111.xlsx</t>
  </si>
  <si>
    <t>302.xlsx</t>
  </si>
  <si>
    <t>303.xlsx</t>
  </si>
  <si>
    <t>304.xlsx</t>
  </si>
  <si>
    <t>4020.xlsx</t>
  </si>
  <si>
    <t>202502</t>
  </si>
  <si>
    <t>202503</t>
  </si>
  <si>
    <t>202504</t>
  </si>
  <si>
    <t>Selected Period_16</t>
  </si>
  <si>
    <t>Total antallistade patienter</t>
  </si>
  <si>
    <t>Listning AO Stor-GBG</t>
  </si>
  <si>
    <t>Medelvärde AO Stor-GBG</t>
  </si>
  <si>
    <t>202505</t>
  </si>
  <si>
    <t>Selected Period_17</t>
  </si>
  <si>
    <t>202506</t>
  </si>
  <si>
    <t>Selected Period_18</t>
  </si>
  <si>
    <t>202507</t>
  </si>
  <si>
    <t>Diff</t>
  </si>
  <si>
    <t>Selected Period_19</t>
  </si>
  <si>
    <t>202508</t>
  </si>
  <si>
    <t>Selected Period_20</t>
  </si>
  <si>
    <t>202509</t>
  </si>
  <si>
    <t>Selected Period_21</t>
  </si>
  <si>
    <t>KST</t>
  </si>
  <si>
    <t>Selected Period_22</t>
  </si>
  <si>
    <t>202510</t>
  </si>
  <si>
    <t>Selected Period_23</t>
  </si>
  <si>
    <t>Management Fee</t>
  </si>
  <si>
    <t>Service Fee</t>
  </si>
  <si>
    <t>202511</t>
  </si>
  <si>
    <t>Selected Period_24</t>
  </si>
  <si>
    <t>202512</t>
  </si>
  <si>
    <t>Selected Period_25</t>
  </si>
  <si>
    <t>Tillämpade filter:
CG Item är Selected Period
Scenario är inte N/A
Value är SEK
Inkluderade (4) 2024 (Year), 2025 (Year), 2026 (Year) + January (Month), 2023 (Year) + December (Month)
Inkluderade (1) VC VGR (Cost Center Type) + VC StorGöteborg (Business Area) + 015 Karlastaden (Name)
Scenario är Actual</t>
  </si>
  <si>
    <t>Tillämpade filter:
CG Item är Selected Period
Scenario är inte N/A
Value är SEK
Inkluderade (4) 2024 (Year), 2025 (Year), 2026 (Year) + January (Month), 2023 (Year) + December (Month)
Inkluderade (1) VC VGR (Cost Center Type) + VC StorGöteborg (Business Area) + 102 Frölunda Torg (Name)
Scenario är Actual</t>
  </si>
  <si>
    <t>Tillämpade filter:
CG Item är Selected Period
Scenario är inte N/A
Value är SEK
Inkluderade (4) 2024 (Year), 2025 (Year), 2026 (Year) + January (Month), 2023 (Year) + December (Month)
Inkluderade (1) VC VGR (Cost Center Type) + VC StorGöteborg (Business Area) + 103 Grimmered (Name)
Scenario är Actual</t>
  </si>
  <si>
    <t>Tillämpade filter:
CG Item är Selected Period
Scenario är inte N/A
Value är SEK
Inkluderade (4) 2024 (Year), 2025 (Year), 2026 (Year) + January (Month), 2023 (Year) + December (Month)
Inkluderade (1) VC VGR (Cost Center Type) + VC StorGöteborg (Business Area) + 104 Majorna (Name)
Scenario är Actual</t>
  </si>
  <si>
    <t>Tillämpade filter:
CG Item är Selected Period
Scenario är inte N/A
Value är SEK
Inkluderade (4) 2024 (Year), 2025 (Year), 2026 (Year) + January (Month), 2023 (Year) + December (Month)
Inkluderade (1) VC VGR (Cost Center Type) + VC StorGöteborg (Business Area) + 106 Landala (Name)
Scenario är Actual</t>
  </si>
  <si>
    <t>Tillämpade filter:
CG Item är Selected Period
Scenario är inte N/A
Value är SEK
Inkluderade (4) 2024 (Year), 2025 (Year), 2026 (Year) + January (Month), 2023 (Year) + December (Month)
Inkluderade (1) VC VGR (Cost Center Type) + VC StorGöteborg (Business Area) + 107 Pedagogen (Name)
Scenario är Actual</t>
  </si>
  <si>
    <t>Tillämpade filter:
CG Item är Selected Period
Scenario är inte N/A
Value är SEK
Inkluderade (4) 2024 (Year), 2025 (Year), 2026 (Year) + January (Month), 2023 (Year) + December (Month)
Inkluderade (1) VC VGR (Cost Center Type) + VC StorGöteborg (Business Area) + 108 Åby (Name)
Scenario är Actual</t>
  </si>
  <si>
    <t>Tillämpade filter:
CG Item är Selected Period
Scenario är inte N/A
Value är SEK
Inkluderade (4) 2024 (Year), 2025 (Year), 2026 (Year) + January (Month), 2023 (Year) + December (Month)
Inkluderade (1) VC VGR (Cost Center Type) + VC StorGöteborg (Business Area) + 109 Kållered (Name)
Scenario är Actual</t>
  </si>
  <si>
    <t>Tillämpade filter:
CG Item är Selected Period
Scenario är inte N/A
Value är SEK
Inkluderade (4) 2024 (Year), 2025 (Year), 2026 (Year) + January (Month), 2023 (Year) + December (Month)
Inkluderade (1) VC VGR (Cost Center Type) + VC StorGöteborg (Business Area) + 110 Kviberg (Name)
Scenario är Actual</t>
  </si>
  <si>
    <t>Tillämpade filter:
CG Item är Selected Period
Scenario är inte N/A
Value är SEK
Inkluderade (4) 2024 (Year), 2025 (Year), 2026 (Year) + January (Month), 2023 (Year) + December (Month)
Inkluderade (1) VC VGR (Cost Center Type) + VC StorGöteborg (Business Area) + 111 Olskroken (Name)
Scenario är Actual</t>
  </si>
  <si>
    <t>Tillämpade filter:
CG Item är Selected Period
Scenario är inte N/A
Value är SEK
Inkluderade (4) 2024 (Year), 2025 (Year), 2026 (Year) + January (Month), 2023 (Year) + December (Month)
Inkluderade (2) VC VGR (Cost Center Type) + VC StorGöteborg (Business Area) + 302 Avenyn (Name), VC VGR (Cost Center Type) + VC StorGöteborg (Business Area) + 371 Vaccination Avenyn (Name)
Scenario är Actual</t>
  </si>
  <si>
    <t>Tillämpade filter:
CG Item är Selected Period
Scenario är inte N/A
Value är SEK
Inkluderade (4) 2024 (Year), 2025 (Year), 2026 (Year) + January (Month), 2023 (Year) + December (Month)
Inkluderade (1) VC VGR (Cost Center Type) + VC StorGöteborg (Business Area) + 303 Lorensberg (Name)
Scenario är Actual</t>
  </si>
  <si>
    <t>Tillämpade filter:
CG Item är Selected Period
Scenario är inte N/A
Value är SEK
Inkluderade (4) 2024 (Year), 2025 (Year), 2026 (Year) + January (Month), 2023 (Year) + December (Month)
Inkluderade (1) VC VGR (Cost Center Type) + VC StorGöteborg (Business Area) + 304 Husaren (Name)
Scenario är Actual</t>
  </si>
  <si>
    <t>Tillämpade filter:
CG Item är Selected Period
Scenario är inte N/A
Value är SEK
Inkluderade (4) 2024 (Year), 2025 (Year), 2026 (Year) + January (Month), 2023 (Year) + December (Month)
Inkluderade (1) VC VGR (Cost Center Type) + VC StorGöteborg (Business Area) + 4020 Vårdcentral CS +7 (Name)
Scenario är Actual</t>
  </si>
  <si>
    <t>202601</t>
  </si>
  <si>
    <t>202602</t>
  </si>
  <si>
    <t>Rehab poäng</t>
  </si>
  <si>
    <t>Frölunda Torg</t>
  </si>
  <si>
    <t>Grimmered</t>
  </si>
  <si>
    <t>Olskroken</t>
  </si>
  <si>
    <t>Majorna</t>
  </si>
  <si>
    <t>Pedagogen Park</t>
  </si>
  <si>
    <t>Åby</t>
  </si>
  <si>
    <t>Avenyn</t>
  </si>
  <si>
    <t>Karlastaden</t>
  </si>
  <si>
    <t>Teambesök / VGR</t>
  </si>
  <si>
    <t>från verk-portalen</t>
  </si>
  <si>
    <t>Listning</t>
  </si>
  <si>
    <t>förändring</t>
  </si>
  <si>
    <t>Kviberg</t>
  </si>
  <si>
    <t>Lorensberg</t>
  </si>
  <si>
    <t>Kållered</t>
  </si>
  <si>
    <t>Landala</t>
  </si>
  <si>
    <t>City</t>
  </si>
  <si>
    <t>Husaren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</si>
</sst>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##;\-#,##0.##"/>
    <numFmt numFmtId="165" formatCode="#,##0.###;\-#,##0.###"/>
    <numFmt numFmtId="166" formatCode="0.00000"/>
    <numFmt numFmtId="167" formatCode="0.000"/>
  </numFmts>
  <fonts count="7" x14ac:knownFonts="1">
    <font>
      <sz val="11"/>
      <name val="Calibri"/>
    </font>
    <font>
      <sz val="11"/>
      <name val="Aptos Narrow"/>
    </font>
    <font>
      <sz val="11"/>
      <name val="Aptos Narrow"/>
      <family val="2"/>
    </font>
    <font>
      <sz val="11"/>
      <name val="Calibri"/>
      <family val="2"/>
    </font>
    <font>
      <sz val="11"/>
      <color theme="1"/>
      <name val="Calibri"/>
    </font>
    <font>
      <sz val="8"/>
      <name val="Calibri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164" fontId="0" fillId="0" borderId="0" xfId="0" applyNumberFormat="1"/>
    <xf numFmtId="37" fontId="0" fillId="0" borderId="0" xfId="0" applyNumberFormat="1"/>
    <xf numFmtId="0" fontId="0" fillId="2" borderId="0" xfId="0" applyFill="1"/>
    <xf numFmtId="2" fontId="0" fillId="0" borderId="0" xfId="0" applyNumberFormat="1"/>
    <xf numFmtId="1" fontId="0" fillId="0" borderId="0" xfId="0" applyNumberFormat="1"/>
    <xf numFmtId="3" fontId="0" fillId="0" borderId="0" xfId="0" applyNumberFormat="1"/>
    <xf numFmtId="3" fontId="1" fillId="0" borderId="0" xfId="1" applyNumberFormat="1"/>
    <xf numFmtId="0" fontId="3" fillId="2" borderId="0" xfId="0" applyFont="1" applyFill="1"/>
    <xf numFmtId="0" fontId="4" fillId="0" borderId="1" xfId="0" applyFont="1" applyBorder="1"/>
    <xf numFmtId="165" fontId="0" fillId="0" borderId="0" xfId="0" applyNumberFormat="1"/>
    <xf numFmtId="0" fontId="0" fillId="3" borderId="0" xfId="0" applyFill="1"/>
    <xf numFmtId="3" fontId="1" fillId="3" borderId="0" xfId="1" applyNumberFormat="1" applyFill="1"/>
    <xf numFmtId="3" fontId="0" fillId="3" borderId="0" xfId="0" applyNumberFormat="1" applyFill="1"/>
    <xf numFmtId="3" fontId="2" fillId="3" borderId="0" xfId="1" applyNumberFormat="1" applyFont="1" applyFill="1"/>
    <xf numFmtId="3" fontId="2" fillId="3" borderId="0" xfId="0" applyNumberFormat="1" applyFont="1" applyFill="1"/>
    <xf numFmtId="0" fontId="0" fillId="4" borderId="0" xfId="0" applyFill="1"/>
    <xf numFmtId="3" fontId="0" fillId="4" borderId="0" xfId="0" applyNumberFormat="1" applyFill="1"/>
    <xf numFmtId="3" fontId="3" fillId="4" borderId="0" xfId="0" applyNumberFormat="1" applyFont="1" applyFill="1"/>
    <xf numFmtId="0" fontId="3" fillId="0" borderId="0" xfId="0" applyFont="1"/>
    <xf numFmtId="0" fontId="0" fillId="5" borderId="0" xfId="0" applyFill="1"/>
    <xf numFmtId="166" fontId="0" fillId="0" borderId="0" xfId="0" applyNumberFormat="1"/>
    <xf numFmtId="167" fontId="0" fillId="0" borderId="0" xfId="0" applyNumberFormat="1"/>
    <xf numFmtId="0" fontId="6" fillId="0" borderId="0" xfId="0" applyFont="1"/>
  </cellXfs>
  <cellStyles count="2">
    <cellStyle name="Normal" xfId="0" builtinId="0"/>
    <cellStyle name="Normal 2" xfId="1" xr:uid="{BFEE5370-5DE7-4234-86F8-1E0C322ED47D}"/>
  </cellStyles>
  <dxfs count="196">
    <dxf>
      <numFmt numFmtId="166" formatCode="0.00000"/>
    </dxf>
    <dxf>
      <numFmt numFmtId="166" formatCode="0.00000"/>
    </dxf>
    <dxf>
      <numFmt numFmtId="166" formatCode="0.00000"/>
    </dxf>
    <dxf>
      <numFmt numFmtId="166" formatCode="0.00000"/>
    </dxf>
    <dxf>
      <numFmt numFmtId="166" formatCode="0.00000"/>
    </dxf>
    <dxf>
      <numFmt numFmtId="166" formatCode="0.00000"/>
    </dxf>
    <dxf>
      <numFmt numFmtId="166" formatCode="0.00000"/>
    </dxf>
    <dxf>
      <numFmt numFmtId="166" formatCode="0.00000"/>
    </dxf>
    <dxf>
      <numFmt numFmtId="166" formatCode="0.00000"/>
    </dxf>
    <dxf>
      <numFmt numFmtId="166" formatCode="0.00000"/>
    </dxf>
    <dxf>
      <numFmt numFmtId="166" formatCode="0.00000"/>
    </dxf>
    <dxf>
      <numFmt numFmtId="166" formatCode="0.00000"/>
    </dxf>
    <dxf>
      <numFmt numFmtId="166" formatCode="0.000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ill>
        <patternFill patternType="solid">
          <fgColor indexed="64"/>
          <bgColor theme="0" tint="-0.249977111117893"/>
        </patternFill>
      </fill>
    </dxf>
    <dxf>
      <fill>
        <patternFill patternType="solid">
          <fgColor indexed="64"/>
          <bgColor theme="0" tint="-0.249977111117893"/>
        </patternFill>
      </fill>
    </dxf>
    <dxf>
      <fill>
        <patternFill patternType="solid">
          <fgColor indexed="64"/>
          <bgColor theme="0" tint="-0.249977111117893"/>
        </patternFill>
      </fill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4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theme" Target="theme/theme1.xml"/><Relationship Id="rId5" Type="http://schemas.microsoft.com/office/2007/relationships/slicerCache" Target="slicerCaches/slicerCache1.xml"/><Relationship Id="rId15" Type="http://schemas.openxmlformats.org/officeDocument/2006/relationships/calcChain" Target="calcChain.xml"/><Relationship Id="rId10" Type="http://schemas.microsoft.com/office/2007/relationships/slicerCache" Target="slicerCaches/slicerCache6.xml"/><Relationship Id="rId4" Type="http://schemas.openxmlformats.org/officeDocument/2006/relationships/externalLink" Target="externalLinks/externalLink1.xml"/><Relationship Id="rId9" Type="http://schemas.microsoft.com/office/2007/relationships/slicerCache" Target="slicerCaches/slicerCache5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v-SE"/>
              <a:t>Intäkter / listad pat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Data!$P$3:$AB$3</c:f>
              <c:strCache>
                <c:ptCount val="13"/>
                <c:pt idx="0">
                  <c:v>202502</c:v>
                </c:pt>
                <c:pt idx="1">
                  <c:v>202503</c:v>
                </c:pt>
                <c:pt idx="2">
                  <c:v>202504</c:v>
                </c:pt>
                <c:pt idx="3">
                  <c:v>202505</c:v>
                </c:pt>
                <c:pt idx="4">
                  <c:v>202506</c:v>
                </c:pt>
                <c:pt idx="5">
                  <c:v>202507</c:v>
                </c:pt>
                <c:pt idx="6">
                  <c:v>202508</c:v>
                </c:pt>
                <c:pt idx="7">
                  <c:v>202509</c:v>
                </c:pt>
                <c:pt idx="8">
                  <c:v>202510</c:v>
                </c:pt>
                <c:pt idx="9">
                  <c:v>202511</c:v>
                </c:pt>
                <c:pt idx="10">
                  <c:v>202512</c:v>
                </c:pt>
                <c:pt idx="11">
                  <c:v>202601</c:v>
                </c:pt>
                <c:pt idx="12">
                  <c:v>202602</c:v>
                </c:pt>
              </c:strCache>
            </c:strRef>
          </c:cat>
          <c:val>
            <c:numRef>
              <c:f>Data!$P$4:$AB$4</c:f>
            </c:numRef>
          </c:val>
          <c:smooth val="0"/>
          <c:extLst>
            <c:ext xmlns:c16="http://schemas.microsoft.com/office/drawing/2014/chart" uri="{C3380CC4-5D6E-409C-BE32-E72D297353CC}">
              <c16:uniqueId val="{00000000-D698-4745-8AF6-75206A747908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Data!$P$3:$AB$3</c:f>
              <c:strCache>
                <c:ptCount val="13"/>
                <c:pt idx="0">
                  <c:v>202502</c:v>
                </c:pt>
                <c:pt idx="1">
                  <c:v>202503</c:v>
                </c:pt>
                <c:pt idx="2">
                  <c:v>202504</c:v>
                </c:pt>
                <c:pt idx="3">
                  <c:v>202505</c:v>
                </c:pt>
                <c:pt idx="4">
                  <c:v>202506</c:v>
                </c:pt>
                <c:pt idx="5">
                  <c:v>202507</c:v>
                </c:pt>
                <c:pt idx="6">
                  <c:v>202508</c:v>
                </c:pt>
                <c:pt idx="7">
                  <c:v>202509</c:v>
                </c:pt>
                <c:pt idx="8">
                  <c:v>202510</c:v>
                </c:pt>
                <c:pt idx="9">
                  <c:v>202511</c:v>
                </c:pt>
                <c:pt idx="10">
                  <c:v>202512</c:v>
                </c:pt>
                <c:pt idx="11">
                  <c:v>202601</c:v>
                </c:pt>
                <c:pt idx="12">
                  <c:v>202602</c:v>
                </c:pt>
              </c:strCache>
            </c:strRef>
          </c:cat>
          <c:val>
            <c:numRef>
              <c:f>Data!$P$5:$AB$5</c:f>
            </c:numRef>
          </c:val>
          <c:smooth val="0"/>
          <c:extLst>
            <c:ext xmlns:c16="http://schemas.microsoft.com/office/drawing/2014/chart" uri="{C3380CC4-5D6E-409C-BE32-E72D297353CC}">
              <c16:uniqueId val="{00000001-D698-4745-8AF6-75206A747908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Data!$P$3:$AB$3</c:f>
              <c:strCache>
                <c:ptCount val="13"/>
                <c:pt idx="0">
                  <c:v>202502</c:v>
                </c:pt>
                <c:pt idx="1">
                  <c:v>202503</c:v>
                </c:pt>
                <c:pt idx="2">
                  <c:v>202504</c:v>
                </c:pt>
                <c:pt idx="3">
                  <c:v>202505</c:v>
                </c:pt>
                <c:pt idx="4">
                  <c:v>202506</c:v>
                </c:pt>
                <c:pt idx="5">
                  <c:v>202507</c:v>
                </c:pt>
                <c:pt idx="6">
                  <c:v>202508</c:v>
                </c:pt>
                <c:pt idx="7">
                  <c:v>202509</c:v>
                </c:pt>
                <c:pt idx="8">
                  <c:v>202510</c:v>
                </c:pt>
                <c:pt idx="9">
                  <c:v>202511</c:v>
                </c:pt>
                <c:pt idx="10">
                  <c:v>202512</c:v>
                </c:pt>
                <c:pt idx="11">
                  <c:v>202601</c:v>
                </c:pt>
                <c:pt idx="12">
                  <c:v>202602</c:v>
                </c:pt>
              </c:strCache>
            </c:strRef>
          </c:cat>
          <c:val>
            <c:numRef>
              <c:f>Data!$P$6:$AB$6</c:f>
            </c:numRef>
          </c:val>
          <c:smooth val="0"/>
          <c:extLst>
            <c:ext xmlns:c16="http://schemas.microsoft.com/office/drawing/2014/chart" uri="{C3380CC4-5D6E-409C-BE32-E72D297353CC}">
              <c16:uniqueId val="{00000002-D698-4745-8AF6-75206A747908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Data!$P$3:$AB$3</c:f>
              <c:strCache>
                <c:ptCount val="13"/>
                <c:pt idx="0">
                  <c:v>202502</c:v>
                </c:pt>
                <c:pt idx="1">
                  <c:v>202503</c:v>
                </c:pt>
                <c:pt idx="2">
                  <c:v>202504</c:v>
                </c:pt>
                <c:pt idx="3">
                  <c:v>202505</c:v>
                </c:pt>
                <c:pt idx="4">
                  <c:v>202506</c:v>
                </c:pt>
                <c:pt idx="5">
                  <c:v>202507</c:v>
                </c:pt>
                <c:pt idx="6">
                  <c:v>202508</c:v>
                </c:pt>
                <c:pt idx="7">
                  <c:v>202509</c:v>
                </c:pt>
                <c:pt idx="8">
                  <c:v>202510</c:v>
                </c:pt>
                <c:pt idx="9">
                  <c:v>202511</c:v>
                </c:pt>
                <c:pt idx="10">
                  <c:v>202512</c:v>
                </c:pt>
                <c:pt idx="11">
                  <c:v>202601</c:v>
                </c:pt>
                <c:pt idx="12">
                  <c:v>202602</c:v>
                </c:pt>
              </c:strCache>
            </c:strRef>
          </c:cat>
          <c:val>
            <c:numRef>
              <c:f>Data!$P$7:$AB$7</c:f>
            </c:numRef>
          </c:val>
          <c:smooth val="0"/>
          <c:extLst>
            <c:ext xmlns:c16="http://schemas.microsoft.com/office/drawing/2014/chart" uri="{C3380CC4-5D6E-409C-BE32-E72D297353CC}">
              <c16:uniqueId val="{00000003-D698-4745-8AF6-75206A747908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Data!$P$3:$AB$3</c:f>
              <c:strCache>
                <c:ptCount val="13"/>
                <c:pt idx="0">
                  <c:v>202502</c:v>
                </c:pt>
                <c:pt idx="1">
                  <c:v>202503</c:v>
                </c:pt>
                <c:pt idx="2">
                  <c:v>202504</c:v>
                </c:pt>
                <c:pt idx="3">
                  <c:v>202505</c:v>
                </c:pt>
                <c:pt idx="4">
                  <c:v>202506</c:v>
                </c:pt>
                <c:pt idx="5">
                  <c:v>202507</c:v>
                </c:pt>
                <c:pt idx="6">
                  <c:v>202508</c:v>
                </c:pt>
                <c:pt idx="7">
                  <c:v>202509</c:v>
                </c:pt>
                <c:pt idx="8">
                  <c:v>202510</c:v>
                </c:pt>
                <c:pt idx="9">
                  <c:v>202511</c:v>
                </c:pt>
                <c:pt idx="10">
                  <c:v>202512</c:v>
                </c:pt>
                <c:pt idx="11">
                  <c:v>202601</c:v>
                </c:pt>
                <c:pt idx="12">
                  <c:v>202602</c:v>
                </c:pt>
              </c:strCache>
            </c:strRef>
          </c:cat>
          <c:val>
            <c:numRef>
              <c:f>Data!$P$8:$AB$8</c:f>
            </c:numRef>
          </c:val>
          <c:smooth val="0"/>
          <c:extLst>
            <c:ext xmlns:c16="http://schemas.microsoft.com/office/drawing/2014/chart" uri="{C3380CC4-5D6E-409C-BE32-E72D297353CC}">
              <c16:uniqueId val="{00000004-D698-4745-8AF6-75206A747908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Data!$P$3:$AB$3</c:f>
              <c:strCache>
                <c:ptCount val="13"/>
                <c:pt idx="0">
                  <c:v>202502</c:v>
                </c:pt>
                <c:pt idx="1">
                  <c:v>202503</c:v>
                </c:pt>
                <c:pt idx="2">
                  <c:v>202504</c:v>
                </c:pt>
                <c:pt idx="3">
                  <c:v>202505</c:v>
                </c:pt>
                <c:pt idx="4">
                  <c:v>202506</c:v>
                </c:pt>
                <c:pt idx="5">
                  <c:v>202507</c:v>
                </c:pt>
                <c:pt idx="6">
                  <c:v>202508</c:v>
                </c:pt>
                <c:pt idx="7">
                  <c:v>202509</c:v>
                </c:pt>
                <c:pt idx="8">
                  <c:v>202510</c:v>
                </c:pt>
                <c:pt idx="9">
                  <c:v>202511</c:v>
                </c:pt>
                <c:pt idx="10">
                  <c:v>202512</c:v>
                </c:pt>
                <c:pt idx="11">
                  <c:v>202601</c:v>
                </c:pt>
                <c:pt idx="12">
                  <c:v>202602</c:v>
                </c:pt>
              </c:strCache>
            </c:strRef>
          </c:cat>
          <c:val>
            <c:numRef>
              <c:f>Data!$P$9:$AB$9</c:f>
            </c:numRef>
          </c:val>
          <c:smooth val="0"/>
          <c:extLst>
            <c:ext xmlns:c16="http://schemas.microsoft.com/office/drawing/2014/chart" uri="{C3380CC4-5D6E-409C-BE32-E72D297353CC}">
              <c16:uniqueId val="{00000005-D698-4745-8AF6-75206A747908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Data!$P$3:$AB$3</c:f>
              <c:strCache>
                <c:ptCount val="13"/>
                <c:pt idx="0">
                  <c:v>202502</c:v>
                </c:pt>
                <c:pt idx="1">
                  <c:v>202503</c:v>
                </c:pt>
                <c:pt idx="2">
                  <c:v>202504</c:v>
                </c:pt>
                <c:pt idx="3">
                  <c:v>202505</c:v>
                </c:pt>
                <c:pt idx="4">
                  <c:v>202506</c:v>
                </c:pt>
                <c:pt idx="5">
                  <c:v>202507</c:v>
                </c:pt>
                <c:pt idx="6">
                  <c:v>202508</c:v>
                </c:pt>
                <c:pt idx="7">
                  <c:v>202509</c:v>
                </c:pt>
                <c:pt idx="8">
                  <c:v>202510</c:v>
                </c:pt>
                <c:pt idx="9">
                  <c:v>202511</c:v>
                </c:pt>
                <c:pt idx="10">
                  <c:v>202512</c:v>
                </c:pt>
                <c:pt idx="11">
                  <c:v>202601</c:v>
                </c:pt>
                <c:pt idx="12">
                  <c:v>202602</c:v>
                </c:pt>
              </c:strCache>
            </c:strRef>
          </c:cat>
          <c:val>
            <c:numRef>
              <c:f>Data!$P$10:$AB$10</c:f>
            </c:numRef>
          </c:val>
          <c:smooth val="0"/>
          <c:extLst>
            <c:ext xmlns:c16="http://schemas.microsoft.com/office/drawing/2014/chart" uri="{C3380CC4-5D6E-409C-BE32-E72D297353CC}">
              <c16:uniqueId val="{00000000-95AE-4321-B4C9-3C2436664FFB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Data!$P$3:$AB$3</c:f>
              <c:strCache>
                <c:ptCount val="13"/>
                <c:pt idx="0">
                  <c:v>202502</c:v>
                </c:pt>
                <c:pt idx="1">
                  <c:v>202503</c:v>
                </c:pt>
                <c:pt idx="2">
                  <c:v>202504</c:v>
                </c:pt>
                <c:pt idx="3">
                  <c:v>202505</c:v>
                </c:pt>
                <c:pt idx="4">
                  <c:v>202506</c:v>
                </c:pt>
                <c:pt idx="5">
                  <c:v>202507</c:v>
                </c:pt>
                <c:pt idx="6">
                  <c:v>202508</c:v>
                </c:pt>
                <c:pt idx="7">
                  <c:v>202509</c:v>
                </c:pt>
                <c:pt idx="8">
                  <c:v>202510</c:v>
                </c:pt>
                <c:pt idx="9">
                  <c:v>202511</c:v>
                </c:pt>
                <c:pt idx="10">
                  <c:v>202512</c:v>
                </c:pt>
                <c:pt idx="11">
                  <c:v>202601</c:v>
                </c:pt>
                <c:pt idx="12">
                  <c:v>202602</c:v>
                </c:pt>
              </c:strCache>
            </c:strRef>
          </c:cat>
          <c:val>
            <c:numRef>
              <c:f>Data!$P$11:$AB$11</c:f>
            </c:numRef>
          </c:val>
          <c:smooth val="0"/>
          <c:extLst>
            <c:ext xmlns:c16="http://schemas.microsoft.com/office/drawing/2014/chart" uri="{C3380CC4-5D6E-409C-BE32-E72D297353CC}">
              <c16:uniqueId val="{00000001-95AE-4321-B4C9-3C2436664FFB}"/>
            </c:ext>
          </c:extLst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Data!$P$3:$AB$3</c:f>
              <c:strCache>
                <c:ptCount val="13"/>
                <c:pt idx="0">
                  <c:v>202502</c:v>
                </c:pt>
                <c:pt idx="1">
                  <c:v>202503</c:v>
                </c:pt>
                <c:pt idx="2">
                  <c:v>202504</c:v>
                </c:pt>
                <c:pt idx="3">
                  <c:v>202505</c:v>
                </c:pt>
                <c:pt idx="4">
                  <c:v>202506</c:v>
                </c:pt>
                <c:pt idx="5">
                  <c:v>202507</c:v>
                </c:pt>
                <c:pt idx="6">
                  <c:v>202508</c:v>
                </c:pt>
                <c:pt idx="7">
                  <c:v>202509</c:v>
                </c:pt>
                <c:pt idx="8">
                  <c:v>202510</c:v>
                </c:pt>
                <c:pt idx="9">
                  <c:v>202511</c:v>
                </c:pt>
                <c:pt idx="10">
                  <c:v>202512</c:v>
                </c:pt>
                <c:pt idx="11">
                  <c:v>202601</c:v>
                </c:pt>
                <c:pt idx="12">
                  <c:v>202602</c:v>
                </c:pt>
              </c:strCache>
            </c:strRef>
          </c:cat>
          <c:val>
            <c:numRef>
              <c:f>Data!$P$12:$AB$12</c:f>
            </c:numRef>
          </c:val>
          <c:smooth val="0"/>
          <c:extLst>
            <c:ext xmlns:c16="http://schemas.microsoft.com/office/drawing/2014/chart" uri="{C3380CC4-5D6E-409C-BE32-E72D297353CC}">
              <c16:uniqueId val="{00000002-95AE-4321-B4C9-3C2436664FFB}"/>
            </c:ext>
          </c:extLst>
        </c:ser>
        <c:ser>
          <c:idx val="9"/>
          <c:order val="9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Data!$P$3:$AB$3</c:f>
              <c:strCache>
                <c:ptCount val="13"/>
                <c:pt idx="0">
                  <c:v>202502</c:v>
                </c:pt>
                <c:pt idx="1">
                  <c:v>202503</c:v>
                </c:pt>
                <c:pt idx="2">
                  <c:v>202504</c:v>
                </c:pt>
                <c:pt idx="3">
                  <c:v>202505</c:v>
                </c:pt>
                <c:pt idx="4">
                  <c:v>202506</c:v>
                </c:pt>
                <c:pt idx="5">
                  <c:v>202507</c:v>
                </c:pt>
                <c:pt idx="6">
                  <c:v>202508</c:v>
                </c:pt>
                <c:pt idx="7">
                  <c:v>202509</c:v>
                </c:pt>
                <c:pt idx="8">
                  <c:v>202510</c:v>
                </c:pt>
                <c:pt idx="9">
                  <c:v>202511</c:v>
                </c:pt>
                <c:pt idx="10">
                  <c:v>202512</c:v>
                </c:pt>
                <c:pt idx="11">
                  <c:v>202601</c:v>
                </c:pt>
                <c:pt idx="12">
                  <c:v>202602</c:v>
                </c:pt>
              </c:strCache>
            </c:strRef>
          </c:cat>
          <c:val>
            <c:numRef>
              <c:f>Data!$P$13:$AB$13</c:f>
            </c:numRef>
          </c:val>
          <c:smooth val="0"/>
          <c:extLst>
            <c:ext xmlns:c16="http://schemas.microsoft.com/office/drawing/2014/chart" uri="{C3380CC4-5D6E-409C-BE32-E72D297353CC}">
              <c16:uniqueId val="{00000003-95AE-4321-B4C9-3C2436664FFB}"/>
            </c:ext>
          </c:extLst>
        </c:ser>
        <c:ser>
          <c:idx val="10"/>
          <c:order val="10"/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Data!$P$3:$AB$3</c:f>
              <c:strCache>
                <c:ptCount val="13"/>
                <c:pt idx="0">
                  <c:v>202502</c:v>
                </c:pt>
                <c:pt idx="1">
                  <c:v>202503</c:v>
                </c:pt>
                <c:pt idx="2">
                  <c:v>202504</c:v>
                </c:pt>
                <c:pt idx="3">
                  <c:v>202505</c:v>
                </c:pt>
                <c:pt idx="4">
                  <c:v>202506</c:v>
                </c:pt>
                <c:pt idx="5">
                  <c:v>202507</c:v>
                </c:pt>
                <c:pt idx="6">
                  <c:v>202508</c:v>
                </c:pt>
                <c:pt idx="7">
                  <c:v>202509</c:v>
                </c:pt>
                <c:pt idx="8">
                  <c:v>202510</c:v>
                </c:pt>
                <c:pt idx="9">
                  <c:v>202511</c:v>
                </c:pt>
                <c:pt idx="10">
                  <c:v>202512</c:v>
                </c:pt>
                <c:pt idx="11">
                  <c:v>202601</c:v>
                </c:pt>
                <c:pt idx="12">
                  <c:v>202602</c:v>
                </c:pt>
              </c:strCache>
            </c:strRef>
          </c:cat>
          <c:val>
            <c:numRef>
              <c:f>Data!$P$14:$AB$14</c:f>
            </c:numRef>
          </c:val>
          <c:smooth val="0"/>
          <c:extLst>
            <c:ext xmlns:c16="http://schemas.microsoft.com/office/drawing/2014/chart" uri="{C3380CC4-5D6E-409C-BE32-E72D297353CC}">
              <c16:uniqueId val="{00000004-95AE-4321-B4C9-3C2436664FFB}"/>
            </c:ext>
          </c:extLst>
        </c:ser>
        <c:ser>
          <c:idx val="11"/>
          <c:order val="11"/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Data!$P$3:$AB$3</c:f>
              <c:strCache>
                <c:ptCount val="13"/>
                <c:pt idx="0">
                  <c:v>202502</c:v>
                </c:pt>
                <c:pt idx="1">
                  <c:v>202503</c:v>
                </c:pt>
                <c:pt idx="2">
                  <c:v>202504</c:v>
                </c:pt>
                <c:pt idx="3">
                  <c:v>202505</c:v>
                </c:pt>
                <c:pt idx="4">
                  <c:v>202506</c:v>
                </c:pt>
                <c:pt idx="5">
                  <c:v>202507</c:v>
                </c:pt>
                <c:pt idx="6">
                  <c:v>202508</c:v>
                </c:pt>
                <c:pt idx="7">
                  <c:v>202509</c:v>
                </c:pt>
                <c:pt idx="8">
                  <c:v>202510</c:v>
                </c:pt>
                <c:pt idx="9">
                  <c:v>202511</c:v>
                </c:pt>
                <c:pt idx="10">
                  <c:v>202512</c:v>
                </c:pt>
                <c:pt idx="11">
                  <c:v>202601</c:v>
                </c:pt>
                <c:pt idx="12">
                  <c:v>202602</c:v>
                </c:pt>
              </c:strCache>
            </c:strRef>
          </c:cat>
          <c:val>
            <c:numRef>
              <c:f>Data!$P$15:$AB$15</c:f>
            </c:numRef>
          </c:val>
          <c:smooth val="0"/>
          <c:extLst>
            <c:ext xmlns:c16="http://schemas.microsoft.com/office/drawing/2014/chart" uri="{C3380CC4-5D6E-409C-BE32-E72D297353CC}">
              <c16:uniqueId val="{00000005-95AE-4321-B4C9-3C2436664FFB}"/>
            </c:ext>
          </c:extLst>
        </c:ser>
        <c:ser>
          <c:idx val="12"/>
          <c:order val="12"/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Data!$P$3:$AB$3</c:f>
              <c:strCache>
                <c:ptCount val="13"/>
                <c:pt idx="0">
                  <c:v>202502</c:v>
                </c:pt>
                <c:pt idx="1">
                  <c:v>202503</c:v>
                </c:pt>
                <c:pt idx="2">
                  <c:v>202504</c:v>
                </c:pt>
                <c:pt idx="3">
                  <c:v>202505</c:v>
                </c:pt>
                <c:pt idx="4">
                  <c:v>202506</c:v>
                </c:pt>
                <c:pt idx="5">
                  <c:v>202507</c:v>
                </c:pt>
                <c:pt idx="6">
                  <c:v>202508</c:v>
                </c:pt>
                <c:pt idx="7">
                  <c:v>202509</c:v>
                </c:pt>
                <c:pt idx="8">
                  <c:v>202510</c:v>
                </c:pt>
                <c:pt idx="9">
                  <c:v>202511</c:v>
                </c:pt>
                <c:pt idx="10">
                  <c:v>202512</c:v>
                </c:pt>
                <c:pt idx="11">
                  <c:v>202601</c:v>
                </c:pt>
                <c:pt idx="12">
                  <c:v>202602</c:v>
                </c:pt>
              </c:strCache>
            </c:strRef>
          </c:cat>
          <c:val>
            <c:numRef>
              <c:f>Data!$P$16:$AB$16</c:f>
            </c:numRef>
          </c:val>
          <c:smooth val="0"/>
          <c:extLst>
            <c:ext xmlns:c16="http://schemas.microsoft.com/office/drawing/2014/chart" uri="{C3380CC4-5D6E-409C-BE32-E72D297353CC}">
              <c16:uniqueId val="{00000006-95AE-4321-B4C9-3C2436664FFB}"/>
            </c:ext>
          </c:extLst>
        </c:ser>
        <c:ser>
          <c:idx val="13"/>
          <c:order val="13"/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Data!$P$3:$AB$3</c:f>
              <c:strCache>
                <c:ptCount val="13"/>
                <c:pt idx="0">
                  <c:v>202502</c:v>
                </c:pt>
                <c:pt idx="1">
                  <c:v>202503</c:v>
                </c:pt>
                <c:pt idx="2">
                  <c:v>202504</c:v>
                </c:pt>
                <c:pt idx="3">
                  <c:v>202505</c:v>
                </c:pt>
                <c:pt idx="4">
                  <c:v>202506</c:v>
                </c:pt>
                <c:pt idx="5">
                  <c:v>202507</c:v>
                </c:pt>
                <c:pt idx="6">
                  <c:v>202508</c:v>
                </c:pt>
                <c:pt idx="7">
                  <c:v>202509</c:v>
                </c:pt>
                <c:pt idx="8">
                  <c:v>202510</c:v>
                </c:pt>
                <c:pt idx="9">
                  <c:v>202511</c:v>
                </c:pt>
                <c:pt idx="10">
                  <c:v>202512</c:v>
                </c:pt>
                <c:pt idx="11">
                  <c:v>202601</c:v>
                </c:pt>
                <c:pt idx="12">
                  <c:v>202602</c:v>
                </c:pt>
              </c:strCache>
            </c:strRef>
          </c:cat>
          <c:val>
            <c:numRef>
              <c:f>Data!$P$17:$AB$17</c:f>
            </c:numRef>
          </c:val>
          <c:smooth val="0"/>
          <c:extLst>
            <c:ext xmlns:c16="http://schemas.microsoft.com/office/drawing/2014/chart" uri="{C3380CC4-5D6E-409C-BE32-E72D297353CC}">
              <c16:uniqueId val="{00000007-95AE-4321-B4C9-3C2436664FFB}"/>
            </c:ext>
          </c:extLst>
        </c:ser>
        <c:ser>
          <c:idx val="14"/>
          <c:order val="14"/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3">
                    <a:lumMod val="80000"/>
                    <a:lumOff val="2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>
                    <a:lumMod val="80000"/>
                    <a:lumOff val="2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Data!$P$3:$AB$3</c:f>
              <c:strCache>
                <c:ptCount val="13"/>
                <c:pt idx="0">
                  <c:v>202502</c:v>
                </c:pt>
                <c:pt idx="1">
                  <c:v>202503</c:v>
                </c:pt>
                <c:pt idx="2">
                  <c:v>202504</c:v>
                </c:pt>
                <c:pt idx="3">
                  <c:v>202505</c:v>
                </c:pt>
                <c:pt idx="4">
                  <c:v>202506</c:v>
                </c:pt>
                <c:pt idx="5">
                  <c:v>202507</c:v>
                </c:pt>
                <c:pt idx="6">
                  <c:v>202508</c:v>
                </c:pt>
                <c:pt idx="7">
                  <c:v>202509</c:v>
                </c:pt>
                <c:pt idx="8">
                  <c:v>202510</c:v>
                </c:pt>
                <c:pt idx="9">
                  <c:v>202511</c:v>
                </c:pt>
                <c:pt idx="10">
                  <c:v>202512</c:v>
                </c:pt>
                <c:pt idx="11">
                  <c:v>202601</c:v>
                </c:pt>
                <c:pt idx="12">
                  <c:v>202602</c:v>
                </c:pt>
              </c:strCache>
            </c:strRef>
          </c:cat>
          <c:val>
            <c:numRef>
              <c:f>Data!$P$18:$AB$18</c:f>
              <c:numCache>
                <c:formatCode>0</c:formatCode>
                <c:ptCount val="13"/>
                <c:pt idx="0">
                  <c:v>355.88154377518993</c:v>
                </c:pt>
                <c:pt idx="1">
                  <c:v>356.52925829568949</c:v>
                </c:pt>
                <c:pt idx="2">
                  <c:v>358.62846221054724</c:v>
                </c:pt>
                <c:pt idx="3">
                  <c:v>357.90893018998577</c:v>
                </c:pt>
                <c:pt idx="4">
                  <c:v>366.29596299176768</c:v>
                </c:pt>
                <c:pt idx="5">
                  <c:v>363.17373495106665</c:v>
                </c:pt>
                <c:pt idx="6">
                  <c:v>358.05936077583073</c:v>
                </c:pt>
                <c:pt idx="7">
                  <c:v>358.94171221527932</c:v>
                </c:pt>
                <c:pt idx="8">
                  <c:v>359.8071662383515</c:v>
                </c:pt>
                <c:pt idx="9">
                  <c:v>363.00228100110809</c:v>
                </c:pt>
                <c:pt idx="10">
                  <c:v>378.95550645059376</c:v>
                </c:pt>
                <c:pt idx="11">
                  <c:v>367.20674746520535</c:v>
                </c:pt>
                <c:pt idx="12">
                  <c:v>370.94152362581059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5AE-4321-B4C9-3C2436664FF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60466224"/>
        <c:axId val="1960466704"/>
      </c:lineChart>
      <c:catAx>
        <c:axId val="1960466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960466704"/>
        <c:crosses val="autoZero"/>
        <c:auto val="1"/>
        <c:lblAlgn val="ctr"/>
        <c:lblOffset val="100"/>
        <c:noMultiLvlLbl val="0"/>
      </c:catAx>
      <c:valAx>
        <c:axId val="1960466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960466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v-SE" sz="1400" b="0" i="0" u="none" strike="noStrike" baseline="0">
                <a:effectLst/>
              </a:rPr>
              <a:t>Medical staff cost / listad pat</a:t>
            </a:r>
            <a:r>
              <a:rPr lang="sv-SE" sz="1400" b="0" i="0" u="none" strike="noStrike" baseline="0"/>
              <a:t> </a:t>
            </a:r>
            <a:endParaRPr lang="en-US" b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Data!$A$45</c:f>
              <c:strCache>
                <c:ptCount val="1"/>
                <c:pt idx="0">
                  <c:v>Citysjukhuset Plus 7 vårdcentral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Data!$O$44:$AB$44</c:f>
              <c:strCache>
                <c:ptCount val="14"/>
                <c:pt idx="0">
                  <c:v>202501</c:v>
                </c:pt>
                <c:pt idx="1">
                  <c:v>202502</c:v>
                </c:pt>
                <c:pt idx="2">
                  <c:v>202503</c:v>
                </c:pt>
                <c:pt idx="3">
                  <c:v>202504</c:v>
                </c:pt>
                <c:pt idx="4">
                  <c:v>202505</c:v>
                </c:pt>
                <c:pt idx="5">
                  <c:v>202506</c:v>
                </c:pt>
                <c:pt idx="6">
                  <c:v>202507</c:v>
                </c:pt>
                <c:pt idx="7">
                  <c:v>202508</c:v>
                </c:pt>
                <c:pt idx="8">
                  <c:v>202509</c:v>
                </c:pt>
                <c:pt idx="9">
                  <c:v>202510</c:v>
                </c:pt>
                <c:pt idx="10">
                  <c:v>202511</c:v>
                </c:pt>
                <c:pt idx="11">
                  <c:v>202512</c:v>
                </c:pt>
                <c:pt idx="12">
                  <c:v>202601</c:v>
                </c:pt>
                <c:pt idx="13">
                  <c:v>202602</c:v>
                </c:pt>
              </c:strCache>
            </c:strRef>
          </c:cat>
          <c:val>
            <c:numRef>
              <c:f>Data!$O$45:$AB$45</c:f>
            </c:numRef>
          </c:val>
          <c:smooth val="0"/>
          <c:extLst>
            <c:ext xmlns:c16="http://schemas.microsoft.com/office/drawing/2014/chart" uri="{C3380CC4-5D6E-409C-BE32-E72D297353CC}">
              <c16:uniqueId val="{00000000-7138-44C9-BB00-38AEEDF874DD}"/>
            </c:ext>
          </c:extLst>
        </c:ser>
        <c:ser>
          <c:idx val="1"/>
          <c:order val="1"/>
          <c:tx>
            <c:strRef>
              <c:f>Data!$A$46</c:f>
              <c:strCache>
                <c:ptCount val="1"/>
                <c:pt idx="0">
                  <c:v>Kvarterskliniken Avenyn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Data!$O$44:$AB$44</c:f>
              <c:strCache>
                <c:ptCount val="14"/>
                <c:pt idx="0">
                  <c:v>202501</c:v>
                </c:pt>
                <c:pt idx="1">
                  <c:v>202502</c:v>
                </c:pt>
                <c:pt idx="2">
                  <c:v>202503</c:v>
                </c:pt>
                <c:pt idx="3">
                  <c:v>202504</c:v>
                </c:pt>
                <c:pt idx="4">
                  <c:v>202505</c:v>
                </c:pt>
                <c:pt idx="5">
                  <c:v>202506</c:v>
                </c:pt>
                <c:pt idx="6">
                  <c:v>202507</c:v>
                </c:pt>
                <c:pt idx="7">
                  <c:v>202508</c:v>
                </c:pt>
                <c:pt idx="8">
                  <c:v>202509</c:v>
                </c:pt>
                <c:pt idx="9">
                  <c:v>202510</c:v>
                </c:pt>
                <c:pt idx="10">
                  <c:v>202511</c:v>
                </c:pt>
                <c:pt idx="11">
                  <c:v>202512</c:v>
                </c:pt>
                <c:pt idx="12">
                  <c:v>202601</c:v>
                </c:pt>
                <c:pt idx="13">
                  <c:v>202602</c:v>
                </c:pt>
              </c:strCache>
            </c:strRef>
          </c:cat>
          <c:val>
            <c:numRef>
              <c:f>Data!$O$46:$AB$46</c:f>
            </c:numRef>
          </c:val>
          <c:smooth val="0"/>
          <c:extLst>
            <c:ext xmlns:c16="http://schemas.microsoft.com/office/drawing/2014/chart" uri="{C3380CC4-5D6E-409C-BE32-E72D297353CC}">
              <c16:uniqueId val="{00000001-7138-44C9-BB00-38AEEDF874DD}"/>
            </c:ext>
          </c:extLst>
        </c:ser>
        <c:ser>
          <c:idx val="2"/>
          <c:order val="2"/>
          <c:tx>
            <c:strRef>
              <c:f>Data!$A$47</c:f>
              <c:strCache>
                <c:ptCount val="1"/>
                <c:pt idx="0">
                  <c:v>Kvarterskliniken Husaren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Data!$O$44:$AB$44</c:f>
              <c:strCache>
                <c:ptCount val="14"/>
                <c:pt idx="0">
                  <c:v>202501</c:v>
                </c:pt>
                <c:pt idx="1">
                  <c:v>202502</c:v>
                </c:pt>
                <c:pt idx="2">
                  <c:v>202503</c:v>
                </c:pt>
                <c:pt idx="3">
                  <c:v>202504</c:v>
                </c:pt>
                <c:pt idx="4">
                  <c:v>202505</c:v>
                </c:pt>
                <c:pt idx="5">
                  <c:v>202506</c:v>
                </c:pt>
                <c:pt idx="6">
                  <c:v>202507</c:v>
                </c:pt>
                <c:pt idx="7">
                  <c:v>202508</c:v>
                </c:pt>
                <c:pt idx="8">
                  <c:v>202509</c:v>
                </c:pt>
                <c:pt idx="9">
                  <c:v>202510</c:v>
                </c:pt>
                <c:pt idx="10">
                  <c:v>202511</c:v>
                </c:pt>
                <c:pt idx="11">
                  <c:v>202512</c:v>
                </c:pt>
                <c:pt idx="12">
                  <c:v>202601</c:v>
                </c:pt>
                <c:pt idx="13">
                  <c:v>202602</c:v>
                </c:pt>
              </c:strCache>
            </c:strRef>
          </c:cat>
          <c:val>
            <c:numRef>
              <c:f>Data!$O$47:$AB$47</c:f>
            </c:numRef>
          </c:val>
          <c:smooth val="0"/>
          <c:extLst>
            <c:ext xmlns:c16="http://schemas.microsoft.com/office/drawing/2014/chart" uri="{C3380CC4-5D6E-409C-BE32-E72D297353CC}">
              <c16:uniqueId val="{00000002-7138-44C9-BB00-38AEEDF874DD}"/>
            </c:ext>
          </c:extLst>
        </c:ser>
        <c:ser>
          <c:idx val="3"/>
          <c:order val="3"/>
          <c:tx>
            <c:strRef>
              <c:f>Data!$A$48</c:f>
              <c:strCache>
                <c:ptCount val="1"/>
                <c:pt idx="0">
                  <c:v>Omtanken Vårdcentral Frölunda Torg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Data!$O$44:$AB$44</c:f>
              <c:strCache>
                <c:ptCount val="14"/>
                <c:pt idx="0">
                  <c:v>202501</c:v>
                </c:pt>
                <c:pt idx="1">
                  <c:v>202502</c:v>
                </c:pt>
                <c:pt idx="2">
                  <c:v>202503</c:v>
                </c:pt>
                <c:pt idx="3">
                  <c:v>202504</c:v>
                </c:pt>
                <c:pt idx="4">
                  <c:v>202505</c:v>
                </c:pt>
                <c:pt idx="5">
                  <c:v>202506</c:v>
                </c:pt>
                <c:pt idx="6">
                  <c:v>202507</c:v>
                </c:pt>
                <c:pt idx="7">
                  <c:v>202508</c:v>
                </c:pt>
                <c:pt idx="8">
                  <c:v>202509</c:v>
                </c:pt>
                <c:pt idx="9">
                  <c:v>202510</c:v>
                </c:pt>
                <c:pt idx="10">
                  <c:v>202511</c:v>
                </c:pt>
                <c:pt idx="11">
                  <c:v>202512</c:v>
                </c:pt>
                <c:pt idx="12">
                  <c:v>202601</c:v>
                </c:pt>
                <c:pt idx="13">
                  <c:v>202602</c:v>
                </c:pt>
              </c:strCache>
            </c:strRef>
          </c:cat>
          <c:val>
            <c:numRef>
              <c:f>Data!$O$48:$AB$48</c:f>
            </c:numRef>
          </c:val>
          <c:smooth val="0"/>
          <c:extLst>
            <c:ext xmlns:c16="http://schemas.microsoft.com/office/drawing/2014/chart" uri="{C3380CC4-5D6E-409C-BE32-E72D297353CC}">
              <c16:uniqueId val="{00000003-7138-44C9-BB00-38AEEDF874DD}"/>
            </c:ext>
          </c:extLst>
        </c:ser>
        <c:ser>
          <c:idx val="4"/>
          <c:order val="4"/>
          <c:tx>
            <c:strRef>
              <c:f>Data!$A$49</c:f>
              <c:strCache>
                <c:ptCount val="1"/>
                <c:pt idx="0">
                  <c:v>Omtanken Vårdcentral Grimmered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Data!$O$44:$AB$44</c:f>
              <c:strCache>
                <c:ptCount val="14"/>
                <c:pt idx="0">
                  <c:v>202501</c:v>
                </c:pt>
                <c:pt idx="1">
                  <c:v>202502</c:v>
                </c:pt>
                <c:pt idx="2">
                  <c:v>202503</c:v>
                </c:pt>
                <c:pt idx="3">
                  <c:v>202504</c:v>
                </c:pt>
                <c:pt idx="4">
                  <c:v>202505</c:v>
                </c:pt>
                <c:pt idx="5">
                  <c:v>202506</c:v>
                </c:pt>
                <c:pt idx="6">
                  <c:v>202507</c:v>
                </c:pt>
                <c:pt idx="7">
                  <c:v>202508</c:v>
                </c:pt>
                <c:pt idx="8">
                  <c:v>202509</c:v>
                </c:pt>
                <c:pt idx="9">
                  <c:v>202510</c:v>
                </c:pt>
                <c:pt idx="10">
                  <c:v>202511</c:v>
                </c:pt>
                <c:pt idx="11">
                  <c:v>202512</c:v>
                </c:pt>
                <c:pt idx="12">
                  <c:v>202601</c:v>
                </c:pt>
                <c:pt idx="13">
                  <c:v>202602</c:v>
                </c:pt>
              </c:strCache>
            </c:strRef>
          </c:cat>
          <c:val>
            <c:numRef>
              <c:f>Data!$O$49:$AB$49</c:f>
            </c:numRef>
          </c:val>
          <c:smooth val="0"/>
          <c:extLst>
            <c:ext xmlns:c16="http://schemas.microsoft.com/office/drawing/2014/chart" uri="{C3380CC4-5D6E-409C-BE32-E72D297353CC}">
              <c16:uniqueId val="{00000004-7138-44C9-BB00-38AEEDF874DD}"/>
            </c:ext>
          </c:extLst>
        </c:ser>
        <c:ser>
          <c:idx val="5"/>
          <c:order val="5"/>
          <c:tx>
            <c:strRef>
              <c:f>Data!$A$50</c:f>
              <c:strCache>
                <c:ptCount val="1"/>
                <c:pt idx="0">
                  <c:v>Omtanken Vårdcentral Kviberg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Data!$O$44:$AB$44</c:f>
              <c:strCache>
                <c:ptCount val="14"/>
                <c:pt idx="0">
                  <c:v>202501</c:v>
                </c:pt>
                <c:pt idx="1">
                  <c:v>202502</c:v>
                </c:pt>
                <c:pt idx="2">
                  <c:v>202503</c:v>
                </c:pt>
                <c:pt idx="3">
                  <c:v>202504</c:v>
                </c:pt>
                <c:pt idx="4">
                  <c:v>202505</c:v>
                </c:pt>
                <c:pt idx="5">
                  <c:v>202506</c:v>
                </c:pt>
                <c:pt idx="6">
                  <c:v>202507</c:v>
                </c:pt>
                <c:pt idx="7">
                  <c:v>202508</c:v>
                </c:pt>
                <c:pt idx="8">
                  <c:v>202509</c:v>
                </c:pt>
                <c:pt idx="9">
                  <c:v>202510</c:v>
                </c:pt>
                <c:pt idx="10">
                  <c:v>202511</c:v>
                </c:pt>
                <c:pt idx="11">
                  <c:v>202512</c:v>
                </c:pt>
                <c:pt idx="12">
                  <c:v>202601</c:v>
                </c:pt>
                <c:pt idx="13">
                  <c:v>202602</c:v>
                </c:pt>
              </c:strCache>
            </c:strRef>
          </c:cat>
          <c:val>
            <c:numRef>
              <c:f>Data!$O$50:$AB$50</c:f>
            </c:numRef>
          </c:val>
          <c:smooth val="0"/>
          <c:extLst>
            <c:ext xmlns:c16="http://schemas.microsoft.com/office/drawing/2014/chart" uri="{C3380CC4-5D6E-409C-BE32-E72D297353CC}">
              <c16:uniqueId val="{00000005-7138-44C9-BB00-38AEEDF874DD}"/>
            </c:ext>
          </c:extLst>
        </c:ser>
        <c:ser>
          <c:idx val="6"/>
          <c:order val="6"/>
          <c:tx>
            <c:strRef>
              <c:f>Data!$A$51</c:f>
              <c:strCache>
                <c:ptCount val="1"/>
                <c:pt idx="0">
                  <c:v>Omtanken Vårdcentral Landala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Data!$O$44:$AB$44</c:f>
              <c:strCache>
                <c:ptCount val="14"/>
                <c:pt idx="0">
                  <c:v>202501</c:v>
                </c:pt>
                <c:pt idx="1">
                  <c:v>202502</c:v>
                </c:pt>
                <c:pt idx="2">
                  <c:v>202503</c:v>
                </c:pt>
                <c:pt idx="3">
                  <c:v>202504</c:v>
                </c:pt>
                <c:pt idx="4">
                  <c:v>202505</c:v>
                </c:pt>
                <c:pt idx="5">
                  <c:v>202506</c:v>
                </c:pt>
                <c:pt idx="6">
                  <c:v>202507</c:v>
                </c:pt>
                <c:pt idx="7">
                  <c:v>202508</c:v>
                </c:pt>
                <c:pt idx="8">
                  <c:v>202509</c:v>
                </c:pt>
                <c:pt idx="9">
                  <c:v>202510</c:v>
                </c:pt>
                <c:pt idx="10">
                  <c:v>202511</c:v>
                </c:pt>
                <c:pt idx="11">
                  <c:v>202512</c:v>
                </c:pt>
                <c:pt idx="12">
                  <c:v>202601</c:v>
                </c:pt>
                <c:pt idx="13">
                  <c:v>202602</c:v>
                </c:pt>
              </c:strCache>
            </c:strRef>
          </c:cat>
          <c:val>
            <c:numRef>
              <c:f>Data!$O$51:$AB$51</c:f>
            </c:numRef>
          </c:val>
          <c:smooth val="0"/>
          <c:extLst>
            <c:ext xmlns:c16="http://schemas.microsoft.com/office/drawing/2014/chart" uri="{C3380CC4-5D6E-409C-BE32-E72D297353CC}">
              <c16:uniqueId val="{00000006-7138-44C9-BB00-38AEEDF874DD}"/>
            </c:ext>
          </c:extLst>
        </c:ser>
        <c:ser>
          <c:idx val="7"/>
          <c:order val="7"/>
          <c:tx>
            <c:strRef>
              <c:f>Data!$A$52</c:f>
              <c:strCache>
                <c:ptCount val="1"/>
                <c:pt idx="0">
                  <c:v>Omtanken Vårdcentral Majorna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Data!$O$44:$AB$44</c:f>
              <c:strCache>
                <c:ptCount val="14"/>
                <c:pt idx="0">
                  <c:v>202501</c:v>
                </c:pt>
                <c:pt idx="1">
                  <c:v>202502</c:v>
                </c:pt>
                <c:pt idx="2">
                  <c:v>202503</c:v>
                </c:pt>
                <c:pt idx="3">
                  <c:v>202504</c:v>
                </c:pt>
                <c:pt idx="4">
                  <c:v>202505</c:v>
                </c:pt>
                <c:pt idx="5">
                  <c:v>202506</c:v>
                </c:pt>
                <c:pt idx="6">
                  <c:v>202507</c:v>
                </c:pt>
                <c:pt idx="7">
                  <c:v>202508</c:v>
                </c:pt>
                <c:pt idx="8">
                  <c:v>202509</c:v>
                </c:pt>
                <c:pt idx="9">
                  <c:v>202510</c:v>
                </c:pt>
                <c:pt idx="10">
                  <c:v>202511</c:v>
                </c:pt>
                <c:pt idx="11">
                  <c:v>202512</c:v>
                </c:pt>
                <c:pt idx="12">
                  <c:v>202601</c:v>
                </c:pt>
                <c:pt idx="13">
                  <c:v>202602</c:v>
                </c:pt>
              </c:strCache>
            </c:strRef>
          </c:cat>
          <c:val>
            <c:numRef>
              <c:f>Data!$O$52:$AB$52</c:f>
            </c:numRef>
          </c:val>
          <c:smooth val="0"/>
          <c:extLst>
            <c:ext xmlns:c16="http://schemas.microsoft.com/office/drawing/2014/chart" uri="{C3380CC4-5D6E-409C-BE32-E72D297353CC}">
              <c16:uniqueId val="{00000007-7138-44C9-BB00-38AEEDF874DD}"/>
            </c:ext>
          </c:extLst>
        </c:ser>
        <c:ser>
          <c:idx val="8"/>
          <c:order val="8"/>
          <c:tx>
            <c:strRef>
              <c:f>Data!$A$53</c:f>
              <c:strCache>
                <c:ptCount val="1"/>
                <c:pt idx="0">
                  <c:v>Omtanken Vårdcentral Olskroken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Data!$O$44:$AB$44</c:f>
              <c:strCache>
                <c:ptCount val="14"/>
                <c:pt idx="0">
                  <c:v>202501</c:v>
                </c:pt>
                <c:pt idx="1">
                  <c:v>202502</c:v>
                </c:pt>
                <c:pt idx="2">
                  <c:v>202503</c:v>
                </c:pt>
                <c:pt idx="3">
                  <c:v>202504</c:v>
                </c:pt>
                <c:pt idx="4">
                  <c:v>202505</c:v>
                </c:pt>
                <c:pt idx="5">
                  <c:v>202506</c:v>
                </c:pt>
                <c:pt idx="6">
                  <c:v>202507</c:v>
                </c:pt>
                <c:pt idx="7">
                  <c:v>202508</c:v>
                </c:pt>
                <c:pt idx="8">
                  <c:v>202509</c:v>
                </c:pt>
                <c:pt idx="9">
                  <c:v>202510</c:v>
                </c:pt>
                <c:pt idx="10">
                  <c:v>202511</c:v>
                </c:pt>
                <c:pt idx="11">
                  <c:v>202512</c:v>
                </c:pt>
                <c:pt idx="12">
                  <c:v>202601</c:v>
                </c:pt>
                <c:pt idx="13">
                  <c:v>202602</c:v>
                </c:pt>
              </c:strCache>
            </c:strRef>
          </c:cat>
          <c:val>
            <c:numRef>
              <c:f>Data!$O$53:$AB$53</c:f>
            </c:numRef>
          </c:val>
          <c:smooth val="0"/>
          <c:extLst>
            <c:ext xmlns:c16="http://schemas.microsoft.com/office/drawing/2014/chart" uri="{C3380CC4-5D6E-409C-BE32-E72D297353CC}">
              <c16:uniqueId val="{00000008-7138-44C9-BB00-38AEEDF874DD}"/>
            </c:ext>
          </c:extLst>
        </c:ser>
        <c:ser>
          <c:idx val="9"/>
          <c:order val="9"/>
          <c:tx>
            <c:strRef>
              <c:f>Data!$A$54</c:f>
              <c:strCache>
                <c:ptCount val="1"/>
                <c:pt idx="0">
                  <c:v>Omtanken Vårdcentral Pedagogen Park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Data!$O$44:$AB$44</c:f>
              <c:strCache>
                <c:ptCount val="14"/>
                <c:pt idx="0">
                  <c:v>202501</c:v>
                </c:pt>
                <c:pt idx="1">
                  <c:v>202502</c:v>
                </c:pt>
                <c:pt idx="2">
                  <c:v>202503</c:v>
                </c:pt>
                <c:pt idx="3">
                  <c:v>202504</c:v>
                </c:pt>
                <c:pt idx="4">
                  <c:v>202505</c:v>
                </c:pt>
                <c:pt idx="5">
                  <c:v>202506</c:v>
                </c:pt>
                <c:pt idx="6">
                  <c:v>202507</c:v>
                </c:pt>
                <c:pt idx="7">
                  <c:v>202508</c:v>
                </c:pt>
                <c:pt idx="8">
                  <c:v>202509</c:v>
                </c:pt>
                <c:pt idx="9">
                  <c:v>202510</c:v>
                </c:pt>
                <c:pt idx="10">
                  <c:v>202511</c:v>
                </c:pt>
                <c:pt idx="11">
                  <c:v>202512</c:v>
                </c:pt>
                <c:pt idx="12">
                  <c:v>202601</c:v>
                </c:pt>
                <c:pt idx="13">
                  <c:v>202602</c:v>
                </c:pt>
              </c:strCache>
            </c:strRef>
          </c:cat>
          <c:val>
            <c:numRef>
              <c:f>Data!$O$54:$AB$54</c:f>
            </c:numRef>
          </c:val>
          <c:smooth val="0"/>
          <c:extLst>
            <c:ext xmlns:c16="http://schemas.microsoft.com/office/drawing/2014/chart" uri="{C3380CC4-5D6E-409C-BE32-E72D297353CC}">
              <c16:uniqueId val="{00000009-7138-44C9-BB00-38AEEDF874DD}"/>
            </c:ext>
          </c:extLst>
        </c:ser>
        <c:ser>
          <c:idx val="10"/>
          <c:order val="10"/>
          <c:tx>
            <c:strRef>
              <c:f>Data!$A$55</c:f>
              <c:strCache>
                <c:ptCount val="1"/>
                <c:pt idx="0">
                  <c:v>Omtanken Vårdcentral Åby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Data!$O$44:$AB$44</c:f>
              <c:strCache>
                <c:ptCount val="14"/>
                <c:pt idx="0">
                  <c:v>202501</c:v>
                </c:pt>
                <c:pt idx="1">
                  <c:v>202502</c:v>
                </c:pt>
                <c:pt idx="2">
                  <c:v>202503</c:v>
                </c:pt>
                <c:pt idx="3">
                  <c:v>202504</c:v>
                </c:pt>
                <c:pt idx="4">
                  <c:v>202505</c:v>
                </c:pt>
                <c:pt idx="5">
                  <c:v>202506</c:v>
                </c:pt>
                <c:pt idx="6">
                  <c:v>202507</c:v>
                </c:pt>
                <c:pt idx="7">
                  <c:v>202508</c:v>
                </c:pt>
                <c:pt idx="8">
                  <c:v>202509</c:v>
                </c:pt>
                <c:pt idx="9">
                  <c:v>202510</c:v>
                </c:pt>
                <c:pt idx="10">
                  <c:v>202511</c:v>
                </c:pt>
                <c:pt idx="11">
                  <c:v>202512</c:v>
                </c:pt>
                <c:pt idx="12">
                  <c:v>202601</c:v>
                </c:pt>
                <c:pt idx="13">
                  <c:v>202602</c:v>
                </c:pt>
              </c:strCache>
            </c:strRef>
          </c:cat>
          <c:val>
            <c:numRef>
              <c:f>Data!$O$55:$AB$55</c:f>
            </c:numRef>
          </c:val>
          <c:smooth val="0"/>
          <c:extLst>
            <c:ext xmlns:c16="http://schemas.microsoft.com/office/drawing/2014/chart" uri="{C3380CC4-5D6E-409C-BE32-E72D297353CC}">
              <c16:uniqueId val="{0000000A-7138-44C9-BB00-38AEEDF874DD}"/>
            </c:ext>
          </c:extLst>
        </c:ser>
        <c:ser>
          <c:idx val="11"/>
          <c:order val="11"/>
          <c:tx>
            <c:strRef>
              <c:f>Data!$A$56</c:f>
              <c:strCache>
                <c:ptCount val="1"/>
                <c:pt idx="0">
                  <c:v>Medelvärde Stor-GBG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Data!$O$44:$AB$44</c:f>
              <c:strCache>
                <c:ptCount val="14"/>
                <c:pt idx="0">
                  <c:v>202501</c:v>
                </c:pt>
                <c:pt idx="1">
                  <c:v>202502</c:v>
                </c:pt>
                <c:pt idx="2">
                  <c:v>202503</c:v>
                </c:pt>
                <c:pt idx="3">
                  <c:v>202504</c:v>
                </c:pt>
                <c:pt idx="4">
                  <c:v>202505</c:v>
                </c:pt>
                <c:pt idx="5">
                  <c:v>202506</c:v>
                </c:pt>
                <c:pt idx="6">
                  <c:v>202507</c:v>
                </c:pt>
                <c:pt idx="7">
                  <c:v>202508</c:v>
                </c:pt>
                <c:pt idx="8">
                  <c:v>202509</c:v>
                </c:pt>
                <c:pt idx="9">
                  <c:v>202510</c:v>
                </c:pt>
                <c:pt idx="10">
                  <c:v>202511</c:v>
                </c:pt>
                <c:pt idx="11">
                  <c:v>202512</c:v>
                </c:pt>
                <c:pt idx="12">
                  <c:v>202601</c:v>
                </c:pt>
                <c:pt idx="13">
                  <c:v>202602</c:v>
                </c:pt>
              </c:strCache>
            </c:strRef>
          </c:cat>
          <c:val>
            <c:numRef>
              <c:f>Data!$O$56:$AB$56</c:f>
              <c:numCache>
                <c:formatCode>0</c:formatCode>
                <c:ptCount val="14"/>
                <c:pt idx="0">
                  <c:v>180.17134793428676</c:v>
                </c:pt>
                <c:pt idx="1">
                  <c:v>173.88405353326164</c:v>
                </c:pt>
                <c:pt idx="2">
                  <c:v>178.22339895840312</c:v>
                </c:pt>
                <c:pt idx="3">
                  <c:v>180.32934016632694</c:v>
                </c:pt>
                <c:pt idx="4">
                  <c:v>180.57911699220119</c:v>
                </c:pt>
                <c:pt idx="5">
                  <c:v>178.86489613958349</c:v>
                </c:pt>
                <c:pt idx="6">
                  <c:v>184.26556957618391</c:v>
                </c:pt>
                <c:pt idx="7">
                  <c:v>188.18525454351621</c:v>
                </c:pt>
                <c:pt idx="8">
                  <c:v>186.34199767832379</c:v>
                </c:pt>
                <c:pt idx="9">
                  <c:v>179.50566139618579</c:v>
                </c:pt>
                <c:pt idx="10">
                  <c:v>186.83203277976156</c:v>
                </c:pt>
                <c:pt idx="11">
                  <c:v>186.14893630157056</c:v>
                </c:pt>
                <c:pt idx="12">
                  <c:v>196.38958790620745</c:v>
                </c:pt>
                <c:pt idx="13">
                  <c:v>208.3522052085743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7138-44C9-BB00-38AEEDF874DD}"/>
            </c:ext>
          </c:extLst>
        </c:ser>
        <c:ser>
          <c:idx val="12"/>
          <c:order val="12"/>
          <c:tx>
            <c:strRef>
              <c:f>Data!$A$57</c:f>
              <c:strCache>
                <c:ptCount val="1"/>
                <c:pt idx="0">
                  <c:v>Kvarterskliniken Karlastaden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Data!$O$44:$AB$44</c:f>
              <c:strCache>
                <c:ptCount val="14"/>
                <c:pt idx="0">
                  <c:v>202501</c:v>
                </c:pt>
                <c:pt idx="1">
                  <c:v>202502</c:v>
                </c:pt>
                <c:pt idx="2">
                  <c:v>202503</c:v>
                </c:pt>
                <c:pt idx="3">
                  <c:v>202504</c:v>
                </c:pt>
                <c:pt idx="4">
                  <c:v>202505</c:v>
                </c:pt>
                <c:pt idx="5">
                  <c:v>202506</c:v>
                </c:pt>
                <c:pt idx="6">
                  <c:v>202507</c:v>
                </c:pt>
                <c:pt idx="7">
                  <c:v>202508</c:v>
                </c:pt>
                <c:pt idx="8">
                  <c:v>202509</c:v>
                </c:pt>
                <c:pt idx="9">
                  <c:v>202510</c:v>
                </c:pt>
                <c:pt idx="10">
                  <c:v>202511</c:v>
                </c:pt>
                <c:pt idx="11">
                  <c:v>202512</c:v>
                </c:pt>
                <c:pt idx="12">
                  <c:v>202601</c:v>
                </c:pt>
                <c:pt idx="13">
                  <c:v>202602</c:v>
                </c:pt>
              </c:strCache>
            </c:strRef>
          </c:cat>
          <c:val>
            <c:numRef>
              <c:f>Data!$O$57:$AB$57</c:f>
            </c:numRef>
          </c:val>
          <c:smooth val="0"/>
          <c:extLst>
            <c:ext xmlns:c16="http://schemas.microsoft.com/office/drawing/2014/chart" uri="{C3380CC4-5D6E-409C-BE32-E72D297353CC}">
              <c16:uniqueId val="{00000001-3F3F-4CEF-B4E7-A82CA0DF5AB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60524304"/>
        <c:axId val="1960522384"/>
      </c:lineChart>
      <c:catAx>
        <c:axId val="1960524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960522384"/>
        <c:crosses val="autoZero"/>
        <c:auto val="1"/>
        <c:lblAlgn val="ctr"/>
        <c:lblOffset val="100"/>
        <c:noMultiLvlLbl val="0"/>
      </c:catAx>
      <c:valAx>
        <c:axId val="1960522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960524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v-SE"/>
              <a:t>Other direct costs / listad pat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>
        <c:manualLayout>
          <c:layoutTarget val="inner"/>
          <c:xMode val="edge"/>
          <c:yMode val="edge"/>
          <c:x val="4.8109080978542176E-2"/>
          <c:y val="0.11487416330590833"/>
          <c:w val="0.93768973735392847"/>
          <c:h val="0.742676343179499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Data!$A$83</c:f>
              <c:strCache>
                <c:ptCount val="1"/>
                <c:pt idx="0">
                  <c:v>Citysjukhuset Plus 7 vårdcentral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Data!$P$82:$AB$82</c:f>
              <c:strCache>
                <c:ptCount val="13"/>
                <c:pt idx="0">
                  <c:v>202502</c:v>
                </c:pt>
                <c:pt idx="1">
                  <c:v>202503</c:v>
                </c:pt>
                <c:pt idx="2">
                  <c:v>202504</c:v>
                </c:pt>
                <c:pt idx="3">
                  <c:v>202505</c:v>
                </c:pt>
                <c:pt idx="4">
                  <c:v>202506</c:v>
                </c:pt>
                <c:pt idx="5">
                  <c:v>202507</c:v>
                </c:pt>
                <c:pt idx="6">
                  <c:v>202508</c:v>
                </c:pt>
                <c:pt idx="7">
                  <c:v>202509</c:v>
                </c:pt>
                <c:pt idx="8">
                  <c:v>202510</c:v>
                </c:pt>
                <c:pt idx="9">
                  <c:v>202511</c:v>
                </c:pt>
                <c:pt idx="10">
                  <c:v>202512</c:v>
                </c:pt>
                <c:pt idx="11">
                  <c:v>202601</c:v>
                </c:pt>
                <c:pt idx="12">
                  <c:v>202602</c:v>
                </c:pt>
              </c:strCache>
            </c:strRef>
          </c:cat>
          <c:val>
            <c:numRef>
              <c:f>Data!$P$83:$AB$83</c:f>
            </c:numRef>
          </c:val>
          <c:extLst>
            <c:ext xmlns:c16="http://schemas.microsoft.com/office/drawing/2014/chart" uri="{C3380CC4-5D6E-409C-BE32-E72D297353CC}">
              <c16:uniqueId val="{00000000-4696-45C1-8A75-245094BEDE4D}"/>
            </c:ext>
          </c:extLst>
        </c:ser>
        <c:ser>
          <c:idx val="1"/>
          <c:order val="1"/>
          <c:tx>
            <c:strRef>
              <c:f>Data!$A$84</c:f>
              <c:strCache>
                <c:ptCount val="1"/>
                <c:pt idx="0">
                  <c:v>Kvarterskliniken Avenyn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Data!$P$82:$AB$82</c:f>
              <c:strCache>
                <c:ptCount val="13"/>
                <c:pt idx="0">
                  <c:v>202502</c:v>
                </c:pt>
                <c:pt idx="1">
                  <c:v>202503</c:v>
                </c:pt>
                <c:pt idx="2">
                  <c:v>202504</c:v>
                </c:pt>
                <c:pt idx="3">
                  <c:v>202505</c:v>
                </c:pt>
                <c:pt idx="4">
                  <c:v>202506</c:v>
                </c:pt>
                <c:pt idx="5">
                  <c:v>202507</c:v>
                </c:pt>
                <c:pt idx="6">
                  <c:v>202508</c:v>
                </c:pt>
                <c:pt idx="7">
                  <c:v>202509</c:v>
                </c:pt>
                <c:pt idx="8">
                  <c:v>202510</c:v>
                </c:pt>
                <c:pt idx="9">
                  <c:v>202511</c:v>
                </c:pt>
                <c:pt idx="10">
                  <c:v>202512</c:v>
                </c:pt>
                <c:pt idx="11">
                  <c:v>202601</c:v>
                </c:pt>
                <c:pt idx="12">
                  <c:v>202602</c:v>
                </c:pt>
              </c:strCache>
            </c:strRef>
          </c:cat>
          <c:val>
            <c:numRef>
              <c:f>Data!$P$84:$AB$84</c:f>
            </c:numRef>
          </c:val>
          <c:extLst>
            <c:ext xmlns:c16="http://schemas.microsoft.com/office/drawing/2014/chart" uri="{C3380CC4-5D6E-409C-BE32-E72D297353CC}">
              <c16:uniqueId val="{00000001-4696-45C1-8A75-245094BEDE4D}"/>
            </c:ext>
          </c:extLst>
        </c:ser>
        <c:ser>
          <c:idx val="2"/>
          <c:order val="2"/>
          <c:tx>
            <c:strRef>
              <c:f>Data!$A$85</c:f>
              <c:strCache>
                <c:ptCount val="1"/>
                <c:pt idx="0">
                  <c:v>Kvarterskliniken Husaren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Data!$P$82:$AB$82</c:f>
              <c:strCache>
                <c:ptCount val="13"/>
                <c:pt idx="0">
                  <c:v>202502</c:v>
                </c:pt>
                <c:pt idx="1">
                  <c:v>202503</c:v>
                </c:pt>
                <c:pt idx="2">
                  <c:v>202504</c:v>
                </c:pt>
                <c:pt idx="3">
                  <c:v>202505</c:v>
                </c:pt>
                <c:pt idx="4">
                  <c:v>202506</c:v>
                </c:pt>
                <c:pt idx="5">
                  <c:v>202507</c:v>
                </c:pt>
                <c:pt idx="6">
                  <c:v>202508</c:v>
                </c:pt>
                <c:pt idx="7">
                  <c:v>202509</c:v>
                </c:pt>
                <c:pt idx="8">
                  <c:v>202510</c:v>
                </c:pt>
                <c:pt idx="9">
                  <c:v>202511</c:v>
                </c:pt>
                <c:pt idx="10">
                  <c:v>202512</c:v>
                </c:pt>
                <c:pt idx="11">
                  <c:v>202601</c:v>
                </c:pt>
                <c:pt idx="12">
                  <c:v>202602</c:v>
                </c:pt>
              </c:strCache>
            </c:strRef>
          </c:cat>
          <c:val>
            <c:numRef>
              <c:f>Data!$P$85:$AB$85</c:f>
            </c:numRef>
          </c:val>
          <c:extLst>
            <c:ext xmlns:c16="http://schemas.microsoft.com/office/drawing/2014/chart" uri="{C3380CC4-5D6E-409C-BE32-E72D297353CC}">
              <c16:uniqueId val="{00000002-4696-45C1-8A75-245094BEDE4D}"/>
            </c:ext>
          </c:extLst>
        </c:ser>
        <c:ser>
          <c:idx val="3"/>
          <c:order val="3"/>
          <c:tx>
            <c:strRef>
              <c:f>Data!$A$86</c:f>
              <c:strCache>
                <c:ptCount val="1"/>
                <c:pt idx="0">
                  <c:v>Kvarterskliniken Lorensberg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Data!$P$82:$AB$82</c:f>
              <c:strCache>
                <c:ptCount val="13"/>
                <c:pt idx="0">
                  <c:v>202502</c:v>
                </c:pt>
                <c:pt idx="1">
                  <c:v>202503</c:v>
                </c:pt>
                <c:pt idx="2">
                  <c:v>202504</c:v>
                </c:pt>
                <c:pt idx="3">
                  <c:v>202505</c:v>
                </c:pt>
                <c:pt idx="4">
                  <c:v>202506</c:v>
                </c:pt>
                <c:pt idx="5">
                  <c:v>202507</c:v>
                </c:pt>
                <c:pt idx="6">
                  <c:v>202508</c:v>
                </c:pt>
                <c:pt idx="7">
                  <c:v>202509</c:v>
                </c:pt>
                <c:pt idx="8">
                  <c:v>202510</c:v>
                </c:pt>
                <c:pt idx="9">
                  <c:v>202511</c:v>
                </c:pt>
                <c:pt idx="10">
                  <c:v>202512</c:v>
                </c:pt>
                <c:pt idx="11">
                  <c:v>202601</c:v>
                </c:pt>
                <c:pt idx="12">
                  <c:v>202602</c:v>
                </c:pt>
              </c:strCache>
            </c:strRef>
          </c:cat>
          <c:val>
            <c:numRef>
              <c:f>Data!$P$86:$AB$86</c:f>
            </c:numRef>
          </c:val>
          <c:extLst>
            <c:ext xmlns:c16="http://schemas.microsoft.com/office/drawing/2014/chart" uri="{C3380CC4-5D6E-409C-BE32-E72D297353CC}">
              <c16:uniqueId val="{00000003-4696-45C1-8A75-245094BEDE4D}"/>
            </c:ext>
          </c:extLst>
        </c:ser>
        <c:ser>
          <c:idx val="4"/>
          <c:order val="4"/>
          <c:tx>
            <c:strRef>
              <c:f>Data!$A$87</c:f>
              <c:strCache>
                <c:ptCount val="1"/>
                <c:pt idx="0">
                  <c:v>Omtanken Vårdcentral Frölunda Torg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Data!$P$82:$AB$82</c:f>
              <c:strCache>
                <c:ptCount val="13"/>
                <c:pt idx="0">
                  <c:v>202502</c:v>
                </c:pt>
                <c:pt idx="1">
                  <c:v>202503</c:v>
                </c:pt>
                <c:pt idx="2">
                  <c:v>202504</c:v>
                </c:pt>
                <c:pt idx="3">
                  <c:v>202505</c:v>
                </c:pt>
                <c:pt idx="4">
                  <c:v>202506</c:v>
                </c:pt>
                <c:pt idx="5">
                  <c:v>202507</c:v>
                </c:pt>
                <c:pt idx="6">
                  <c:v>202508</c:v>
                </c:pt>
                <c:pt idx="7">
                  <c:v>202509</c:v>
                </c:pt>
                <c:pt idx="8">
                  <c:v>202510</c:v>
                </c:pt>
                <c:pt idx="9">
                  <c:v>202511</c:v>
                </c:pt>
                <c:pt idx="10">
                  <c:v>202512</c:v>
                </c:pt>
                <c:pt idx="11">
                  <c:v>202601</c:v>
                </c:pt>
                <c:pt idx="12">
                  <c:v>202602</c:v>
                </c:pt>
              </c:strCache>
            </c:strRef>
          </c:cat>
          <c:val>
            <c:numRef>
              <c:f>Data!$P$87:$AB$87</c:f>
            </c:numRef>
          </c:val>
          <c:extLst>
            <c:ext xmlns:c16="http://schemas.microsoft.com/office/drawing/2014/chart" uri="{C3380CC4-5D6E-409C-BE32-E72D297353CC}">
              <c16:uniqueId val="{00000004-4696-45C1-8A75-245094BEDE4D}"/>
            </c:ext>
          </c:extLst>
        </c:ser>
        <c:ser>
          <c:idx val="5"/>
          <c:order val="5"/>
          <c:tx>
            <c:strRef>
              <c:f>Data!$A$88</c:f>
              <c:strCache>
                <c:ptCount val="1"/>
                <c:pt idx="0">
                  <c:v>Omtanken Vårdcentral Grimmered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Data!$P$82:$AB$82</c:f>
              <c:strCache>
                <c:ptCount val="13"/>
                <c:pt idx="0">
                  <c:v>202502</c:v>
                </c:pt>
                <c:pt idx="1">
                  <c:v>202503</c:v>
                </c:pt>
                <c:pt idx="2">
                  <c:v>202504</c:v>
                </c:pt>
                <c:pt idx="3">
                  <c:v>202505</c:v>
                </c:pt>
                <c:pt idx="4">
                  <c:v>202506</c:v>
                </c:pt>
                <c:pt idx="5">
                  <c:v>202507</c:v>
                </c:pt>
                <c:pt idx="6">
                  <c:v>202508</c:v>
                </c:pt>
                <c:pt idx="7">
                  <c:v>202509</c:v>
                </c:pt>
                <c:pt idx="8">
                  <c:v>202510</c:v>
                </c:pt>
                <c:pt idx="9">
                  <c:v>202511</c:v>
                </c:pt>
                <c:pt idx="10">
                  <c:v>202512</c:v>
                </c:pt>
                <c:pt idx="11">
                  <c:v>202601</c:v>
                </c:pt>
                <c:pt idx="12">
                  <c:v>202602</c:v>
                </c:pt>
              </c:strCache>
            </c:strRef>
          </c:cat>
          <c:val>
            <c:numRef>
              <c:f>Data!$P$88:$AB$88</c:f>
            </c:numRef>
          </c:val>
          <c:extLst>
            <c:ext xmlns:c16="http://schemas.microsoft.com/office/drawing/2014/chart" uri="{C3380CC4-5D6E-409C-BE32-E72D297353CC}">
              <c16:uniqueId val="{00000005-4696-45C1-8A75-245094BEDE4D}"/>
            </c:ext>
          </c:extLst>
        </c:ser>
        <c:ser>
          <c:idx val="6"/>
          <c:order val="6"/>
          <c:tx>
            <c:strRef>
              <c:f>Data!$A$89</c:f>
              <c:strCache>
                <c:ptCount val="1"/>
                <c:pt idx="0">
                  <c:v>Omtanken Vårdcentral Kviberg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Data!$P$82:$AB$82</c:f>
              <c:strCache>
                <c:ptCount val="13"/>
                <c:pt idx="0">
                  <c:v>202502</c:v>
                </c:pt>
                <c:pt idx="1">
                  <c:v>202503</c:v>
                </c:pt>
                <c:pt idx="2">
                  <c:v>202504</c:v>
                </c:pt>
                <c:pt idx="3">
                  <c:v>202505</c:v>
                </c:pt>
                <c:pt idx="4">
                  <c:v>202506</c:v>
                </c:pt>
                <c:pt idx="5">
                  <c:v>202507</c:v>
                </c:pt>
                <c:pt idx="6">
                  <c:v>202508</c:v>
                </c:pt>
                <c:pt idx="7">
                  <c:v>202509</c:v>
                </c:pt>
                <c:pt idx="8">
                  <c:v>202510</c:v>
                </c:pt>
                <c:pt idx="9">
                  <c:v>202511</c:v>
                </c:pt>
                <c:pt idx="10">
                  <c:v>202512</c:v>
                </c:pt>
                <c:pt idx="11">
                  <c:v>202601</c:v>
                </c:pt>
                <c:pt idx="12">
                  <c:v>202602</c:v>
                </c:pt>
              </c:strCache>
            </c:strRef>
          </c:cat>
          <c:val>
            <c:numRef>
              <c:f>Data!$P$89:$AB$89</c:f>
            </c:numRef>
          </c:val>
          <c:extLst>
            <c:ext xmlns:c16="http://schemas.microsoft.com/office/drawing/2014/chart" uri="{C3380CC4-5D6E-409C-BE32-E72D297353CC}">
              <c16:uniqueId val="{00000006-4696-45C1-8A75-245094BEDE4D}"/>
            </c:ext>
          </c:extLst>
        </c:ser>
        <c:ser>
          <c:idx val="7"/>
          <c:order val="7"/>
          <c:tx>
            <c:strRef>
              <c:f>Data!$A$90</c:f>
              <c:strCache>
                <c:ptCount val="1"/>
                <c:pt idx="0">
                  <c:v>Omtanken Vårdcentral Kållered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Data!$P$82:$AB$82</c:f>
              <c:strCache>
                <c:ptCount val="13"/>
                <c:pt idx="0">
                  <c:v>202502</c:v>
                </c:pt>
                <c:pt idx="1">
                  <c:v>202503</c:v>
                </c:pt>
                <c:pt idx="2">
                  <c:v>202504</c:v>
                </c:pt>
                <c:pt idx="3">
                  <c:v>202505</c:v>
                </c:pt>
                <c:pt idx="4">
                  <c:v>202506</c:v>
                </c:pt>
                <c:pt idx="5">
                  <c:v>202507</c:v>
                </c:pt>
                <c:pt idx="6">
                  <c:v>202508</c:v>
                </c:pt>
                <c:pt idx="7">
                  <c:v>202509</c:v>
                </c:pt>
                <c:pt idx="8">
                  <c:v>202510</c:v>
                </c:pt>
                <c:pt idx="9">
                  <c:v>202511</c:v>
                </c:pt>
                <c:pt idx="10">
                  <c:v>202512</c:v>
                </c:pt>
                <c:pt idx="11">
                  <c:v>202601</c:v>
                </c:pt>
                <c:pt idx="12">
                  <c:v>202602</c:v>
                </c:pt>
              </c:strCache>
            </c:strRef>
          </c:cat>
          <c:val>
            <c:numRef>
              <c:f>Data!$P$90:$AB$90</c:f>
            </c:numRef>
          </c:val>
          <c:extLst>
            <c:ext xmlns:c16="http://schemas.microsoft.com/office/drawing/2014/chart" uri="{C3380CC4-5D6E-409C-BE32-E72D297353CC}">
              <c16:uniqueId val="{00000007-4696-45C1-8A75-245094BEDE4D}"/>
            </c:ext>
          </c:extLst>
        </c:ser>
        <c:ser>
          <c:idx val="8"/>
          <c:order val="8"/>
          <c:tx>
            <c:strRef>
              <c:f>Data!$A$91</c:f>
              <c:strCache>
                <c:ptCount val="1"/>
                <c:pt idx="0">
                  <c:v>Omtanken Vårdcentral Landala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Data!$P$82:$AB$82</c:f>
              <c:strCache>
                <c:ptCount val="13"/>
                <c:pt idx="0">
                  <c:v>202502</c:v>
                </c:pt>
                <c:pt idx="1">
                  <c:v>202503</c:v>
                </c:pt>
                <c:pt idx="2">
                  <c:v>202504</c:v>
                </c:pt>
                <c:pt idx="3">
                  <c:v>202505</c:v>
                </c:pt>
                <c:pt idx="4">
                  <c:v>202506</c:v>
                </c:pt>
                <c:pt idx="5">
                  <c:v>202507</c:v>
                </c:pt>
                <c:pt idx="6">
                  <c:v>202508</c:v>
                </c:pt>
                <c:pt idx="7">
                  <c:v>202509</c:v>
                </c:pt>
                <c:pt idx="8">
                  <c:v>202510</c:v>
                </c:pt>
                <c:pt idx="9">
                  <c:v>202511</c:v>
                </c:pt>
                <c:pt idx="10">
                  <c:v>202512</c:v>
                </c:pt>
                <c:pt idx="11">
                  <c:v>202601</c:v>
                </c:pt>
                <c:pt idx="12">
                  <c:v>202602</c:v>
                </c:pt>
              </c:strCache>
            </c:strRef>
          </c:cat>
          <c:val>
            <c:numRef>
              <c:f>Data!$P$91:$AB$91</c:f>
            </c:numRef>
          </c:val>
          <c:extLst>
            <c:ext xmlns:c16="http://schemas.microsoft.com/office/drawing/2014/chart" uri="{C3380CC4-5D6E-409C-BE32-E72D297353CC}">
              <c16:uniqueId val="{00000008-4696-45C1-8A75-245094BEDE4D}"/>
            </c:ext>
          </c:extLst>
        </c:ser>
        <c:ser>
          <c:idx val="9"/>
          <c:order val="9"/>
          <c:tx>
            <c:strRef>
              <c:f>Data!$A$92</c:f>
              <c:strCache>
                <c:ptCount val="1"/>
                <c:pt idx="0">
                  <c:v>Omtanken Vårdcentral Majorna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Data!$P$82:$AB$82</c:f>
              <c:strCache>
                <c:ptCount val="13"/>
                <c:pt idx="0">
                  <c:v>202502</c:v>
                </c:pt>
                <c:pt idx="1">
                  <c:v>202503</c:v>
                </c:pt>
                <c:pt idx="2">
                  <c:v>202504</c:v>
                </c:pt>
                <c:pt idx="3">
                  <c:v>202505</c:v>
                </c:pt>
                <c:pt idx="4">
                  <c:v>202506</c:v>
                </c:pt>
                <c:pt idx="5">
                  <c:v>202507</c:v>
                </c:pt>
                <c:pt idx="6">
                  <c:v>202508</c:v>
                </c:pt>
                <c:pt idx="7">
                  <c:v>202509</c:v>
                </c:pt>
                <c:pt idx="8">
                  <c:v>202510</c:v>
                </c:pt>
                <c:pt idx="9">
                  <c:v>202511</c:v>
                </c:pt>
                <c:pt idx="10">
                  <c:v>202512</c:v>
                </c:pt>
                <c:pt idx="11">
                  <c:v>202601</c:v>
                </c:pt>
                <c:pt idx="12">
                  <c:v>202602</c:v>
                </c:pt>
              </c:strCache>
            </c:strRef>
          </c:cat>
          <c:val>
            <c:numRef>
              <c:f>Data!$P$92:$AB$92</c:f>
            </c:numRef>
          </c:val>
          <c:extLst>
            <c:ext xmlns:c16="http://schemas.microsoft.com/office/drawing/2014/chart" uri="{C3380CC4-5D6E-409C-BE32-E72D297353CC}">
              <c16:uniqueId val="{00000009-4696-45C1-8A75-245094BEDE4D}"/>
            </c:ext>
          </c:extLst>
        </c:ser>
        <c:ser>
          <c:idx val="10"/>
          <c:order val="10"/>
          <c:tx>
            <c:strRef>
              <c:f>Data!$A$93</c:f>
              <c:strCache>
                <c:ptCount val="1"/>
                <c:pt idx="0">
                  <c:v>Omtanken Vårdcentral Olskroken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Data!$P$82:$AB$82</c:f>
              <c:strCache>
                <c:ptCount val="13"/>
                <c:pt idx="0">
                  <c:v>202502</c:v>
                </c:pt>
                <c:pt idx="1">
                  <c:v>202503</c:v>
                </c:pt>
                <c:pt idx="2">
                  <c:v>202504</c:v>
                </c:pt>
                <c:pt idx="3">
                  <c:v>202505</c:v>
                </c:pt>
                <c:pt idx="4">
                  <c:v>202506</c:v>
                </c:pt>
                <c:pt idx="5">
                  <c:v>202507</c:v>
                </c:pt>
                <c:pt idx="6">
                  <c:v>202508</c:v>
                </c:pt>
                <c:pt idx="7">
                  <c:v>202509</c:v>
                </c:pt>
                <c:pt idx="8">
                  <c:v>202510</c:v>
                </c:pt>
                <c:pt idx="9">
                  <c:v>202511</c:v>
                </c:pt>
                <c:pt idx="10">
                  <c:v>202512</c:v>
                </c:pt>
                <c:pt idx="11">
                  <c:v>202601</c:v>
                </c:pt>
                <c:pt idx="12">
                  <c:v>202602</c:v>
                </c:pt>
              </c:strCache>
            </c:strRef>
          </c:cat>
          <c:val>
            <c:numRef>
              <c:f>Data!$P$93:$AB$93</c:f>
            </c:numRef>
          </c:val>
          <c:extLst>
            <c:ext xmlns:c16="http://schemas.microsoft.com/office/drawing/2014/chart" uri="{C3380CC4-5D6E-409C-BE32-E72D297353CC}">
              <c16:uniqueId val="{0000000A-4696-45C1-8A75-245094BEDE4D}"/>
            </c:ext>
          </c:extLst>
        </c:ser>
        <c:ser>
          <c:idx val="11"/>
          <c:order val="11"/>
          <c:tx>
            <c:strRef>
              <c:f>Data!$A$94</c:f>
              <c:strCache>
                <c:ptCount val="1"/>
                <c:pt idx="0">
                  <c:v>Omtanken Vårdcentral Pedagogen Park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Data!$P$82:$AB$82</c:f>
              <c:strCache>
                <c:ptCount val="13"/>
                <c:pt idx="0">
                  <c:v>202502</c:v>
                </c:pt>
                <c:pt idx="1">
                  <c:v>202503</c:v>
                </c:pt>
                <c:pt idx="2">
                  <c:v>202504</c:v>
                </c:pt>
                <c:pt idx="3">
                  <c:v>202505</c:v>
                </c:pt>
                <c:pt idx="4">
                  <c:v>202506</c:v>
                </c:pt>
                <c:pt idx="5">
                  <c:v>202507</c:v>
                </c:pt>
                <c:pt idx="6">
                  <c:v>202508</c:v>
                </c:pt>
                <c:pt idx="7">
                  <c:v>202509</c:v>
                </c:pt>
                <c:pt idx="8">
                  <c:v>202510</c:v>
                </c:pt>
                <c:pt idx="9">
                  <c:v>202511</c:v>
                </c:pt>
                <c:pt idx="10">
                  <c:v>202512</c:v>
                </c:pt>
                <c:pt idx="11">
                  <c:v>202601</c:v>
                </c:pt>
                <c:pt idx="12">
                  <c:v>202602</c:v>
                </c:pt>
              </c:strCache>
            </c:strRef>
          </c:cat>
          <c:val>
            <c:numRef>
              <c:f>Data!$P$94:$AB$94</c:f>
            </c:numRef>
          </c:val>
          <c:extLst>
            <c:ext xmlns:c16="http://schemas.microsoft.com/office/drawing/2014/chart" uri="{C3380CC4-5D6E-409C-BE32-E72D297353CC}">
              <c16:uniqueId val="{0000000B-4696-45C1-8A75-245094BEDE4D}"/>
            </c:ext>
          </c:extLst>
        </c:ser>
        <c:ser>
          <c:idx val="12"/>
          <c:order val="12"/>
          <c:tx>
            <c:strRef>
              <c:f>Data!$A$95</c:f>
              <c:strCache>
                <c:ptCount val="1"/>
                <c:pt idx="0">
                  <c:v>Omtanken Vårdcentral Åby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Data!$P$82:$AB$82</c:f>
              <c:strCache>
                <c:ptCount val="13"/>
                <c:pt idx="0">
                  <c:v>202502</c:v>
                </c:pt>
                <c:pt idx="1">
                  <c:v>202503</c:v>
                </c:pt>
                <c:pt idx="2">
                  <c:v>202504</c:v>
                </c:pt>
                <c:pt idx="3">
                  <c:v>202505</c:v>
                </c:pt>
                <c:pt idx="4">
                  <c:v>202506</c:v>
                </c:pt>
                <c:pt idx="5">
                  <c:v>202507</c:v>
                </c:pt>
                <c:pt idx="6">
                  <c:v>202508</c:v>
                </c:pt>
                <c:pt idx="7">
                  <c:v>202509</c:v>
                </c:pt>
                <c:pt idx="8">
                  <c:v>202510</c:v>
                </c:pt>
                <c:pt idx="9">
                  <c:v>202511</c:v>
                </c:pt>
                <c:pt idx="10">
                  <c:v>202512</c:v>
                </c:pt>
                <c:pt idx="11">
                  <c:v>202601</c:v>
                </c:pt>
                <c:pt idx="12">
                  <c:v>202602</c:v>
                </c:pt>
              </c:strCache>
            </c:strRef>
          </c:cat>
          <c:val>
            <c:numRef>
              <c:f>Data!$P$95:$AB$95</c:f>
            </c:numRef>
          </c:val>
          <c:extLst>
            <c:ext xmlns:c16="http://schemas.microsoft.com/office/drawing/2014/chart" uri="{C3380CC4-5D6E-409C-BE32-E72D297353CC}">
              <c16:uniqueId val="{0000000C-4696-45C1-8A75-245094BEDE4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960494064"/>
        <c:axId val="1960495024"/>
      </c:barChart>
      <c:lineChart>
        <c:grouping val="standard"/>
        <c:varyColors val="0"/>
        <c:ser>
          <c:idx val="13"/>
          <c:order val="13"/>
          <c:tx>
            <c:strRef>
              <c:f>Data!$A$96</c:f>
              <c:strCache>
                <c:ptCount val="1"/>
                <c:pt idx="0">
                  <c:v>Kvarterskliniken Karlastaden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Data!$P$82:$AB$82</c:f>
              <c:strCache>
                <c:ptCount val="13"/>
                <c:pt idx="0">
                  <c:v>202502</c:v>
                </c:pt>
                <c:pt idx="1">
                  <c:v>202503</c:v>
                </c:pt>
                <c:pt idx="2">
                  <c:v>202504</c:v>
                </c:pt>
                <c:pt idx="3">
                  <c:v>202505</c:v>
                </c:pt>
                <c:pt idx="4">
                  <c:v>202506</c:v>
                </c:pt>
                <c:pt idx="5">
                  <c:v>202507</c:v>
                </c:pt>
                <c:pt idx="6">
                  <c:v>202508</c:v>
                </c:pt>
                <c:pt idx="7">
                  <c:v>202509</c:v>
                </c:pt>
                <c:pt idx="8">
                  <c:v>202510</c:v>
                </c:pt>
                <c:pt idx="9">
                  <c:v>202511</c:v>
                </c:pt>
                <c:pt idx="10">
                  <c:v>202512</c:v>
                </c:pt>
                <c:pt idx="11">
                  <c:v>202601</c:v>
                </c:pt>
                <c:pt idx="12">
                  <c:v>202602</c:v>
                </c:pt>
              </c:strCache>
            </c:strRef>
          </c:cat>
          <c:val>
            <c:numRef>
              <c:f>Data!$P$96:$AB$96</c:f>
            </c:numRef>
          </c:val>
          <c:smooth val="0"/>
          <c:extLst>
            <c:ext xmlns:c16="http://schemas.microsoft.com/office/drawing/2014/chart" uri="{C3380CC4-5D6E-409C-BE32-E72D297353CC}">
              <c16:uniqueId val="{00000001-1CA3-431B-B578-5021D4C374F1}"/>
            </c:ext>
          </c:extLst>
        </c:ser>
        <c:ser>
          <c:idx val="14"/>
          <c:order val="14"/>
          <c:tx>
            <c:strRef>
              <c:f>Data!$A$97</c:f>
              <c:strCache>
                <c:ptCount val="1"/>
                <c:pt idx="0">
                  <c:v>Medelvärde Stor-GBG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Data!$P$82:$AB$82</c:f>
              <c:strCache>
                <c:ptCount val="13"/>
                <c:pt idx="0">
                  <c:v>202502</c:v>
                </c:pt>
                <c:pt idx="1">
                  <c:v>202503</c:v>
                </c:pt>
                <c:pt idx="2">
                  <c:v>202504</c:v>
                </c:pt>
                <c:pt idx="3">
                  <c:v>202505</c:v>
                </c:pt>
                <c:pt idx="4">
                  <c:v>202506</c:v>
                </c:pt>
                <c:pt idx="5">
                  <c:v>202507</c:v>
                </c:pt>
                <c:pt idx="6">
                  <c:v>202508</c:v>
                </c:pt>
                <c:pt idx="7">
                  <c:v>202509</c:v>
                </c:pt>
                <c:pt idx="8">
                  <c:v>202510</c:v>
                </c:pt>
                <c:pt idx="9">
                  <c:v>202511</c:v>
                </c:pt>
                <c:pt idx="10">
                  <c:v>202512</c:v>
                </c:pt>
                <c:pt idx="11">
                  <c:v>202601</c:v>
                </c:pt>
                <c:pt idx="12">
                  <c:v>202602</c:v>
                </c:pt>
              </c:strCache>
            </c:strRef>
          </c:cat>
          <c:val>
            <c:numRef>
              <c:f>Data!$P$97:$AB$97</c:f>
              <c:numCache>
                <c:formatCode>0</c:formatCode>
                <c:ptCount val="13"/>
                <c:pt idx="0">
                  <c:v>78.726083008783107</c:v>
                </c:pt>
                <c:pt idx="1">
                  <c:v>93.592597677420017</c:v>
                </c:pt>
                <c:pt idx="2">
                  <c:v>72.678231872948373</c:v>
                </c:pt>
                <c:pt idx="3">
                  <c:v>86.140593953021451</c:v>
                </c:pt>
                <c:pt idx="4">
                  <c:v>87.237178084465427</c:v>
                </c:pt>
                <c:pt idx="5">
                  <c:v>76.692176735029079</c:v>
                </c:pt>
                <c:pt idx="6">
                  <c:v>80.143020271908085</c:v>
                </c:pt>
                <c:pt idx="7">
                  <c:v>81.403724461422399</c:v>
                </c:pt>
                <c:pt idx="8">
                  <c:v>91.307296424878658</c:v>
                </c:pt>
                <c:pt idx="9">
                  <c:v>88.316778068291455</c:v>
                </c:pt>
                <c:pt idx="10">
                  <c:v>79.931609791148432</c:v>
                </c:pt>
                <c:pt idx="11">
                  <c:v>74.049677132120095</c:v>
                </c:pt>
                <c:pt idx="12">
                  <c:v>81.560971507412731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E0-4032-A4D5-E5747DAF68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60494064"/>
        <c:axId val="1960495024"/>
      </c:lineChart>
      <c:catAx>
        <c:axId val="1960494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960495024"/>
        <c:crosses val="autoZero"/>
        <c:auto val="1"/>
        <c:lblAlgn val="ctr"/>
        <c:lblOffset val="100"/>
        <c:noMultiLvlLbl val="0"/>
      </c:catAx>
      <c:valAx>
        <c:axId val="1960495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960494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Data!$A$124</c:f>
              <c:strCache>
                <c:ptCount val="1"/>
                <c:pt idx="0">
                  <c:v>Antal listade pat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Data!$O$123:$AB$123</c:f>
              <c:strCache>
                <c:ptCount val="14"/>
                <c:pt idx="0">
                  <c:v>202501</c:v>
                </c:pt>
                <c:pt idx="1">
                  <c:v>202502</c:v>
                </c:pt>
                <c:pt idx="2">
                  <c:v>202503</c:v>
                </c:pt>
                <c:pt idx="3">
                  <c:v>202504</c:v>
                </c:pt>
                <c:pt idx="4">
                  <c:v>202505</c:v>
                </c:pt>
                <c:pt idx="5">
                  <c:v>202506</c:v>
                </c:pt>
                <c:pt idx="6">
                  <c:v>202507</c:v>
                </c:pt>
                <c:pt idx="7">
                  <c:v>202508</c:v>
                </c:pt>
                <c:pt idx="8">
                  <c:v>202509</c:v>
                </c:pt>
                <c:pt idx="9">
                  <c:v>202510</c:v>
                </c:pt>
                <c:pt idx="10">
                  <c:v>202511</c:v>
                </c:pt>
                <c:pt idx="11">
                  <c:v>202512</c:v>
                </c:pt>
                <c:pt idx="12">
                  <c:v>202601</c:v>
                </c:pt>
                <c:pt idx="13">
                  <c:v>202602</c:v>
                </c:pt>
              </c:strCache>
            </c:strRef>
          </c:cat>
          <c:val>
            <c:numRef>
              <c:f>Data!$O$124:$AB$124</c:f>
            </c:numRef>
          </c:val>
          <c:smooth val="0"/>
          <c:extLst>
            <c:ext xmlns:c16="http://schemas.microsoft.com/office/drawing/2014/chart" uri="{C3380CC4-5D6E-409C-BE32-E72D297353CC}">
              <c16:uniqueId val="{00000000-CAA7-4703-9389-F3AC93D2FBFA}"/>
            </c:ext>
          </c:extLst>
        </c:ser>
        <c:ser>
          <c:idx val="1"/>
          <c:order val="1"/>
          <c:tx>
            <c:strRef>
              <c:f>Data!$A$125</c:f>
              <c:strCache>
                <c:ptCount val="1"/>
                <c:pt idx="0">
                  <c:v>Antal listningpoäng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Data!$O$123:$AB$123</c:f>
              <c:strCache>
                <c:ptCount val="14"/>
                <c:pt idx="0">
                  <c:v>202501</c:v>
                </c:pt>
                <c:pt idx="1">
                  <c:v>202502</c:v>
                </c:pt>
                <c:pt idx="2">
                  <c:v>202503</c:v>
                </c:pt>
                <c:pt idx="3">
                  <c:v>202504</c:v>
                </c:pt>
                <c:pt idx="4">
                  <c:v>202505</c:v>
                </c:pt>
                <c:pt idx="5">
                  <c:v>202506</c:v>
                </c:pt>
                <c:pt idx="6">
                  <c:v>202507</c:v>
                </c:pt>
                <c:pt idx="7">
                  <c:v>202508</c:v>
                </c:pt>
                <c:pt idx="8">
                  <c:v>202509</c:v>
                </c:pt>
                <c:pt idx="9">
                  <c:v>202510</c:v>
                </c:pt>
                <c:pt idx="10">
                  <c:v>202511</c:v>
                </c:pt>
                <c:pt idx="11">
                  <c:v>202512</c:v>
                </c:pt>
                <c:pt idx="12">
                  <c:v>202601</c:v>
                </c:pt>
                <c:pt idx="13">
                  <c:v>202602</c:v>
                </c:pt>
              </c:strCache>
            </c:strRef>
          </c:cat>
          <c:val>
            <c:numRef>
              <c:f>Data!$O$125:$AB$125</c:f>
              <c:numCache>
                <c:formatCode>0</c:formatCode>
                <c:ptCount val="14"/>
                <c:pt idx="0">
                  <c:v>21121.729874123532</c:v>
                </c:pt>
                <c:pt idx="1">
                  <c:v>21143.786187434638</c:v>
                </c:pt>
                <c:pt idx="2">
                  <c:v>21238.08339738334</c:v>
                </c:pt>
                <c:pt idx="3">
                  <c:v>21230.182039932377</c:v>
                </c:pt>
                <c:pt idx="4">
                  <c:v>21216</c:v>
                </c:pt>
                <c:pt idx="5">
                  <c:v>21264.760000000002</c:v>
                </c:pt>
                <c:pt idx="6">
                  <c:v>21225.86</c:v>
                </c:pt>
                <c:pt idx="7">
                  <c:v>21251.660000000003</c:v>
                </c:pt>
                <c:pt idx="8">
                  <c:v>21230</c:v>
                </c:pt>
                <c:pt idx="9">
                  <c:v>21214.727057051768</c:v>
                </c:pt>
                <c:pt idx="10">
                  <c:v>21233.918913472131</c:v>
                </c:pt>
                <c:pt idx="11">
                  <c:v>21250.908000000003</c:v>
                </c:pt>
                <c:pt idx="12">
                  <c:v>21318.311873316325</c:v>
                </c:pt>
                <c:pt idx="13">
                  <c:v>21330.33361978754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AA7-4703-9389-F3AC93D2FBFA}"/>
            </c:ext>
          </c:extLst>
        </c:ser>
        <c:ser>
          <c:idx val="2"/>
          <c:order val="2"/>
          <c:tx>
            <c:strRef>
              <c:f>Data!$A$126</c:f>
              <c:strCache>
                <c:ptCount val="1"/>
                <c:pt idx="0">
                  <c:v>ACG casemix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Data!$O$123:$AB$123</c:f>
              <c:strCache>
                <c:ptCount val="14"/>
                <c:pt idx="0">
                  <c:v>202501</c:v>
                </c:pt>
                <c:pt idx="1">
                  <c:v>202502</c:v>
                </c:pt>
                <c:pt idx="2">
                  <c:v>202503</c:v>
                </c:pt>
                <c:pt idx="3">
                  <c:v>202504</c:v>
                </c:pt>
                <c:pt idx="4">
                  <c:v>202505</c:v>
                </c:pt>
                <c:pt idx="5">
                  <c:v>202506</c:v>
                </c:pt>
                <c:pt idx="6">
                  <c:v>202507</c:v>
                </c:pt>
                <c:pt idx="7">
                  <c:v>202508</c:v>
                </c:pt>
                <c:pt idx="8">
                  <c:v>202509</c:v>
                </c:pt>
                <c:pt idx="9">
                  <c:v>202510</c:v>
                </c:pt>
                <c:pt idx="10">
                  <c:v>202511</c:v>
                </c:pt>
                <c:pt idx="11">
                  <c:v>202512</c:v>
                </c:pt>
                <c:pt idx="12">
                  <c:v>202601</c:v>
                </c:pt>
                <c:pt idx="13">
                  <c:v>202602</c:v>
                </c:pt>
              </c:strCache>
            </c:strRef>
          </c:cat>
          <c:val>
            <c:numRef>
              <c:f>Data!$O$126:$AB$126</c:f>
            </c:numRef>
          </c:val>
          <c:smooth val="0"/>
          <c:extLst>
            <c:ext xmlns:c16="http://schemas.microsoft.com/office/drawing/2014/chart" uri="{C3380CC4-5D6E-409C-BE32-E72D297353CC}">
              <c16:uniqueId val="{00000002-CAA7-4703-9389-F3AC93D2FBFA}"/>
            </c:ext>
          </c:extLst>
        </c:ser>
        <c:ser>
          <c:idx val="3"/>
          <c:order val="3"/>
          <c:tx>
            <c:strRef>
              <c:f>Data!$A$127</c:f>
              <c:strCache>
                <c:ptCount val="1"/>
                <c:pt idx="0">
                  <c:v>Huvudintäkter (VGR)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Data!$O$123:$AB$123</c:f>
              <c:strCache>
                <c:ptCount val="14"/>
                <c:pt idx="0">
                  <c:v>202501</c:v>
                </c:pt>
                <c:pt idx="1">
                  <c:v>202502</c:v>
                </c:pt>
                <c:pt idx="2">
                  <c:v>202503</c:v>
                </c:pt>
                <c:pt idx="3">
                  <c:v>202504</c:v>
                </c:pt>
                <c:pt idx="4">
                  <c:v>202505</c:v>
                </c:pt>
                <c:pt idx="5">
                  <c:v>202506</c:v>
                </c:pt>
                <c:pt idx="6">
                  <c:v>202507</c:v>
                </c:pt>
                <c:pt idx="7">
                  <c:v>202508</c:v>
                </c:pt>
                <c:pt idx="8">
                  <c:v>202509</c:v>
                </c:pt>
                <c:pt idx="9">
                  <c:v>202510</c:v>
                </c:pt>
                <c:pt idx="10">
                  <c:v>202511</c:v>
                </c:pt>
                <c:pt idx="11">
                  <c:v>202512</c:v>
                </c:pt>
                <c:pt idx="12">
                  <c:v>202601</c:v>
                </c:pt>
                <c:pt idx="13">
                  <c:v>202602</c:v>
                </c:pt>
              </c:strCache>
            </c:strRef>
          </c:cat>
          <c:val>
            <c:numRef>
              <c:f>Data!$O$127:$AB$127</c:f>
            </c:numRef>
          </c:val>
          <c:smooth val="0"/>
          <c:extLst>
            <c:ext xmlns:c16="http://schemas.microsoft.com/office/drawing/2014/chart" uri="{C3380CC4-5D6E-409C-BE32-E72D297353CC}">
              <c16:uniqueId val="{00000001-201D-4B0F-A89F-69DD72EC9D87}"/>
            </c:ext>
          </c:extLst>
        </c:ser>
        <c:ser>
          <c:idx val="4"/>
          <c:order val="4"/>
          <c:tx>
            <c:strRef>
              <c:f>Data!$A$128</c:f>
              <c:strCache>
                <c:ptCount val="1"/>
                <c:pt idx="0">
                  <c:v>Medical staff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Data!$O$123:$AB$123</c:f>
              <c:strCache>
                <c:ptCount val="14"/>
                <c:pt idx="0">
                  <c:v>202501</c:v>
                </c:pt>
                <c:pt idx="1">
                  <c:v>202502</c:v>
                </c:pt>
                <c:pt idx="2">
                  <c:v>202503</c:v>
                </c:pt>
                <c:pt idx="3">
                  <c:v>202504</c:v>
                </c:pt>
                <c:pt idx="4">
                  <c:v>202505</c:v>
                </c:pt>
                <c:pt idx="5">
                  <c:v>202506</c:v>
                </c:pt>
                <c:pt idx="6">
                  <c:v>202507</c:v>
                </c:pt>
                <c:pt idx="7">
                  <c:v>202508</c:v>
                </c:pt>
                <c:pt idx="8">
                  <c:v>202509</c:v>
                </c:pt>
                <c:pt idx="9">
                  <c:v>202510</c:v>
                </c:pt>
                <c:pt idx="10">
                  <c:v>202511</c:v>
                </c:pt>
                <c:pt idx="11">
                  <c:v>202512</c:v>
                </c:pt>
                <c:pt idx="12">
                  <c:v>202601</c:v>
                </c:pt>
                <c:pt idx="13">
                  <c:v>202602</c:v>
                </c:pt>
              </c:strCache>
            </c:strRef>
          </c:cat>
          <c:val>
            <c:numRef>
              <c:f>Data!$O$128:$AB$128</c:f>
            </c:numRef>
          </c:val>
          <c:smooth val="0"/>
          <c:extLst>
            <c:ext xmlns:c16="http://schemas.microsoft.com/office/drawing/2014/chart" uri="{C3380CC4-5D6E-409C-BE32-E72D297353CC}">
              <c16:uniqueId val="{00000002-201D-4B0F-A89F-69DD72EC9D87}"/>
            </c:ext>
          </c:extLst>
        </c:ser>
        <c:ser>
          <c:idx val="5"/>
          <c:order val="5"/>
          <c:tx>
            <c:strRef>
              <c:f>Data!$A$129</c:f>
              <c:strCache>
                <c:ptCount val="1"/>
                <c:pt idx="0">
                  <c:v>Other direct costs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Data!$O$123:$AB$123</c:f>
              <c:strCache>
                <c:ptCount val="14"/>
                <c:pt idx="0">
                  <c:v>202501</c:v>
                </c:pt>
                <c:pt idx="1">
                  <c:v>202502</c:v>
                </c:pt>
                <c:pt idx="2">
                  <c:v>202503</c:v>
                </c:pt>
                <c:pt idx="3">
                  <c:v>202504</c:v>
                </c:pt>
                <c:pt idx="4">
                  <c:v>202505</c:v>
                </c:pt>
                <c:pt idx="5">
                  <c:v>202506</c:v>
                </c:pt>
                <c:pt idx="6">
                  <c:v>202507</c:v>
                </c:pt>
                <c:pt idx="7">
                  <c:v>202508</c:v>
                </c:pt>
                <c:pt idx="8">
                  <c:v>202509</c:v>
                </c:pt>
                <c:pt idx="9">
                  <c:v>202510</c:v>
                </c:pt>
                <c:pt idx="10">
                  <c:v>202511</c:v>
                </c:pt>
                <c:pt idx="11">
                  <c:v>202512</c:v>
                </c:pt>
                <c:pt idx="12">
                  <c:v>202601</c:v>
                </c:pt>
                <c:pt idx="13">
                  <c:v>202602</c:v>
                </c:pt>
              </c:strCache>
            </c:strRef>
          </c:cat>
          <c:val>
            <c:numRef>
              <c:f>Data!$O$129:$AB$129</c:f>
            </c:numRef>
          </c:val>
          <c:smooth val="0"/>
          <c:extLst>
            <c:ext xmlns:c16="http://schemas.microsoft.com/office/drawing/2014/chart" uri="{C3380CC4-5D6E-409C-BE32-E72D297353CC}">
              <c16:uniqueId val="{00000003-201D-4B0F-A89F-69DD72EC9D8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51495727"/>
        <c:axId val="1551490927"/>
      </c:lineChart>
      <c:catAx>
        <c:axId val="1551495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551490927"/>
        <c:crosses val="autoZero"/>
        <c:auto val="1"/>
        <c:lblAlgn val="ctr"/>
        <c:lblOffset val="100"/>
        <c:noMultiLvlLbl val="0"/>
      </c:catAx>
      <c:valAx>
        <c:axId val="1551490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551495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v-SE"/>
              <a:t>Antal listade patienter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Data!$A$199</c:f>
              <c:strCache>
                <c:ptCount val="1"/>
                <c:pt idx="0">
                  <c:v>Citysjukhuset Plus 7 vårdcentral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Data!$O$198:$AB$198</c:f>
              <c:strCache>
                <c:ptCount val="14"/>
                <c:pt idx="0">
                  <c:v>202501</c:v>
                </c:pt>
                <c:pt idx="1">
                  <c:v>202502</c:v>
                </c:pt>
                <c:pt idx="2">
                  <c:v>202503</c:v>
                </c:pt>
                <c:pt idx="3">
                  <c:v>202504</c:v>
                </c:pt>
                <c:pt idx="4">
                  <c:v>202505</c:v>
                </c:pt>
                <c:pt idx="5">
                  <c:v>202506</c:v>
                </c:pt>
                <c:pt idx="6">
                  <c:v>202507</c:v>
                </c:pt>
                <c:pt idx="7">
                  <c:v>202508</c:v>
                </c:pt>
                <c:pt idx="8">
                  <c:v>202509</c:v>
                </c:pt>
                <c:pt idx="9">
                  <c:v>202510</c:v>
                </c:pt>
                <c:pt idx="10">
                  <c:v>202511</c:v>
                </c:pt>
                <c:pt idx="11">
                  <c:v>202512</c:v>
                </c:pt>
                <c:pt idx="12">
                  <c:v>202601</c:v>
                </c:pt>
                <c:pt idx="13">
                  <c:v>202602</c:v>
                </c:pt>
              </c:strCache>
            </c:strRef>
          </c:cat>
          <c:val>
            <c:numRef>
              <c:f>Data!$O$199:$AB$199</c:f>
            </c:numRef>
          </c:val>
          <c:extLst>
            <c:ext xmlns:c16="http://schemas.microsoft.com/office/drawing/2014/chart" uri="{C3380CC4-5D6E-409C-BE32-E72D297353CC}">
              <c16:uniqueId val="{00000000-9160-45AE-B3EE-B9FB49EB1DDF}"/>
            </c:ext>
          </c:extLst>
        </c:ser>
        <c:ser>
          <c:idx val="1"/>
          <c:order val="1"/>
          <c:tx>
            <c:strRef>
              <c:f>Data!$A$200</c:f>
              <c:strCache>
                <c:ptCount val="1"/>
                <c:pt idx="0">
                  <c:v>Kvarterskliniken Avenyn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Data!$O$198:$AB$198</c:f>
              <c:strCache>
                <c:ptCount val="14"/>
                <c:pt idx="0">
                  <c:v>202501</c:v>
                </c:pt>
                <c:pt idx="1">
                  <c:v>202502</c:v>
                </c:pt>
                <c:pt idx="2">
                  <c:v>202503</c:v>
                </c:pt>
                <c:pt idx="3">
                  <c:v>202504</c:v>
                </c:pt>
                <c:pt idx="4">
                  <c:v>202505</c:v>
                </c:pt>
                <c:pt idx="5">
                  <c:v>202506</c:v>
                </c:pt>
                <c:pt idx="6">
                  <c:v>202507</c:v>
                </c:pt>
                <c:pt idx="7">
                  <c:v>202508</c:v>
                </c:pt>
                <c:pt idx="8">
                  <c:v>202509</c:v>
                </c:pt>
                <c:pt idx="9">
                  <c:v>202510</c:v>
                </c:pt>
                <c:pt idx="10">
                  <c:v>202511</c:v>
                </c:pt>
                <c:pt idx="11">
                  <c:v>202512</c:v>
                </c:pt>
                <c:pt idx="12">
                  <c:v>202601</c:v>
                </c:pt>
                <c:pt idx="13">
                  <c:v>202602</c:v>
                </c:pt>
              </c:strCache>
            </c:strRef>
          </c:cat>
          <c:val>
            <c:numRef>
              <c:f>Data!$O$200:$AB$200</c:f>
            </c:numRef>
          </c:val>
          <c:extLst>
            <c:ext xmlns:c16="http://schemas.microsoft.com/office/drawing/2014/chart" uri="{C3380CC4-5D6E-409C-BE32-E72D297353CC}">
              <c16:uniqueId val="{00000001-9160-45AE-B3EE-B9FB49EB1DDF}"/>
            </c:ext>
          </c:extLst>
        </c:ser>
        <c:ser>
          <c:idx val="2"/>
          <c:order val="2"/>
          <c:tx>
            <c:strRef>
              <c:f>Data!$A$201</c:f>
              <c:strCache>
                <c:ptCount val="1"/>
                <c:pt idx="0">
                  <c:v>Kvarterskliniken Husaren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Data!$O$198:$AB$198</c:f>
              <c:strCache>
                <c:ptCount val="14"/>
                <c:pt idx="0">
                  <c:v>202501</c:v>
                </c:pt>
                <c:pt idx="1">
                  <c:v>202502</c:v>
                </c:pt>
                <c:pt idx="2">
                  <c:v>202503</c:v>
                </c:pt>
                <c:pt idx="3">
                  <c:v>202504</c:v>
                </c:pt>
                <c:pt idx="4">
                  <c:v>202505</c:v>
                </c:pt>
                <c:pt idx="5">
                  <c:v>202506</c:v>
                </c:pt>
                <c:pt idx="6">
                  <c:v>202507</c:v>
                </c:pt>
                <c:pt idx="7">
                  <c:v>202508</c:v>
                </c:pt>
                <c:pt idx="8">
                  <c:v>202509</c:v>
                </c:pt>
                <c:pt idx="9">
                  <c:v>202510</c:v>
                </c:pt>
                <c:pt idx="10">
                  <c:v>202511</c:v>
                </c:pt>
                <c:pt idx="11">
                  <c:v>202512</c:v>
                </c:pt>
                <c:pt idx="12">
                  <c:v>202601</c:v>
                </c:pt>
                <c:pt idx="13">
                  <c:v>202602</c:v>
                </c:pt>
              </c:strCache>
            </c:strRef>
          </c:cat>
          <c:val>
            <c:numRef>
              <c:f>Data!$O$201:$AB$201</c:f>
            </c:numRef>
          </c:val>
          <c:extLst>
            <c:ext xmlns:c16="http://schemas.microsoft.com/office/drawing/2014/chart" uri="{C3380CC4-5D6E-409C-BE32-E72D297353CC}">
              <c16:uniqueId val="{00000002-9160-45AE-B3EE-B9FB49EB1DDF}"/>
            </c:ext>
          </c:extLst>
        </c:ser>
        <c:ser>
          <c:idx val="3"/>
          <c:order val="3"/>
          <c:tx>
            <c:strRef>
              <c:f>Data!$A$202</c:f>
              <c:strCache>
                <c:ptCount val="1"/>
                <c:pt idx="0">
                  <c:v>Kvarterskliniken Karlastaden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Data!$O$198:$AB$198</c:f>
              <c:strCache>
                <c:ptCount val="14"/>
                <c:pt idx="0">
                  <c:v>202501</c:v>
                </c:pt>
                <c:pt idx="1">
                  <c:v>202502</c:v>
                </c:pt>
                <c:pt idx="2">
                  <c:v>202503</c:v>
                </c:pt>
                <c:pt idx="3">
                  <c:v>202504</c:v>
                </c:pt>
                <c:pt idx="4">
                  <c:v>202505</c:v>
                </c:pt>
                <c:pt idx="5">
                  <c:v>202506</c:v>
                </c:pt>
                <c:pt idx="6">
                  <c:v>202507</c:v>
                </c:pt>
                <c:pt idx="7">
                  <c:v>202508</c:v>
                </c:pt>
                <c:pt idx="8">
                  <c:v>202509</c:v>
                </c:pt>
                <c:pt idx="9">
                  <c:v>202510</c:v>
                </c:pt>
                <c:pt idx="10">
                  <c:v>202511</c:v>
                </c:pt>
                <c:pt idx="11">
                  <c:v>202512</c:v>
                </c:pt>
                <c:pt idx="12">
                  <c:v>202601</c:v>
                </c:pt>
                <c:pt idx="13">
                  <c:v>202602</c:v>
                </c:pt>
              </c:strCache>
            </c:strRef>
          </c:cat>
          <c:val>
            <c:numRef>
              <c:f>Data!$O$202:$AB$202</c:f>
            </c:numRef>
          </c:val>
          <c:extLst>
            <c:ext xmlns:c16="http://schemas.microsoft.com/office/drawing/2014/chart" uri="{C3380CC4-5D6E-409C-BE32-E72D297353CC}">
              <c16:uniqueId val="{00000003-9160-45AE-B3EE-B9FB49EB1DDF}"/>
            </c:ext>
          </c:extLst>
        </c:ser>
        <c:ser>
          <c:idx val="4"/>
          <c:order val="4"/>
          <c:tx>
            <c:strRef>
              <c:f>Data!$A$203</c:f>
              <c:strCache>
                <c:ptCount val="1"/>
                <c:pt idx="0">
                  <c:v>Kvarterskliniken Lorensberg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Data!$O$198:$AB$198</c:f>
              <c:strCache>
                <c:ptCount val="14"/>
                <c:pt idx="0">
                  <c:v>202501</c:v>
                </c:pt>
                <c:pt idx="1">
                  <c:v>202502</c:v>
                </c:pt>
                <c:pt idx="2">
                  <c:v>202503</c:v>
                </c:pt>
                <c:pt idx="3">
                  <c:v>202504</c:v>
                </c:pt>
                <c:pt idx="4">
                  <c:v>202505</c:v>
                </c:pt>
                <c:pt idx="5">
                  <c:v>202506</c:v>
                </c:pt>
                <c:pt idx="6">
                  <c:v>202507</c:v>
                </c:pt>
                <c:pt idx="7">
                  <c:v>202508</c:v>
                </c:pt>
                <c:pt idx="8">
                  <c:v>202509</c:v>
                </c:pt>
                <c:pt idx="9">
                  <c:v>202510</c:v>
                </c:pt>
                <c:pt idx="10">
                  <c:v>202511</c:v>
                </c:pt>
                <c:pt idx="11">
                  <c:v>202512</c:v>
                </c:pt>
                <c:pt idx="12">
                  <c:v>202601</c:v>
                </c:pt>
                <c:pt idx="13">
                  <c:v>202602</c:v>
                </c:pt>
              </c:strCache>
            </c:strRef>
          </c:cat>
          <c:val>
            <c:numRef>
              <c:f>Data!$O$203:$AB$203</c:f>
            </c:numRef>
          </c:val>
          <c:extLst>
            <c:ext xmlns:c16="http://schemas.microsoft.com/office/drawing/2014/chart" uri="{C3380CC4-5D6E-409C-BE32-E72D297353CC}">
              <c16:uniqueId val="{00000004-9160-45AE-B3EE-B9FB49EB1DDF}"/>
            </c:ext>
          </c:extLst>
        </c:ser>
        <c:ser>
          <c:idx val="5"/>
          <c:order val="5"/>
          <c:tx>
            <c:strRef>
              <c:f>Data!$A$204</c:f>
              <c:strCache>
                <c:ptCount val="1"/>
                <c:pt idx="0">
                  <c:v>Omtanken Vårdcentral Frölunda Torg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Data!$O$198:$AB$198</c:f>
              <c:strCache>
                <c:ptCount val="14"/>
                <c:pt idx="0">
                  <c:v>202501</c:v>
                </c:pt>
                <c:pt idx="1">
                  <c:v>202502</c:v>
                </c:pt>
                <c:pt idx="2">
                  <c:v>202503</c:v>
                </c:pt>
                <c:pt idx="3">
                  <c:v>202504</c:v>
                </c:pt>
                <c:pt idx="4">
                  <c:v>202505</c:v>
                </c:pt>
                <c:pt idx="5">
                  <c:v>202506</c:v>
                </c:pt>
                <c:pt idx="6">
                  <c:v>202507</c:v>
                </c:pt>
                <c:pt idx="7">
                  <c:v>202508</c:v>
                </c:pt>
                <c:pt idx="8">
                  <c:v>202509</c:v>
                </c:pt>
                <c:pt idx="9">
                  <c:v>202510</c:v>
                </c:pt>
                <c:pt idx="10">
                  <c:v>202511</c:v>
                </c:pt>
                <c:pt idx="11">
                  <c:v>202512</c:v>
                </c:pt>
                <c:pt idx="12">
                  <c:v>202601</c:v>
                </c:pt>
                <c:pt idx="13">
                  <c:v>202602</c:v>
                </c:pt>
              </c:strCache>
            </c:strRef>
          </c:cat>
          <c:val>
            <c:numRef>
              <c:f>Data!$O$204:$AB$204</c:f>
            </c:numRef>
          </c:val>
          <c:extLst>
            <c:ext xmlns:c16="http://schemas.microsoft.com/office/drawing/2014/chart" uri="{C3380CC4-5D6E-409C-BE32-E72D297353CC}">
              <c16:uniqueId val="{00000005-9160-45AE-B3EE-B9FB49EB1DDF}"/>
            </c:ext>
          </c:extLst>
        </c:ser>
        <c:ser>
          <c:idx val="6"/>
          <c:order val="6"/>
          <c:tx>
            <c:strRef>
              <c:f>Data!$A$205</c:f>
              <c:strCache>
                <c:ptCount val="1"/>
                <c:pt idx="0">
                  <c:v>Omtanken Vårdcentral Grimmered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Data!$O$198:$AB$198</c:f>
              <c:strCache>
                <c:ptCount val="14"/>
                <c:pt idx="0">
                  <c:v>202501</c:v>
                </c:pt>
                <c:pt idx="1">
                  <c:v>202502</c:v>
                </c:pt>
                <c:pt idx="2">
                  <c:v>202503</c:v>
                </c:pt>
                <c:pt idx="3">
                  <c:v>202504</c:v>
                </c:pt>
                <c:pt idx="4">
                  <c:v>202505</c:v>
                </c:pt>
                <c:pt idx="5">
                  <c:v>202506</c:v>
                </c:pt>
                <c:pt idx="6">
                  <c:v>202507</c:v>
                </c:pt>
                <c:pt idx="7">
                  <c:v>202508</c:v>
                </c:pt>
                <c:pt idx="8">
                  <c:v>202509</c:v>
                </c:pt>
                <c:pt idx="9">
                  <c:v>202510</c:v>
                </c:pt>
                <c:pt idx="10">
                  <c:v>202511</c:v>
                </c:pt>
                <c:pt idx="11">
                  <c:v>202512</c:v>
                </c:pt>
                <c:pt idx="12">
                  <c:v>202601</c:v>
                </c:pt>
                <c:pt idx="13">
                  <c:v>202602</c:v>
                </c:pt>
              </c:strCache>
            </c:strRef>
          </c:cat>
          <c:val>
            <c:numRef>
              <c:f>Data!$O$205:$AB$205</c:f>
            </c:numRef>
          </c:val>
          <c:extLst>
            <c:ext xmlns:c16="http://schemas.microsoft.com/office/drawing/2014/chart" uri="{C3380CC4-5D6E-409C-BE32-E72D297353CC}">
              <c16:uniqueId val="{00000001-D814-41EA-AC5A-4429EF36A363}"/>
            </c:ext>
          </c:extLst>
        </c:ser>
        <c:ser>
          <c:idx val="7"/>
          <c:order val="7"/>
          <c:tx>
            <c:strRef>
              <c:f>Data!$A$206</c:f>
              <c:strCache>
                <c:ptCount val="1"/>
                <c:pt idx="0">
                  <c:v>Omtanken Vårdcentral Kviberg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Data!$O$198:$AB$198</c:f>
              <c:strCache>
                <c:ptCount val="14"/>
                <c:pt idx="0">
                  <c:v>202501</c:v>
                </c:pt>
                <c:pt idx="1">
                  <c:v>202502</c:v>
                </c:pt>
                <c:pt idx="2">
                  <c:v>202503</c:v>
                </c:pt>
                <c:pt idx="3">
                  <c:v>202504</c:v>
                </c:pt>
                <c:pt idx="4">
                  <c:v>202505</c:v>
                </c:pt>
                <c:pt idx="5">
                  <c:v>202506</c:v>
                </c:pt>
                <c:pt idx="6">
                  <c:v>202507</c:v>
                </c:pt>
                <c:pt idx="7">
                  <c:v>202508</c:v>
                </c:pt>
                <c:pt idx="8">
                  <c:v>202509</c:v>
                </c:pt>
                <c:pt idx="9">
                  <c:v>202510</c:v>
                </c:pt>
                <c:pt idx="10">
                  <c:v>202511</c:v>
                </c:pt>
                <c:pt idx="11">
                  <c:v>202512</c:v>
                </c:pt>
                <c:pt idx="12">
                  <c:v>202601</c:v>
                </c:pt>
                <c:pt idx="13">
                  <c:v>202602</c:v>
                </c:pt>
              </c:strCache>
            </c:strRef>
          </c:cat>
          <c:val>
            <c:numRef>
              <c:f>Data!$O$206:$AB$206</c:f>
            </c:numRef>
          </c:val>
          <c:extLst>
            <c:ext xmlns:c16="http://schemas.microsoft.com/office/drawing/2014/chart" uri="{C3380CC4-5D6E-409C-BE32-E72D297353CC}">
              <c16:uniqueId val="{00000002-D814-41EA-AC5A-4429EF36A363}"/>
            </c:ext>
          </c:extLst>
        </c:ser>
        <c:ser>
          <c:idx val="8"/>
          <c:order val="8"/>
          <c:tx>
            <c:strRef>
              <c:f>Data!$A$207</c:f>
              <c:strCache>
                <c:ptCount val="1"/>
                <c:pt idx="0">
                  <c:v>Omtanken Vårdcentral Kållered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Data!$O$198:$AB$198</c:f>
              <c:strCache>
                <c:ptCount val="14"/>
                <c:pt idx="0">
                  <c:v>202501</c:v>
                </c:pt>
                <c:pt idx="1">
                  <c:v>202502</c:v>
                </c:pt>
                <c:pt idx="2">
                  <c:v>202503</c:v>
                </c:pt>
                <c:pt idx="3">
                  <c:v>202504</c:v>
                </c:pt>
                <c:pt idx="4">
                  <c:v>202505</c:v>
                </c:pt>
                <c:pt idx="5">
                  <c:v>202506</c:v>
                </c:pt>
                <c:pt idx="6">
                  <c:v>202507</c:v>
                </c:pt>
                <c:pt idx="7">
                  <c:v>202508</c:v>
                </c:pt>
                <c:pt idx="8">
                  <c:v>202509</c:v>
                </c:pt>
                <c:pt idx="9">
                  <c:v>202510</c:v>
                </c:pt>
                <c:pt idx="10">
                  <c:v>202511</c:v>
                </c:pt>
                <c:pt idx="11">
                  <c:v>202512</c:v>
                </c:pt>
                <c:pt idx="12">
                  <c:v>202601</c:v>
                </c:pt>
                <c:pt idx="13">
                  <c:v>202602</c:v>
                </c:pt>
              </c:strCache>
            </c:strRef>
          </c:cat>
          <c:val>
            <c:numRef>
              <c:f>Data!$O$207:$AB$207</c:f>
              <c:numCache>
                <c:formatCode>General</c:formatCode>
                <c:ptCount val="14"/>
                <c:pt idx="0">
                  <c:v>1556</c:v>
                </c:pt>
                <c:pt idx="1">
                  <c:v>1558</c:v>
                </c:pt>
                <c:pt idx="2">
                  <c:v>1567</c:v>
                </c:pt>
                <c:pt idx="3">
                  <c:v>1553</c:v>
                </c:pt>
                <c:pt idx="4">
                  <c:v>1541</c:v>
                </c:pt>
                <c:pt idx="5">
                  <c:v>1541</c:v>
                </c:pt>
                <c:pt idx="6">
                  <c:v>1539</c:v>
                </c:pt>
                <c:pt idx="7">
                  <c:v>1539</c:v>
                </c:pt>
                <c:pt idx="8">
                  <c:v>1527</c:v>
                </c:pt>
                <c:pt idx="9">
                  <c:v>1519</c:v>
                </c:pt>
                <c:pt idx="10">
                  <c:v>1511</c:v>
                </c:pt>
                <c:pt idx="11">
                  <c:v>1528</c:v>
                </c:pt>
                <c:pt idx="12">
                  <c:v>1541</c:v>
                </c:pt>
                <c:pt idx="13">
                  <c:v>1535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814-41EA-AC5A-4429EF36A363}"/>
            </c:ext>
          </c:extLst>
        </c:ser>
        <c:ser>
          <c:idx val="9"/>
          <c:order val="9"/>
          <c:tx>
            <c:strRef>
              <c:f>Data!$A$208</c:f>
              <c:strCache>
                <c:ptCount val="1"/>
                <c:pt idx="0">
                  <c:v>Omtanken Vårdcentral Landala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Data!$O$198:$AB$198</c:f>
              <c:strCache>
                <c:ptCount val="14"/>
                <c:pt idx="0">
                  <c:v>202501</c:v>
                </c:pt>
                <c:pt idx="1">
                  <c:v>202502</c:v>
                </c:pt>
                <c:pt idx="2">
                  <c:v>202503</c:v>
                </c:pt>
                <c:pt idx="3">
                  <c:v>202504</c:v>
                </c:pt>
                <c:pt idx="4">
                  <c:v>202505</c:v>
                </c:pt>
                <c:pt idx="5">
                  <c:v>202506</c:v>
                </c:pt>
                <c:pt idx="6">
                  <c:v>202507</c:v>
                </c:pt>
                <c:pt idx="7">
                  <c:v>202508</c:v>
                </c:pt>
                <c:pt idx="8">
                  <c:v>202509</c:v>
                </c:pt>
                <c:pt idx="9">
                  <c:v>202510</c:v>
                </c:pt>
                <c:pt idx="10">
                  <c:v>202511</c:v>
                </c:pt>
                <c:pt idx="11">
                  <c:v>202512</c:v>
                </c:pt>
                <c:pt idx="12">
                  <c:v>202601</c:v>
                </c:pt>
                <c:pt idx="13">
                  <c:v>202602</c:v>
                </c:pt>
              </c:strCache>
            </c:strRef>
          </c:cat>
          <c:val>
            <c:numRef>
              <c:f>Data!$O$208:$AB$208</c:f>
            </c:numRef>
          </c:val>
          <c:extLst>
            <c:ext xmlns:c16="http://schemas.microsoft.com/office/drawing/2014/chart" uri="{C3380CC4-5D6E-409C-BE32-E72D297353CC}">
              <c16:uniqueId val="{00000004-D814-41EA-AC5A-4429EF36A363}"/>
            </c:ext>
          </c:extLst>
        </c:ser>
        <c:ser>
          <c:idx val="10"/>
          <c:order val="10"/>
          <c:tx>
            <c:strRef>
              <c:f>Data!$A$209</c:f>
              <c:strCache>
                <c:ptCount val="1"/>
                <c:pt idx="0">
                  <c:v>Omtanken Vårdcentral Majorna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Data!$O$198:$AB$198</c:f>
              <c:strCache>
                <c:ptCount val="14"/>
                <c:pt idx="0">
                  <c:v>202501</c:v>
                </c:pt>
                <c:pt idx="1">
                  <c:v>202502</c:v>
                </c:pt>
                <c:pt idx="2">
                  <c:v>202503</c:v>
                </c:pt>
                <c:pt idx="3">
                  <c:v>202504</c:v>
                </c:pt>
                <c:pt idx="4">
                  <c:v>202505</c:v>
                </c:pt>
                <c:pt idx="5">
                  <c:v>202506</c:v>
                </c:pt>
                <c:pt idx="6">
                  <c:v>202507</c:v>
                </c:pt>
                <c:pt idx="7">
                  <c:v>202508</c:v>
                </c:pt>
                <c:pt idx="8">
                  <c:v>202509</c:v>
                </c:pt>
                <c:pt idx="9">
                  <c:v>202510</c:v>
                </c:pt>
                <c:pt idx="10">
                  <c:v>202511</c:v>
                </c:pt>
                <c:pt idx="11">
                  <c:v>202512</c:v>
                </c:pt>
                <c:pt idx="12">
                  <c:v>202601</c:v>
                </c:pt>
                <c:pt idx="13">
                  <c:v>202602</c:v>
                </c:pt>
              </c:strCache>
            </c:strRef>
          </c:cat>
          <c:val>
            <c:numRef>
              <c:f>Data!$O$209:$AB$209</c:f>
            </c:numRef>
          </c:val>
          <c:extLst>
            <c:ext xmlns:c16="http://schemas.microsoft.com/office/drawing/2014/chart" uri="{C3380CC4-5D6E-409C-BE32-E72D297353CC}">
              <c16:uniqueId val="{00000005-D814-41EA-AC5A-4429EF36A363}"/>
            </c:ext>
          </c:extLst>
        </c:ser>
        <c:ser>
          <c:idx val="11"/>
          <c:order val="11"/>
          <c:tx>
            <c:strRef>
              <c:f>Data!$A$210</c:f>
              <c:strCache>
                <c:ptCount val="1"/>
                <c:pt idx="0">
                  <c:v>Omtanken Vårdcentral Olskroken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Data!$O$198:$AB$198</c:f>
              <c:strCache>
                <c:ptCount val="14"/>
                <c:pt idx="0">
                  <c:v>202501</c:v>
                </c:pt>
                <c:pt idx="1">
                  <c:v>202502</c:v>
                </c:pt>
                <c:pt idx="2">
                  <c:v>202503</c:v>
                </c:pt>
                <c:pt idx="3">
                  <c:v>202504</c:v>
                </c:pt>
                <c:pt idx="4">
                  <c:v>202505</c:v>
                </c:pt>
                <c:pt idx="5">
                  <c:v>202506</c:v>
                </c:pt>
                <c:pt idx="6">
                  <c:v>202507</c:v>
                </c:pt>
                <c:pt idx="7">
                  <c:v>202508</c:v>
                </c:pt>
                <c:pt idx="8">
                  <c:v>202509</c:v>
                </c:pt>
                <c:pt idx="9">
                  <c:v>202510</c:v>
                </c:pt>
                <c:pt idx="10">
                  <c:v>202511</c:v>
                </c:pt>
                <c:pt idx="11">
                  <c:v>202512</c:v>
                </c:pt>
                <c:pt idx="12">
                  <c:v>202601</c:v>
                </c:pt>
                <c:pt idx="13">
                  <c:v>202602</c:v>
                </c:pt>
              </c:strCache>
            </c:strRef>
          </c:cat>
          <c:val>
            <c:numRef>
              <c:f>Data!$O$210:$AB$210</c:f>
            </c:numRef>
          </c:val>
          <c:extLst>
            <c:ext xmlns:c16="http://schemas.microsoft.com/office/drawing/2014/chart" uri="{C3380CC4-5D6E-409C-BE32-E72D297353CC}">
              <c16:uniqueId val="{00000006-D814-41EA-AC5A-4429EF36A363}"/>
            </c:ext>
          </c:extLst>
        </c:ser>
        <c:ser>
          <c:idx val="12"/>
          <c:order val="12"/>
          <c:tx>
            <c:strRef>
              <c:f>Data!$A$211</c:f>
              <c:strCache>
                <c:ptCount val="1"/>
                <c:pt idx="0">
                  <c:v>Omtanken Vårdcentral Pedagogen Park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Data!$O$198:$AB$198</c:f>
              <c:strCache>
                <c:ptCount val="14"/>
                <c:pt idx="0">
                  <c:v>202501</c:v>
                </c:pt>
                <c:pt idx="1">
                  <c:v>202502</c:v>
                </c:pt>
                <c:pt idx="2">
                  <c:v>202503</c:v>
                </c:pt>
                <c:pt idx="3">
                  <c:v>202504</c:v>
                </c:pt>
                <c:pt idx="4">
                  <c:v>202505</c:v>
                </c:pt>
                <c:pt idx="5">
                  <c:v>202506</c:v>
                </c:pt>
                <c:pt idx="6">
                  <c:v>202507</c:v>
                </c:pt>
                <c:pt idx="7">
                  <c:v>202508</c:v>
                </c:pt>
                <c:pt idx="8">
                  <c:v>202509</c:v>
                </c:pt>
                <c:pt idx="9">
                  <c:v>202510</c:v>
                </c:pt>
                <c:pt idx="10">
                  <c:v>202511</c:v>
                </c:pt>
                <c:pt idx="11">
                  <c:v>202512</c:v>
                </c:pt>
                <c:pt idx="12">
                  <c:v>202601</c:v>
                </c:pt>
                <c:pt idx="13">
                  <c:v>202602</c:v>
                </c:pt>
              </c:strCache>
            </c:strRef>
          </c:cat>
          <c:val>
            <c:numRef>
              <c:f>Data!$O$211:$AB$211</c:f>
            </c:numRef>
          </c:val>
          <c:extLst>
            <c:ext xmlns:c16="http://schemas.microsoft.com/office/drawing/2014/chart" uri="{C3380CC4-5D6E-409C-BE32-E72D297353CC}">
              <c16:uniqueId val="{00000007-D814-41EA-AC5A-4429EF36A363}"/>
            </c:ext>
          </c:extLst>
        </c:ser>
        <c:ser>
          <c:idx val="13"/>
          <c:order val="13"/>
          <c:tx>
            <c:strRef>
              <c:f>Data!$A$212</c:f>
              <c:strCache>
                <c:ptCount val="1"/>
                <c:pt idx="0">
                  <c:v>Omtanken Vårdcentral Åby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Data!$O$198:$AB$198</c:f>
              <c:strCache>
                <c:ptCount val="14"/>
                <c:pt idx="0">
                  <c:v>202501</c:v>
                </c:pt>
                <c:pt idx="1">
                  <c:v>202502</c:v>
                </c:pt>
                <c:pt idx="2">
                  <c:v>202503</c:v>
                </c:pt>
                <c:pt idx="3">
                  <c:v>202504</c:v>
                </c:pt>
                <c:pt idx="4">
                  <c:v>202505</c:v>
                </c:pt>
                <c:pt idx="5">
                  <c:v>202506</c:v>
                </c:pt>
                <c:pt idx="6">
                  <c:v>202507</c:v>
                </c:pt>
                <c:pt idx="7">
                  <c:v>202508</c:v>
                </c:pt>
                <c:pt idx="8">
                  <c:v>202509</c:v>
                </c:pt>
                <c:pt idx="9">
                  <c:v>202510</c:v>
                </c:pt>
                <c:pt idx="10">
                  <c:v>202511</c:v>
                </c:pt>
                <c:pt idx="11">
                  <c:v>202512</c:v>
                </c:pt>
                <c:pt idx="12">
                  <c:v>202601</c:v>
                </c:pt>
                <c:pt idx="13">
                  <c:v>202602</c:v>
                </c:pt>
              </c:strCache>
            </c:strRef>
          </c:cat>
          <c:val>
            <c:numRef>
              <c:f>Data!$O$212:$AB$212</c:f>
            </c:numRef>
          </c:val>
          <c:extLst>
            <c:ext xmlns:c16="http://schemas.microsoft.com/office/drawing/2014/chart" uri="{C3380CC4-5D6E-409C-BE32-E72D297353CC}">
              <c16:uniqueId val="{00000008-D814-41EA-AC5A-4429EF36A36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53928160"/>
        <c:axId val="753940160"/>
      </c:barChart>
      <c:catAx>
        <c:axId val="753928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753940160"/>
        <c:crosses val="autoZero"/>
        <c:auto val="1"/>
        <c:lblAlgn val="ctr"/>
        <c:lblOffset val="100"/>
        <c:noMultiLvlLbl val="0"/>
      </c:catAx>
      <c:valAx>
        <c:axId val="753940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753928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Data!$A$241</c:f>
              <c:strCache>
                <c:ptCount val="1"/>
                <c:pt idx="0">
                  <c:v>Listning AO Stor-GBG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Data!$O$240:$AB$240</c:f>
              <c:strCache>
                <c:ptCount val="14"/>
                <c:pt idx="0">
                  <c:v>202501</c:v>
                </c:pt>
                <c:pt idx="1">
                  <c:v>202502</c:v>
                </c:pt>
                <c:pt idx="2">
                  <c:v>202503</c:v>
                </c:pt>
                <c:pt idx="3">
                  <c:v>202504</c:v>
                </c:pt>
                <c:pt idx="4">
                  <c:v>202505</c:v>
                </c:pt>
                <c:pt idx="5">
                  <c:v>202506</c:v>
                </c:pt>
                <c:pt idx="6">
                  <c:v>202507</c:v>
                </c:pt>
                <c:pt idx="7">
                  <c:v>202508</c:v>
                </c:pt>
                <c:pt idx="8">
                  <c:v>202509</c:v>
                </c:pt>
                <c:pt idx="9">
                  <c:v>202510</c:v>
                </c:pt>
                <c:pt idx="10">
                  <c:v>202511</c:v>
                </c:pt>
                <c:pt idx="11">
                  <c:v>202512</c:v>
                </c:pt>
                <c:pt idx="12">
                  <c:v>202601</c:v>
                </c:pt>
                <c:pt idx="13">
                  <c:v>202602</c:v>
                </c:pt>
              </c:strCache>
            </c:strRef>
          </c:cat>
          <c:val>
            <c:numRef>
              <c:f>Data!$O$241:$AB$241</c:f>
              <c:numCache>
                <c:formatCode>General</c:formatCode>
                <c:ptCount val="14"/>
                <c:pt idx="0">
                  <c:v>68602</c:v>
                </c:pt>
                <c:pt idx="1">
                  <c:v>68725</c:v>
                </c:pt>
                <c:pt idx="2">
                  <c:v>68934</c:v>
                </c:pt>
                <c:pt idx="3">
                  <c:v>68872</c:v>
                </c:pt>
                <c:pt idx="4">
                  <c:v>68851</c:v>
                </c:pt>
                <c:pt idx="5">
                  <c:v>68761</c:v>
                </c:pt>
                <c:pt idx="6">
                  <c:v>68682</c:v>
                </c:pt>
                <c:pt idx="7">
                  <c:v>68876</c:v>
                </c:pt>
                <c:pt idx="8">
                  <c:v>68910</c:v>
                </c:pt>
                <c:pt idx="9">
                  <c:v>68911</c:v>
                </c:pt>
                <c:pt idx="10">
                  <c:v>68849</c:v>
                </c:pt>
                <c:pt idx="11">
                  <c:v>68799</c:v>
                </c:pt>
                <c:pt idx="12">
                  <c:v>68799</c:v>
                </c:pt>
                <c:pt idx="13">
                  <c:v>68777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A7-4BF8-9940-78B7A23DC77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03857103"/>
        <c:axId val="303861423"/>
      </c:barChart>
      <c:catAx>
        <c:axId val="303857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303861423"/>
        <c:crosses val="autoZero"/>
        <c:auto val="1"/>
        <c:lblAlgn val="ctr"/>
        <c:lblOffset val="100"/>
        <c:noMultiLvlLbl val="0"/>
      </c:catAx>
      <c:valAx>
        <c:axId val="303861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303857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Data!$A$265</c:f>
              <c:strCache>
                <c:ptCount val="1"/>
                <c:pt idx="0">
                  <c:v>Medelvärde AO Stor-GBG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Data!$Q$264:$AB$264</c:f>
              <c:strCache>
                <c:ptCount val="12"/>
                <c:pt idx="0">
                  <c:v>202503</c:v>
                </c:pt>
                <c:pt idx="1">
                  <c:v>202504</c:v>
                </c:pt>
                <c:pt idx="2">
                  <c:v>202505</c:v>
                </c:pt>
                <c:pt idx="3">
                  <c:v>202506</c:v>
                </c:pt>
                <c:pt idx="4">
                  <c:v>202507</c:v>
                </c:pt>
                <c:pt idx="5">
                  <c:v>202508</c:v>
                </c:pt>
                <c:pt idx="6">
                  <c:v>202509</c:v>
                </c:pt>
                <c:pt idx="7">
                  <c:v>202510</c:v>
                </c:pt>
                <c:pt idx="8">
                  <c:v>202511</c:v>
                </c:pt>
                <c:pt idx="9">
                  <c:v>202512</c:v>
                </c:pt>
                <c:pt idx="10">
                  <c:v>202601</c:v>
                </c:pt>
                <c:pt idx="11">
                  <c:v>202602</c:v>
                </c:pt>
              </c:strCache>
            </c:strRef>
          </c:cat>
          <c:val>
            <c:numRef>
              <c:f>Data!$Q$265:$AB$265</c:f>
              <c:numCache>
                <c:formatCode>0.00000</c:formatCode>
                <c:ptCount val="12"/>
                <c:pt idx="0">
                  <c:v>0.91267813652336804</c:v>
                </c:pt>
                <c:pt idx="1">
                  <c:v>0.91432238358479867</c:v>
                </c:pt>
                <c:pt idx="2">
                  <c:v>0.91965280979669761</c:v>
                </c:pt>
                <c:pt idx="3">
                  <c:v>0.9218379599105645</c:v>
                </c:pt>
                <c:pt idx="4">
                  <c:v>0.92279999977650218</c:v>
                </c:pt>
                <c:pt idx="5">
                  <c:v>0.91800734760332703</c:v>
                </c:pt>
                <c:pt idx="6">
                  <c:v>0.91743684007097559</c:v>
                </c:pt>
                <c:pt idx="7">
                  <c:v>0.91936211849134042</c:v>
                </c:pt>
                <c:pt idx="8">
                  <c:v>0.91949651278710598</c:v>
                </c:pt>
                <c:pt idx="9">
                  <c:v>0.92491243128534784</c:v>
                </c:pt>
                <c:pt idx="10">
                  <c:v>0.9248037402296696</c:v>
                </c:pt>
                <c:pt idx="11">
                  <c:v>0.92737585733666461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6B-4DA9-8036-7F896E31C45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731668176"/>
        <c:axId val="1731660976"/>
      </c:lineChart>
      <c:catAx>
        <c:axId val="1731668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731660976"/>
        <c:crosses val="autoZero"/>
        <c:auto val="1"/>
        <c:lblAlgn val="ctr"/>
        <c:lblOffset val="100"/>
        <c:noMultiLvlLbl val="0"/>
      </c:catAx>
      <c:valAx>
        <c:axId val="1731660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731668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Data!$A$154</c:f>
              <c:strCache>
                <c:ptCount val="1"/>
                <c:pt idx="0">
                  <c:v>Citysjukhuset Plus 7 vårdcentral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Data!$P$153:$AB$153</c:f>
              <c:strCache>
                <c:ptCount val="13"/>
                <c:pt idx="0">
                  <c:v>202502</c:v>
                </c:pt>
                <c:pt idx="1">
                  <c:v>202503</c:v>
                </c:pt>
                <c:pt idx="2">
                  <c:v>202504</c:v>
                </c:pt>
                <c:pt idx="3">
                  <c:v>202505</c:v>
                </c:pt>
                <c:pt idx="4">
                  <c:v>202506</c:v>
                </c:pt>
                <c:pt idx="5">
                  <c:v>202507</c:v>
                </c:pt>
                <c:pt idx="6">
                  <c:v>202508</c:v>
                </c:pt>
                <c:pt idx="7">
                  <c:v>202509</c:v>
                </c:pt>
                <c:pt idx="8">
                  <c:v>202510</c:v>
                </c:pt>
                <c:pt idx="9">
                  <c:v>202511</c:v>
                </c:pt>
                <c:pt idx="10">
                  <c:v>202512</c:v>
                </c:pt>
                <c:pt idx="11">
                  <c:v>202601</c:v>
                </c:pt>
                <c:pt idx="12">
                  <c:v>202602</c:v>
                </c:pt>
              </c:strCache>
            </c:strRef>
          </c:cat>
          <c:val>
            <c:numRef>
              <c:f>Data!$P$154:$AB$154</c:f>
              <c:numCache>
                <c:formatCode>0.000</c:formatCode>
                <c:ptCount val="13"/>
                <c:pt idx="0">
                  <c:v>0.91926722425207397</c:v>
                </c:pt>
                <c:pt idx="1">
                  <c:v>0.93233529069834997</c:v>
                </c:pt>
                <c:pt idx="2">
                  <c:v>0.94249874113362797</c:v>
                </c:pt>
                <c:pt idx="3">
                  <c:v>0.95107247840893505</c:v>
                </c:pt>
                <c:pt idx="4">
                  <c:v>0.951907019851434</c:v>
                </c:pt>
                <c:pt idx="5">
                  <c:v>0.96322926564829003</c:v>
                </c:pt>
                <c:pt idx="6">
                  <c:v>0.96961355370487001</c:v>
                </c:pt>
                <c:pt idx="7">
                  <c:v>0.98133214857495998</c:v>
                </c:pt>
                <c:pt idx="8">
                  <c:v>0.99035259023644395</c:v>
                </c:pt>
                <c:pt idx="9">
                  <c:v>0.99304918562342803</c:v>
                </c:pt>
                <c:pt idx="10">
                  <c:v>1.014383537697491</c:v>
                </c:pt>
                <c:pt idx="11">
                  <c:v>1.0067128606387601</c:v>
                </c:pt>
                <c:pt idx="12">
                  <c:v>1.0059425347595441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FC-48C7-91AC-CB3DB7F0F492}"/>
            </c:ext>
          </c:extLst>
        </c:ser>
        <c:ser>
          <c:idx val="1"/>
          <c:order val="1"/>
          <c:tx>
            <c:strRef>
              <c:f>Data!$A$155</c:f>
              <c:strCache>
                <c:ptCount val="1"/>
                <c:pt idx="0">
                  <c:v>Kvarterskliniken Avenyn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Data!$P$153:$AB$153</c:f>
              <c:strCache>
                <c:ptCount val="13"/>
                <c:pt idx="0">
                  <c:v>202502</c:v>
                </c:pt>
                <c:pt idx="1">
                  <c:v>202503</c:v>
                </c:pt>
                <c:pt idx="2">
                  <c:v>202504</c:v>
                </c:pt>
                <c:pt idx="3">
                  <c:v>202505</c:v>
                </c:pt>
                <c:pt idx="4">
                  <c:v>202506</c:v>
                </c:pt>
                <c:pt idx="5">
                  <c:v>202507</c:v>
                </c:pt>
                <c:pt idx="6">
                  <c:v>202508</c:v>
                </c:pt>
                <c:pt idx="7">
                  <c:v>202509</c:v>
                </c:pt>
                <c:pt idx="8">
                  <c:v>202510</c:v>
                </c:pt>
                <c:pt idx="9">
                  <c:v>202511</c:v>
                </c:pt>
                <c:pt idx="10">
                  <c:v>202512</c:v>
                </c:pt>
                <c:pt idx="11">
                  <c:v>202601</c:v>
                </c:pt>
                <c:pt idx="12">
                  <c:v>202602</c:v>
                </c:pt>
              </c:strCache>
            </c:strRef>
          </c:cat>
          <c:val>
            <c:numRef>
              <c:f>Data!$P$155:$AB$155</c:f>
            </c:numRef>
          </c:val>
          <c:extLst>
            <c:ext xmlns:c16="http://schemas.microsoft.com/office/drawing/2014/chart" uri="{C3380CC4-5D6E-409C-BE32-E72D297353CC}">
              <c16:uniqueId val="{00000001-5EFC-48C7-91AC-CB3DB7F0F492}"/>
            </c:ext>
          </c:extLst>
        </c:ser>
        <c:ser>
          <c:idx val="2"/>
          <c:order val="2"/>
          <c:tx>
            <c:strRef>
              <c:f>Data!$A$156</c:f>
              <c:strCache>
                <c:ptCount val="1"/>
                <c:pt idx="0">
                  <c:v>Kvarterskliniken Husaren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Data!$P$153:$AB$153</c:f>
              <c:strCache>
                <c:ptCount val="13"/>
                <c:pt idx="0">
                  <c:v>202502</c:v>
                </c:pt>
                <c:pt idx="1">
                  <c:v>202503</c:v>
                </c:pt>
                <c:pt idx="2">
                  <c:v>202504</c:v>
                </c:pt>
                <c:pt idx="3">
                  <c:v>202505</c:v>
                </c:pt>
                <c:pt idx="4">
                  <c:v>202506</c:v>
                </c:pt>
                <c:pt idx="5">
                  <c:v>202507</c:v>
                </c:pt>
                <c:pt idx="6">
                  <c:v>202508</c:v>
                </c:pt>
                <c:pt idx="7">
                  <c:v>202509</c:v>
                </c:pt>
                <c:pt idx="8">
                  <c:v>202510</c:v>
                </c:pt>
                <c:pt idx="9">
                  <c:v>202511</c:v>
                </c:pt>
                <c:pt idx="10">
                  <c:v>202512</c:v>
                </c:pt>
                <c:pt idx="11">
                  <c:v>202601</c:v>
                </c:pt>
                <c:pt idx="12">
                  <c:v>202602</c:v>
                </c:pt>
              </c:strCache>
            </c:strRef>
          </c:cat>
          <c:val>
            <c:numRef>
              <c:f>Data!$P$156:$AB$156</c:f>
            </c:numRef>
          </c:val>
          <c:extLst>
            <c:ext xmlns:c16="http://schemas.microsoft.com/office/drawing/2014/chart" uri="{C3380CC4-5D6E-409C-BE32-E72D297353CC}">
              <c16:uniqueId val="{00000002-5EFC-48C7-91AC-CB3DB7F0F492}"/>
            </c:ext>
          </c:extLst>
        </c:ser>
        <c:ser>
          <c:idx val="3"/>
          <c:order val="3"/>
          <c:tx>
            <c:strRef>
              <c:f>Data!$A$157</c:f>
              <c:strCache>
                <c:ptCount val="1"/>
                <c:pt idx="0">
                  <c:v>Kvarterskliniken Karlastaden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Data!$P$153:$AB$153</c:f>
              <c:strCache>
                <c:ptCount val="13"/>
                <c:pt idx="0">
                  <c:v>202502</c:v>
                </c:pt>
                <c:pt idx="1">
                  <c:v>202503</c:v>
                </c:pt>
                <c:pt idx="2">
                  <c:v>202504</c:v>
                </c:pt>
                <c:pt idx="3">
                  <c:v>202505</c:v>
                </c:pt>
                <c:pt idx="4">
                  <c:v>202506</c:v>
                </c:pt>
                <c:pt idx="5">
                  <c:v>202507</c:v>
                </c:pt>
                <c:pt idx="6">
                  <c:v>202508</c:v>
                </c:pt>
                <c:pt idx="7">
                  <c:v>202509</c:v>
                </c:pt>
                <c:pt idx="8">
                  <c:v>202510</c:v>
                </c:pt>
                <c:pt idx="9">
                  <c:v>202511</c:v>
                </c:pt>
                <c:pt idx="10">
                  <c:v>202512</c:v>
                </c:pt>
                <c:pt idx="11">
                  <c:v>202601</c:v>
                </c:pt>
                <c:pt idx="12">
                  <c:v>202602</c:v>
                </c:pt>
              </c:strCache>
            </c:strRef>
          </c:cat>
          <c:val>
            <c:numRef>
              <c:f>Data!$P$157:$AB$157</c:f>
            </c:numRef>
          </c:val>
          <c:extLst>
            <c:ext xmlns:c16="http://schemas.microsoft.com/office/drawing/2014/chart" uri="{C3380CC4-5D6E-409C-BE32-E72D297353CC}">
              <c16:uniqueId val="{00000003-5EFC-48C7-91AC-CB3DB7F0F492}"/>
            </c:ext>
          </c:extLst>
        </c:ser>
        <c:ser>
          <c:idx val="4"/>
          <c:order val="4"/>
          <c:tx>
            <c:strRef>
              <c:f>Data!$A$158</c:f>
              <c:strCache>
                <c:ptCount val="1"/>
                <c:pt idx="0">
                  <c:v>Kvarterskliniken Lorensberg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Data!$P$153:$AB$153</c:f>
              <c:strCache>
                <c:ptCount val="13"/>
                <c:pt idx="0">
                  <c:v>202502</c:v>
                </c:pt>
                <c:pt idx="1">
                  <c:v>202503</c:v>
                </c:pt>
                <c:pt idx="2">
                  <c:v>202504</c:v>
                </c:pt>
                <c:pt idx="3">
                  <c:v>202505</c:v>
                </c:pt>
                <c:pt idx="4">
                  <c:v>202506</c:v>
                </c:pt>
                <c:pt idx="5">
                  <c:v>202507</c:v>
                </c:pt>
                <c:pt idx="6">
                  <c:v>202508</c:v>
                </c:pt>
                <c:pt idx="7">
                  <c:v>202509</c:v>
                </c:pt>
                <c:pt idx="8">
                  <c:v>202510</c:v>
                </c:pt>
                <c:pt idx="9">
                  <c:v>202511</c:v>
                </c:pt>
                <c:pt idx="10">
                  <c:v>202512</c:v>
                </c:pt>
                <c:pt idx="11">
                  <c:v>202601</c:v>
                </c:pt>
                <c:pt idx="12">
                  <c:v>202602</c:v>
                </c:pt>
              </c:strCache>
            </c:strRef>
          </c:cat>
          <c:val>
            <c:numRef>
              <c:f>Data!$P$158:$AB$158</c:f>
            </c:numRef>
          </c:val>
          <c:extLst>
            <c:ext xmlns:c16="http://schemas.microsoft.com/office/drawing/2014/chart" uri="{C3380CC4-5D6E-409C-BE32-E72D297353CC}">
              <c16:uniqueId val="{00000004-5EFC-48C7-91AC-CB3DB7F0F492}"/>
            </c:ext>
          </c:extLst>
        </c:ser>
        <c:ser>
          <c:idx val="5"/>
          <c:order val="5"/>
          <c:tx>
            <c:strRef>
              <c:f>Data!$A$159</c:f>
              <c:strCache>
                <c:ptCount val="1"/>
                <c:pt idx="0">
                  <c:v>Omtanken Vårdcentral Frölunda Torg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Data!$P$153:$AB$153</c:f>
              <c:strCache>
                <c:ptCount val="13"/>
                <c:pt idx="0">
                  <c:v>202502</c:v>
                </c:pt>
                <c:pt idx="1">
                  <c:v>202503</c:v>
                </c:pt>
                <c:pt idx="2">
                  <c:v>202504</c:v>
                </c:pt>
                <c:pt idx="3">
                  <c:v>202505</c:v>
                </c:pt>
                <c:pt idx="4">
                  <c:v>202506</c:v>
                </c:pt>
                <c:pt idx="5">
                  <c:v>202507</c:v>
                </c:pt>
                <c:pt idx="6">
                  <c:v>202508</c:v>
                </c:pt>
                <c:pt idx="7">
                  <c:v>202509</c:v>
                </c:pt>
                <c:pt idx="8">
                  <c:v>202510</c:v>
                </c:pt>
                <c:pt idx="9">
                  <c:v>202511</c:v>
                </c:pt>
                <c:pt idx="10">
                  <c:v>202512</c:v>
                </c:pt>
                <c:pt idx="11">
                  <c:v>202601</c:v>
                </c:pt>
                <c:pt idx="12">
                  <c:v>202602</c:v>
                </c:pt>
              </c:strCache>
            </c:strRef>
          </c:cat>
          <c:val>
            <c:numRef>
              <c:f>Data!$P$159:$AB$159</c:f>
            </c:numRef>
          </c:val>
          <c:extLst>
            <c:ext xmlns:c16="http://schemas.microsoft.com/office/drawing/2014/chart" uri="{C3380CC4-5D6E-409C-BE32-E72D297353CC}">
              <c16:uniqueId val="{00000005-5EFC-48C7-91AC-CB3DB7F0F492}"/>
            </c:ext>
          </c:extLst>
        </c:ser>
        <c:ser>
          <c:idx val="6"/>
          <c:order val="6"/>
          <c:tx>
            <c:strRef>
              <c:f>Data!$A$160</c:f>
              <c:strCache>
                <c:ptCount val="1"/>
                <c:pt idx="0">
                  <c:v>Omtanken Vårdcentral Grimmered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Data!$P$153:$AB$153</c:f>
              <c:strCache>
                <c:ptCount val="13"/>
                <c:pt idx="0">
                  <c:v>202502</c:v>
                </c:pt>
                <c:pt idx="1">
                  <c:v>202503</c:v>
                </c:pt>
                <c:pt idx="2">
                  <c:v>202504</c:v>
                </c:pt>
                <c:pt idx="3">
                  <c:v>202505</c:v>
                </c:pt>
                <c:pt idx="4">
                  <c:v>202506</c:v>
                </c:pt>
                <c:pt idx="5">
                  <c:v>202507</c:v>
                </c:pt>
                <c:pt idx="6">
                  <c:v>202508</c:v>
                </c:pt>
                <c:pt idx="7">
                  <c:v>202509</c:v>
                </c:pt>
                <c:pt idx="8">
                  <c:v>202510</c:v>
                </c:pt>
                <c:pt idx="9">
                  <c:v>202511</c:v>
                </c:pt>
                <c:pt idx="10">
                  <c:v>202512</c:v>
                </c:pt>
                <c:pt idx="11">
                  <c:v>202601</c:v>
                </c:pt>
                <c:pt idx="12">
                  <c:v>202602</c:v>
                </c:pt>
              </c:strCache>
            </c:strRef>
          </c:cat>
          <c:val>
            <c:numRef>
              <c:f>Data!$P$160:$AB$160</c:f>
            </c:numRef>
          </c:val>
          <c:extLst>
            <c:ext xmlns:c16="http://schemas.microsoft.com/office/drawing/2014/chart" uri="{C3380CC4-5D6E-409C-BE32-E72D297353CC}">
              <c16:uniqueId val="{00000006-5EFC-48C7-91AC-CB3DB7F0F492}"/>
            </c:ext>
          </c:extLst>
        </c:ser>
        <c:ser>
          <c:idx val="7"/>
          <c:order val="7"/>
          <c:tx>
            <c:strRef>
              <c:f>Data!$A$161</c:f>
              <c:strCache>
                <c:ptCount val="1"/>
                <c:pt idx="0">
                  <c:v>Omtanken Vårdcentral Kviberg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Data!$P$153:$AB$153</c:f>
              <c:strCache>
                <c:ptCount val="13"/>
                <c:pt idx="0">
                  <c:v>202502</c:v>
                </c:pt>
                <c:pt idx="1">
                  <c:v>202503</c:v>
                </c:pt>
                <c:pt idx="2">
                  <c:v>202504</c:v>
                </c:pt>
                <c:pt idx="3">
                  <c:v>202505</c:v>
                </c:pt>
                <c:pt idx="4">
                  <c:v>202506</c:v>
                </c:pt>
                <c:pt idx="5">
                  <c:v>202507</c:v>
                </c:pt>
                <c:pt idx="6">
                  <c:v>202508</c:v>
                </c:pt>
                <c:pt idx="7">
                  <c:v>202509</c:v>
                </c:pt>
                <c:pt idx="8">
                  <c:v>202510</c:v>
                </c:pt>
                <c:pt idx="9">
                  <c:v>202511</c:v>
                </c:pt>
                <c:pt idx="10">
                  <c:v>202512</c:v>
                </c:pt>
                <c:pt idx="11">
                  <c:v>202601</c:v>
                </c:pt>
                <c:pt idx="12">
                  <c:v>202602</c:v>
                </c:pt>
              </c:strCache>
            </c:strRef>
          </c:cat>
          <c:val>
            <c:numRef>
              <c:f>Data!$P$161:$AB$161</c:f>
            </c:numRef>
          </c:val>
          <c:extLst>
            <c:ext xmlns:c16="http://schemas.microsoft.com/office/drawing/2014/chart" uri="{C3380CC4-5D6E-409C-BE32-E72D297353CC}">
              <c16:uniqueId val="{00000007-5EFC-48C7-91AC-CB3DB7F0F492}"/>
            </c:ext>
          </c:extLst>
        </c:ser>
        <c:ser>
          <c:idx val="8"/>
          <c:order val="8"/>
          <c:tx>
            <c:strRef>
              <c:f>Data!$A$162</c:f>
              <c:strCache>
                <c:ptCount val="1"/>
                <c:pt idx="0">
                  <c:v>Omtanken Vårdcentral Kållered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Data!$P$153:$AB$153</c:f>
              <c:strCache>
                <c:ptCount val="13"/>
                <c:pt idx="0">
                  <c:v>202502</c:v>
                </c:pt>
                <c:pt idx="1">
                  <c:v>202503</c:v>
                </c:pt>
                <c:pt idx="2">
                  <c:v>202504</c:v>
                </c:pt>
                <c:pt idx="3">
                  <c:v>202505</c:v>
                </c:pt>
                <c:pt idx="4">
                  <c:v>202506</c:v>
                </c:pt>
                <c:pt idx="5">
                  <c:v>202507</c:v>
                </c:pt>
                <c:pt idx="6">
                  <c:v>202508</c:v>
                </c:pt>
                <c:pt idx="7">
                  <c:v>202509</c:v>
                </c:pt>
                <c:pt idx="8">
                  <c:v>202510</c:v>
                </c:pt>
                <c:pt idx="9">
                  <c:v>202511</c:v>
                </c:pt>
                <c:pt idx="10">
                  <c:v>202512</c:v>
                </c:pt>
                <c:pt idx="11">
                  <c:v>202601</c:v>
                </c:pt>
                <c:pt idx="12">
                  <c:v>202602</c:v>
                </c:pt>
              </c:strCache>
            </c:strRef>
          </c:cat>
          <c:val>
            <c:numRef>
              <c:f>Data!$P$162:$AB$162</c:f>
            </c:numRef>
          </c:val>
          <c:extLst>
            <c:ext xmlns:c16="http://schemas.microsoft.com/office/drawing/2014/chart" uri="{C3380CC4-5D6E-409C-BE32-E72D297353CC}">
              <c16:uniqueId val="{00000008-5EFC-48C7-91AC-CB3DB7F0F492}"/>
            </c:ext>
          </c:extLst>
        </c:ser>
        <c:ser>
          <c:idx val="9"/>
          <c:order val="9"/>
          <c:tx>
            <c:strRef>
              <c:f>Data!$A$163</c:f>
              <c:strCache>
                <c:ptCount val="1"/>
                <c:pt idx="0">
                  <c:v>Omtanken Vårdcentral Landala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Data!$P$153:$AB$153</c:f>
              <c:strCache>
                <c:ptCount val="13"/>
                <c:pt idx="0">
                  <c:v>202502</c:v>
                </c:pt>
                <c:pt idx="1">
                  <c:v>202503</c:v>
                </c:pt>
                <c:pt idx="2">
                  <c:v>202504</c:v>
                </c:pt>
                <c:pt idx="3">
                  <c:v>202505</c:v>
                </c:pt>
                <c:pt idx="4">
                  <c:v>202506</c:v>
                </c:pt>
                <c:pt idx="5">
                  <c:v>202507</c:v>
                </c:pt>
                <c:pt idx="6">
                  <c:v>202508</c:v>
                </c:pt>
                <c:pt idx="7">
                  <c:v>202509</c:v>
                </c:pt>
                <c:pt idx="8">
                  <c:v>202510</c:v>
                </c:pt>
                <c:pt idx="9">
                  <c:v>202511</c:v>
                </c:pt>
                <c:pt idx="10">
                  <c:v>202512</c:v>
                </c:pt>
                <c:pt idx="11">
                  <c:v>202601</c:v>
                </c:pt>
                <c:pt idx="12">
                  <c:v>202602</c:v>
                </c:pt>
              </c:strCache>
            </c:strRef>
          </c:cat>
          <c:val>
            <c:numRef>
              <c:f>Data!$P$163:$AB$163</c:f>
            </c:numRef>
          </c:val>
          <c:extLst>
            <c:ext xmlns:c16="http://schemas.microsoft.com/office/drawing/2014/chart" uri="{C3380CC4-5D6E-409C-BE32-E72D297353CC}">
              <c16:uniqueId val="{00000009-5EFC-48C7-91AC-CB3DB7F0F492}"/>
            </c:ext>
          </c:extLst>
        </c:ser>
        <c:ser>
          <c:idx val="10"/>
          <c:order val="10"/>
          <c:tx>
            <c:strRef>
              <c:f>Data!$A$164</c:f>
              <c:strCache>
                <c:ptCount val="1"/>
                <c:pt idx="0">
                  <c:v>Omtanken Vårdcentral Majorna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Data!$P$153:$AB$153</c:f>
              <c:strCache>
                <c:ptCount val="13"/>
                <c:pt idx="0">
                  <c:v>202502</c:v>
                </c:pt>
                <c:pt idx="1">
                  <c:v>202503</c:v>
                </c:pt>
                <c:pt idx="2">
                  <c:v>202504</c:v>
                </c:pt>
                <c:pt idx="3">
                  <c:v>202505</c:v>
                </c:pt>
                <c:pt idx="4">
                  <c:v>202506</c:v>
                </c:pt>
                <c:pt idx="5">
                  <c:v>202507</c:v>
                </c:pt>
                <c:pt idx="6">
                  <c:v>202508</c:v>
                </c:pt>
                <c:pt idx="7">
                  <c:v>202509</c:v>
                </c:pt>
                <c:pt idx="8">
                  <c:v>202510</c:v>
                </c:pt>
                <c:pt idx="9">
                  <c:v>202511</c:v>
                </c:pt>
                <c:pt idx="10">
                  <c:v>202512</c:v>
                </c:pt>
                <c:pt idx="11">
                  <c:v>202601</c:v>
                </c:pt>
                <c:pt idx="12">
                  <c:v>202602</c:v>
                </c:pt>
              </c:strCache>
            </c:strRef>
          </c:cat>
          <c:val>
            <c:numRef>
              <c:f>Data!$P$164:$AB$164</c:f>
            </c:numRef>
          </c:val>
          <c:extLst>
            <c:ext xmlns:c16="http://schemas.microsoft.com/office/drawing/2014/chart" uri="{C3380CC4-5D6E-409C-BE32-E72D297353CC}">
              <c16:uniqueId val="{0000000A-5EFC-48C7-91AC-CB3DB7F0F492}"/>
            </c:ext>
          </c:extLst>
        </c:ser>
        <c:ser>
          <c:idx val="11"/>
          <c:order val="11"/>
          <c:tx>
            <c:strRef>
              <c:f>Data!$A$165</c:f>
              <c:strCache>
                <c:ptCount val="1"/>
                <c:pt idx="0">
                  <c:v>Omtanken Vårdcentral Olskroken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Data!$P$153:$AB$153</c:f>
              <c:strCache>
                <c:ptCount val="13"/>
                <c:pt idx="0">
                  <c:v>202502</c:v>
                </c:pt>
                <c:pt idx="1">
                  <c:v>202503</c:v>
                </c:pt>
                <c:pt idx="2">
                  <c:v>202504</c:v>
                </c:pt>
                <c:pt idx="3">
                  <c:v>202505</c:v>
                </c:pt>
                <c:pt idx="4">
                  <c:v>202506</c:v>
                </c:pt>
                <c:pt idx="5">
                  <c:v>202507</c:v>
                </c:pt>
                <c:pt idx="6">
                  <c:v>202508</c:v>
                </c:pt>
                <c:pt idx="7">
                  <c:v>202509</c:v>
                </c:pt>
                <c:pt idx="8">
                  <c:v>202510</c:v>
                </c:pt>
                <c:pt idx="9">
                  <c:v>202511</c:v>
                </c:pt>
                <c:pt idx="10">
                  <c:v>202512</c:v>
                </c:pt>
                <c:pt idx="11">
                  <c:v>202601</c:v>
                </c:pt>
                <c:pt idx="12">
                  <c:v>202602</c:v>
                </c:pt>
              </c:strCache>
            </c:strRef>
          </c:cat>
          <c:val>
            <c:numRef>
              <c:f>Data!$P$165:$AB$165</c:f>
            </c:numRef>
          </c:val>
          <c:extLst>
            <c:ext xmlns:c16="http://schemas.microsoft.com/office/drawing/2014/chart" uri="{C3380CC4-5D6E-409C-BE32-E72D297353CC}">
              <c16:uniqueId val="{0000000B-5EFC-48C7-91AC-CB3DB7F0F492}"/>
            </c:ext>
          </c:extLst>
        </c:ser>
        <c:ser>
          <c:idx val="12"/>
          <c:order val="12"/>
          <c:tx>
            <c:strRef>
              <c:f>Data!$A$166</c:f>
              <c:strCache>
                <c:ptCount val="1"/>
                <c:pt idx="0">
                  <c:v>Omtanken Vårdcentral Pedagogen Park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Data!$P$153:$AB$153</c:f>
              <c:strCache>
                <c:ptCount val="13"/>
                <c:pt idx="0">
                  <c:v>202502</c:v>
                </c:pt>
                <c:pt idx="1">
                  <c:v>202503</c:v>
                </c:pt>
                <c:pt idx="2">
                  <c:v>202504</c:v>
                </c:pt>
                <c:pt idx="3">
                  <c:v>202505</c:v>
                </c:pt>
                <c:pt idx="4">
                  <c:v>202506</c:v>
                </c:pt>
                <c:pt idx="5">
                  <c:v>202507</c:v>
                </c:pt>
                <c:pt idx="6">
                  <c:v>202508</c:v>
                </c:pt>
                <c:pt idx="7">
                  <c:v>202509</c:v>
                </c:pt>
                <c:pt idx="8">
                  <c:v>202510</c:v>
                </c:pt>
                <c:pt idx="9">
                  <c:v>202511</c:v>
                </c:pt>
                <c:pt idx="10">
                  <c:v>202512</c:v>
                </c:pt>
                <c:pt idx="11">
                  <c:v>202601</c:v>
                </c:pt>
                <c:pt idx="12">
                  <c:v>202602</c:v>
                </c:pt>
              </c:strCache>
            </c:strRef>
          </c:cat>
          <c:val>
            <c:numRef>
              <c:f>Data!$P$166:$AB$166</c:f>
            </c:numRef>
          </c:val>
          <c:extLst>
            <c:ext xmlns:c16="http://schemas.microsoft.com/office/drawing/2014/chart" uri="{C3380CC4-5D6E-409C-BE32-E72D297353CC}">
              <c16:uniqueId val="{0000000C-5EFC-48C7-91AC-CB3DB7F0F492}"/>
            </c:ext>
          </c:extLst>
        </c:ser>
        <c:ser>
          <c:idx val="13"/>
          <c:order val="13"/>
          <c:tx>
            <c:strRef>
              <c:f>Data!$A$167</c:f>
              <c:strCache>
                <c:ptCount val="1"/>
                <c:pt idx="0">
                  <c:v>Omtanken Vårdcentral Åby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Data!$P$153:$AB$153</c:f>
              <c:strCache>
                <c:ptCount val="13"/>
                <c:pt idx="0">
                  <c:v>202502</c:v>
                </c:pt>
                <c:pt idx="1">
                  <c:v>202503</c:v>
                </c:pt>
                <c:pt idx="2">
                  <c:v>202504</c:v>
                </c:pt>
                <c:pt idx="3">
                  <c:v>202505</c:v>
                </c:pt>
                <c:pt idx="4">
                  <c:v>202506</c:v>
                </c:pt>
                <c:pt idx="5">
                  <c:v>202507</c:v>
                </c:pt>
                <c:pt idx="6">
                  <c:v>202508</c:v>
                </c:pt>
                <c:pt idx="7">
                  <c:v>202509</c:v>
                </c:pt>
                <c:pt idx="8">
                  <c:v>202510</c:v>
                </c:pt>
                <c:pt idx="9">
                  <c:v>202511</c:v>
                </c:pt>
                <c:pt idx="10">
                  <c:v>202512</c:v>
                </c:pt>
                <c:pt idx="11">
                  <c:v>202601</c:v>
                </c:pt>
                <c:pt idx="12">
                  <c:v>202602</c:v>
                </c:pt>
              </c:strCache>
            </c:strRef>
          </c:cat>
          <c:val>
            <c:numRef>
              <c:f>Data!$P$167:$AB$167</c:f>
            </c:numRef>
          </c:val>
          <c:extLst>
            <c:ext xmlns:c16="http://schemas.microsoft.com/office/drawing/2014/chart" uri="{C3380CC4-5D6E-409C-BE32-E72D297353CC}">
              <c16:uniqueId val="{0000000D-5EFC-48C7-91AC-CB3DB7F0F49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040463311"/>
        <c:axId val="1040458991"/>
      </c:barChart>
      <c:lineChart>
        <c:grouping val="standard"/>
        <c:varyColors val="0"/>
        <c:ser>
          <c:idx val="14"/>
          <c:order val="14"/>
          <c:tx>
            <c:strRef>
              <c:f>Data!$A$168</c:f>
              <c:strCache>
                <c:ptCount val="1"/>
                <c:pt idx="0">
                  <c:v>Medelvärde Stor-GBG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Data!$P$153:$AB$153</c:f>
              <c:strCache>
                <c:ptCount val="13"/>
                <c:pt idx="0">
                  <c:v>202502</c:v>
                </c:pt>
                <c:pt idx="1">
                  <c:v>202503</c:v>
                </c:pt>
                <c:pt idx="2">
                  <c:v>202504</c:v>
                </c:pt>
                <c:pt idx="3">
                  <c:v>202505</c:v>
                </c:pt>
                <c:pt idx="4">
                  <c:v>202506</c:v>
                </c:pt>
                <c:pt idx="5">
                  <c:v>202507</c:v>
                </c:pt>
                <c:pt idx="6">
                  <c:v>202508</c:v>
                </c:pt>
                <c:pt idx="7">
                  <c:v>202509</c:v>
                </c:pt>
                <c:pt idx="8">
                  <c:v>202510</c:v>
                </c:pt>
                <c:pt idx="9">
                  <c:v>202511</c:v>
                </c:pt>
                <c:pt idx="10">
                  <c:v>202512</c:v>
                </c:pt>
                <c:pt idx="11">
                  <c:v>202601</c:v>
                </c:pt>
                <c:pt idx="12">
                  <c:v>202602</c:v>
                </c:pt>
              </c:strCache>
            </c:strRef>
          </c:cat>
          <c:val>
            <c:numRef>
              <c:f>Data!$P$168:$AB$168</c:f>
            </c:numRef>
          </c:val>
          <c:smooth val="0"/>
          <c:extLst>
            <c:ext xmlns:c16="http://schemas.microsoft.com/office/drawing/2014/chart" uri="{C3380CC4-5D6E-409C-BE32-E72D297353CC}">
              <c16:uniqueId val="{0000000E-5EFC-48C7-91AC-CB3DB7F0F4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0463311"/>
        <c:axId val="1040458991"/>
      </c:lineChart>
      <c:catAx>
        <c:axId val="1040463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040458991"/>
        <c:crosses val="autoZero"/>
        <c:auto val="1"/>
        <c:lblAlgn val="ctr"/>
        <c:lblOffset val="100"/>
        <c:noMultiLvlLbl val="0"/>
      </c:catAx>
      <c:valAx>
        <c:axId val="1040458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040463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sv-SE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Rehab poäng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Data!$I$293:$T$293</c:f>
              <c:numCache>
                <c:formatCode>General</c:formatCode>
                <c:ptCount val="12"/>
                <c:pt idx="0">
                  <c:v>202503</c:v>
                </c:pt>
                <c:pt idx="1">
                  <c:v>202504</c:v>
                </c:pt>
                <c:pt idx="2">
                  <c:v>202505</c:v>
                </c:pt>
                <c:pt idx="3">
                  <c:v>202506</c:v>
                </c:pt>
                <c:pt idx="4">
                  <c:v>202507</c:v>
                </c:pt>
                <c:pt idx="5">
                  <c:v>202508</c:v>
                </c:pt>
                <c:pt idx="6">
                  <c:v>202509</c:v>
                </c:pt>
                <c:pt idx="7">
                  <c:v>202510</c:v>
                </c:pt>
                <c:pt idx="8">
                  <c:v>202511</c:v>
                </c:pt>
                <c:pt idx="9">
                  <c:v>202512</c:v>
                </c:pt>
                <c:pt idx="10">
                  <c:v>202601</c:v>
                </c:pt>
                <c:pt idx="11">
                  <c:v>202602</c:v>
                </c:pt>
              </c:numCache>
            </c:numRef>
          </c:cat>
          <c:val>
            <c:numRef>
              <c:f>Data!$I$302:$T$302</c:f>
              <c:numCache>
                <c:formatCode>General</c:formatCode>
                <c:ptCount val="12"/>
                <c:pt idx="0">
                  <c:v>5954</c:v>
                </c:pt>
                <c:pt idx="1">
                  <c:v>6123</c:v>
                </c:pt>
                <c:pt idx="2">
                  <c:v>6116</c:v>
                </c:pt>
                <c:pt idx="3">
                  <c:v>5513</c:v>
                </c:pt>
                <c:pt idx="4">
                  <c:v>4750</c:v>
                </c:pt>
                <c:pt idx="5">
                  <c:v>4629</c:v>
                </c:pt>
                <c:pt idx="6">
                  <c:v>6746</c:v>
                </c:pt>
                <c:pt idx="7">
                  <c:v>6813</c:v>
                </c:pt>
                <c:pt idx="8">
                  <c:v>6301</c:v>
                </c:pt>
                <c:pt idx="9">
                  <c:v>5041</c:v>
                </c:pt>
                <c:pt idx="10">
                  <c:v>5493</c:v>
                </c:pt>
                <c:pt idx="11">
                  <c:v>5971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93-4253-B564-26707D3867D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72851424"/>
        <c:axId val="1872861024"/>
      </c:barChart>
      <c:catAx>
        <c:axId val="1872851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872861024"/>
        <c:crosses val="autoZero"/>
        <c:auto val="1"/>
        <c:lblAlgn val="ctr"/>
        <c:lblOffset val="100"/>
        <c:noMultiLvlLbl val="0"/>
      </c:catAx>
      <c:valAx>
        <c:axId val="1872861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872851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sv-SE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Rehab Teambesök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Data!$I$316:$T$316</c:f>
              <c:numCache>
                <c:formatCode>General</c:formatCode>
                <c:ptCount val="12"/>
                <c:pt idx="0">
                  <c:v>202503</c:v>
                </c:pt>
                <c:pt idx="1">
                  <c:v>202504</c:v>
                </c:pt>
                <c:pt idx="2">
                  <c:v>202505</c:v>
                </c:pt>
                <c:pt idx="3">
                  <c:v>202506</c:v>
                </c:pt>
                <c:pt idx="4">
                  <c:v>202507</c:v>
                </c:pt>
                <c:pt idx="5">
                  <c:v>202508</c:v>
                </c:pt>
                <c:pt idx="6">
                  <c:v>202509</c:v>
                </c:pt>
                <c:pt idx="7">
                  <c:v>202510</c:v>
                </c:pt>
                <c:pt idx="8">
                  <c:v>202511</c:v>
                </c:pt>
                <c:pt idx="9">
                  <c:v>202512</c:v>
                </c:pt>
                <c:pt idx="10">
                  <c:v>202601</c:v>
                </c:pt>
                <c:pt idx="11">
                  <c:v>202602</c:v>
                </c:pt>
              </c:numCache>
            </c:numRef>
          </c:cat>
          <c:val>
            <c:numRef>
              <c:f>Data!$I$317:$T$317</c:f>
              <c:numCache>
                <c:formatCode>General</c:formatCode>
                <c:ptCount val="12"/>
                <c:pt idx="0">
                  <c:v>239</c:v>
                </c:pt>
                <c:pt idx="1">
                  <c:v>287</c:v>
                </c:pt>
                <c:pt idx="2">
                  <c:v>254</c:v>
                </c:pt>
                <c:pt idx="3">
                  <c:v>257</c:v>
                </c:pt>
                <c:pt idx="4">
                  <c:v>229</c:v>
                </c:pt>
                <c:pt idx="5">
                  <c:v>234</c:v>
                </c:pt>
                <c:pt idx="6">
                  <c:v>394</c:v>
                </c:pt>
                <c:pt idx="7">
                  <c:v>342</c:v>
                </c:pt>
                <c:pt idx="8">
                  <c:v>325</c:v>
                </c:pt>
                <c:pt idx="9">
                  <c:v>278</c:v>
                </c:pt>
                <c:pt idx="10">
                  <c:v>278</c:v>
                </c:pt>
                <c:pt idx="11">
                  <c:v>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E3-4CD2-B1EB-A8F8CBD78C8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2593536"/>
        <c:axId val="62594976"/>
      </c:barChart>
      <c:catAx>
        <c:axId val="62593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62594976"/>
        <c:crosses val="autoZero"/>
        <c:auto val="1"/>
        <c:lblAlgn val="ctr"/>
        <c:lblOffset val="100"/>
        <c:noMultiLvlLbl val="0"/>
      </c:catAx>
      <c:valAx>
        <c:axId val="62594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62593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val">
        <cx:f>_xlchart.v1.5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sv-SE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rPr>
              <a:t>Listningsförändring Februari 2026</a:t>
            </a:r>
            <a:endParaRPr lang="sv-SE">
              <a:effectLst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lang="sv-SE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waterfall" uniqueId="{9886E2D9-3426-4698-99AC-9745296DD8AD}">
          <cx:tx>
            <cx:txData>
              <cx:f>_xlchart.v1.4</cx:f>
              <cx:v>förändring</cx:v>
            </cx:txData>
          </cx:tx>
          <cx:dataLabels pos="outEnd"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0.xml"/><Relationship Id="rId5" Type="http://schemas.openxmlformats.org/officeDocument/2006/relationships/chart" Target="../charts/chart5.xml"/><Relationship Id="rId10" Type="http://schemas.openxmlformats.org/officeDocument/2006/relationships/chart" Target="../charts/chart9.xml"/><Relationship Id="rId4" Type="http://schemas.openxmlformats.org/officeDocument/2006/relationships/chart" Target="../charts/chart4.xml"/><Relationship Id="rId9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50006</xdr:colOff>
      <xdr:row>19</xdr:row>
      <xdr:rowOff>61912</xdr:rowOff>
    </xdr:from>
    <xdr:to>
      <xdr:col>22</xdr:col>
      <xdr:colOff>490537</xdr:colOff>
      <xdr:row>41</xdr:row>
      <xdr:rowOff>188118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F8984737-5E4E-84D6-37CB-F8022D9240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18</xdr:row>
      <xdr:rowOff>38100</xdr:rowOff>
    </xdr:from>
    <xdr:to>
      <xdr:col>0</xdr:col>
      <xdr:colOff>2687002</xdr:colOff>
      <xdr:row>42</xdr:row>
      <xdr:rowOff>79057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4" name="Intäkter / listad pat">
              <a:extLst>
                <a:ext uri="{FF2B5EF4-FFF2-40B4-BE49-F238E27FC236}">
                  <a16:creationId xmlns:a16="http://schemas.microsoft.com/office/drawing/2014/main" id="{6B733D9F-17F1-217F-2B1D-0CC9C25B9C6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Intäkter / listad pa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736600"/>
              <a:ext cx="2683192" cy="423195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sv-SE" sz="1100"/>
                <a:t>Den här figuren representerar ett tabellutsnitt. Tabellutsnitt stöds inte i den här versionen av Excel.
Det går inte att använda utsnittet om figuren har ändrats i en tidigare version av Excel eller om arbetsboken har sparats i Excel 2007 eller en tidigare version.</a:t>
              </a:r>
            </a:p>
          </xdr:txBody>
        </xdr:sp>
      </mc:Fallback>
    </mc:AlternateContent>
    <xdr:clientData/>
  </xdr:twoCellAnchor>
  <xdr:twoCellAnchor>
    <xdr:from>
      <xdr:col>5</xdr:col>
      <xdr:colOff>154779</xdr:colOff>
      <xdr:row>58</xdr:row>
      <xdr:rowOff>109538</xdr:rowOff>
    </xdr:from>
    <xdr:to>
      <xdr:col>20</xdr:col>
      <xdr:colOff>114300</xdr:colOff>
      <xdr:row>79</xdr:row>
      <xdr:rowOff>119063</xdr:rowOff>
    </xdr:to>
    <xdr:graphicFrame macro="">
      <xdr:nvGraphicFramePr>
        <xdr:cNvPr id="5" name="Diagram 4">
          <a:extLst>
            <a:ext uri="{FF2B5EF4-FFF2-40B4-BE49-F238E27FC236}">
              <a16:creationId xmlns:a16="http://schemas.microsoft.com/office/drawing/2014/main" id="{A09FBED6-9CFC-4F56-D1FB-A5EFCC6A20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0</xdr:col>
      <xdr:colOff>212408</xdr:colOff>
      <xdr:row>57</xdr:row>
      <xdr:rowOff>16669</xdr:rowOff>
    </xdr:from>
    <xdr:to>
      <xdr:col>0</xdr:col>
      <xdr:colOff>2586991</xdr:colOff>
      <xdr:row>79</xdr:row>
      <xdr:rowOff>152876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6" name="Medical staff cost / listad pat">
              <a:extLst>
                <a:ext uri="{FF2B5EF4-FFF2-40B4-BE49-F238E27FC236}">
                  <a16:creationId xmlns:a16="http://schemas.microsoft.com/office/drawing/2014/main" id="{549D0AFB-A833-0E3B-C81B-A2330AC2341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dical staff cost / listad pa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8598" y="5556885"/>
              <a:ext cx="2378393" cy="40614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sv-SE" sz="1100"/>
                <a:t>Den här figuren representerar ett tabellutsnitt. Tabellutsnitt stöds inte i den här versionen av Excel.
Det går inte att använda utsnittet om figuren har ändrats i en tidigare version av Excel eller om arbetsboken har sparats i Excel 2007 eller en tidigare version.</a:t>
              </a:r>
            </a:p>
          </xdr:txBody>
        </xdr:sp>
      </mc:Fallback>
    </mc:AlternateContent>
    <xdr:clientData/>
  </xdr:twoCellAnchor>
  <xdr:twoCellAnchor>
    <xdr:from>
      <xdr:col>5</xdr:col>
      <xdr:colOff>137159</xdr:colOff>
      <xdr:row>97</xdr:row>
      <xdr:rowOff>114775</xdr:rowOff>
    </xdr:from>
    <xdr:to>
      <xdr:col>22</xdr:col>
      <xdr:colOff>511968</xdr:colOff>
      <xdr:row>120</xdr:row>
      <xdr:rowOff>56673</xdr:rowOff>
    </xdr:to>
    <xdr:graphicFrame macro="">
      <xdr:nvGraphicFramePr>
        <xdr:cNvPr id="7" name="Diagram 6">
          <a:extLst>
            <a:ext uri="{FF2B5EF4-FFF2-40B4-BE49-F238E27FC236}">
              <a16:creationId xmlns:a16="http://schemas.microsoft.com/office/drawing/2014/main" id="{237BF52A-EDBE-66B2-6E5A-BA7EF8E0E4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absolute">
    <xdr:from>
      <xdr:col>0</xdr:col>
      <xdr:colOff>114300</xdr:colOff>
      <xdr:row>97</xdr:row>
      <xdr:rowOff>73341</xdr:rowOff>
    </xdr:from>
    <xdr:to>
      <xdr:col>1</xdr:col>
      <xdr:colOff>555307</xdr:colOff>
      <xdr:row>122</xdr:row>
      <xdr:rowOff>16192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8" name="Other direct costs / listad pat">
              <a:extLst>
                <a:ext uri="{FF2B5EF4-FFF2-40B4-BE49-F238E27FC236}">
                  <a16:creationId xmlns:a16="http://schemas.microsoft.com/office/drawing/2014/main" id="{527EF85F-621E-5099-4728-4A397C18E01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ther direct costs / listad pa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4300" y="10388916"/>
              <a:ext cx="2554127" cy="412051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sv-SE" sz="1100"/>
                <a:t>Den här figuren representerar ett tabellutsnitt. Tabellutsnitt stöds inte i den här versionen av Excel.
Det går inte att använda utsnittet om figuren har ändrats i en tidigare version av Excel eller om arbetsboken har sparats i Excel 2007 eller en tidigare version.</a:t>
              </a:r>
            </a:p>
          </xdr:txBody>
        </xdr:sp>
      </mc:Fallback>
    </mc:AlternateContent>
    <xdr:clientData/>
  </xdr:twoCellAnchor>
  <xdr:twoCellAnchor>
    <xdr:from>
      <xdr:col>3</xdr:col>
      <xdr:colOff>516730</xdr:colOff>
      <xdr:row>130</xdr:row>
      <xdr:rowOff>163116</xdr:rowOff>
    </xdr:from>
    <xdr:to>
      <xdr:col>22</xdr:col>
      <xdr:colOff>595313</xdr:colOff>
      <xdr:row>151</xdr:row>
      <xdr:rowOff>59532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562CCF47-970B-82A2-3D61-25666551F4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absolute">
    <xdr:from>
      <xdr:col>0</xdr:col>
      <xdr:colOff>56197</xdr:colOff>
      <xdr:row>131</xdr:row>
      <xdr:rowOff>53819</xdr:rowOff>
    </xdr:from>
    <xdr:to>
      <xdr:col>0</xdr:col>
      <xdr:colOff>2512696</xdr:colOff>
      <xdr:row>148</xdr:row>
      <xdr:rowOff>131447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10" name="Stor-GBG AO">
              <a:extLst>
                <a:ext uri="{FF2B5EF4-FFF2-40B4-BE49-F238E27FC236}">
                  <a16:creationId xmlns:a16="http://schemas.microsoft.com/office/drawing/2014/main" id="{8CFF8497-4CB4-8D62-6BA1-F6CD81D9B85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or-GBG A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2387" y="16433009"/>
              <a:ext cx="2460309" cy="332374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sv-SE" sz="1100"/>
                <a:t>Den här figuren representerar ett tabellutsnitt. Tabellutsnitt stöds inte i den här versionen av Excel.
Det går inte att använda utsnittet om figuren har ändrats i en tidigare version av Excel eller om arbetsboken har sparats i Excel 2007 eller en tidigare version.</a:t>
              </a:r>
            </a:p>
          </xdr:txBody>
        </xdr:sp>
      </mc:Fallback>
    </mc:AlternateContent>
    <xdr:clientData/>
  </xdr:twoCellAnchor>
  <xdr:twoCellAnchor editAs="absolute">
    <xdr:from>
      <xdr:col>0</xdr:col>
      <xdr:colOff>0</xdr:colOff>
      <xdr:row>168</xdr:row>
      <xdr:rowOff>56674</xdr:rowOff>
    </xdr:from>
    <xdr:to>
      <xdr:col>0</xdr:col>
      <xdr:colOff>2476974</xdr:colOff>
      <xdr:row>192</xdr:row>
      <xdr:rowOff>59533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13" name="ACG casemix">
              <a:extLst>
                <a:ext uri="{FF2B5EF4-FFF2-40B4-BE49-F238E27FC236}">
                  <a16:creationId xmlns:a16="http://schemas.microsoft.com/office/drawing/2014/main" id="{1B7A2C34-F183-2701-ACF6-A3B3B826750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CG casemix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9786759"/>
              <a:ext cx="2476974" cy="434625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sv-SE" sz="1100"/>
                <a:t>Den här figuren representerar ett tabellutsnitt. Tabellutsnitt stöds inte i den här versionen av Excel.
Det går inte att använda utsnittet om figuren har ändrats i en tidigare version av Excel eller om arbetsboken har sparats i Excel 2007 eller en tidigare version.</a:t>
              </a:r>
            </a:p>
          </xdr:txBody>
        </xdr:sp>
      </mc:Fallback>
    </mc:AlternateContent>
    <xdr:clientData/>
  </xdr:twoCellAnchor>
  <xdr:twoCellAnchor>
    <xdr:from>
      <xdr:col>5</xdr:col>
      <xdr:colOff>107156</xdr:colOff>
      <xdr:row>213</xdr:row>
      <xdr:rowOff>71438</xdr:rowOff>
    </xdr:from>
    <xdr:to>
      <xdr:col>22</xdr:col>
      <xdr:colOff>690562</xdr:colOff>
      <xdr:row>235</xdr:row>
      <xdr:rowOff>11906</xdr:rowOff>
    </xdr:to>
    <xdr:graphicFrame macro="">
      <xdr:nvGraphicFramePr>
        <xdr:cNvPr id="11" name="Diagram 10">
          <a:extLst>
            <a:ext uri="{FF2B5EF4-FFF2-40B4-BE49-F238E27FC236}">
              <a16:creationId xmlns:a16="http://schemas.microsoft.com/office/drawing/2014/main" id="{A59A8B3C-4D16-5897-9653-9A88C1749C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absolute">
    <xdr:from>
      <xdr:col>0</xdr:col>
      <xdr:colOff>55723</xdr:colOff>
      <xdr:row>212</xdr:row>
      <xdr:rowOff>168117</xdr:rowOff>
    </xdr:from>
    <xdr:to>
      <xdr:col>0</xdr:col>
      <xdr:colOff>2498409</xdr:colOff>
      <xdr:row>235</xdr:row>
      <xdr:rowOff>155258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12" name="Antal listade pat">
              <a:extLst>
                <a:ext uri="{FF2B5EF4-FFF2-40B4-BE49-F238E27FC236}">
                  <a16:creationId xmlns:a16="http://schemas.microsoft.com/office/drawing/2014/main" id="{312423C4-1EBC-4A91-1AF6-0061BFC4987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tal listade pa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9533" y="26826687"/>
              <a:ext cx="2435066" cy="438007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sv-SE" sz="1100"/>
                <a:t>Den här figuren representerar ett tabellutsnitt. Tabellutsnitt stöds inte i den här versionen av Excel.
Det går inte att använda utsnittet om figuren har ändrats i en tidigare version av Excel eller om arbetsboken har sparats i Excel 2007 eller en tidigare version.</a:t>
              </a:r>
            </a:p>
          </xdr:txBody>
        </xdr:sp>
      </mc:Fallback>
    </mc:AlternateContent>
    <xdr:clientData/>
  </xdr:twoCellAnchor>
  <xdr:twoCellAnchor>
    <xdr:from>
      <xdr:col>8</xdr:col>
      <xdr:colOff>90488</xdr:colOff>
      <xdr:row>241</xdr:row>
      <xdr:rowOff>159544</xdr:rowOff>
    </xdr:from>
    <xdr:to>
      <xdr:col>22</xdr:col>
      <xdr:colOff>611982</xdr:colOff>
      <xdr:row>262</xdr:row>
      <xdr:rowOff>109537</xdr:rowOff>
    </xdr:to>
    <xdr:graphicFrame macro="">
      <xdr:nvGraphicFramePr>
        <xdr:cNvPr id="14" name="Diagram 13">
          <a:extLst>
            <a:ext uri="{FF2B5EF4-FFF2-40B4-BE49-F238E27FC236}">
              <a16:creationId xmlns:a16="http://schemas.microsoft.com/office/drawing/2014/main" id="{30181801-04E6-3C3D-FAF5-885E7C9DEF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383380</xdr:colOff>
      <xdr:row>266</xdr:row>
      <xdr:rowOff>116682</xdr:rowOff>
    </xdr:from>
    <xdr:to>
      <xdr:col>22</xdr:col>
      <xdr:colOff>595312</xdr:colOff>
      <xdr:row>287</xdr:row>
      <xdr:rowOff>107156</xdr:rowOff>
    </xdr:to>
    <xdr:graphicFrame macro="">
      <xdr:nvGraphicFramePr>
        <xdr:cNvPr id="15" name="Diagram 14">
          <a:extLst>
            <a:ext uri="{FF2B5EF4-FFF2-40B4-BE49-F238E27FC236}">
              <a16:creationId xmlns:a16="http://schemas.microsoft.com/office/drawing/2014/main" id="{8F1DDE5C-6EBC-806F-53AF-97895025F2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535781</xdr:colOff>
      <xdr:row>169</xdr:row>
      <xdr:rowOff>146446</xdr:rowOff>
    </xdr:from>
    <xdr:to>
      <xdr:col>22</xdr:col>
      <xdr:colOff>642938</xdr:colOff>
      <xdr:row>192</xdr:row>
      <xdr:rowOff>107156</xdr:rowOff>
    </xdr:to>
    <xdr:graphicFrame macro="">
      <xdr:nvGraphicFramePr>
        <xdr:cNvPr id="16" name="Diagram 15">
          <a:extLst>
            <a:ext uri="{FF2B5EF4-FFF2-40B4-BE49-F238E27FC236}">
              <a16:creationId xmlns:a16="http://schemas.microsoft.com/office/drawing/2014/main" id="{C0CD7A3E-845C-5590-3B39-478CC62437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6</xdr:col>
      <xdr:colOff>698500</xdr:colOff>
      <xdr:row>319</xdr:row>
      <xdr:rowOff>127000</xdr:rowOff>
    </xdr:from>
    <xdr:to>
      <xdr:col>14</xdr:col>
      <xdr:colOff>317500</xdr:colOff>
      <xdr:row>337</xdr:row>
      <xdr:rowOff>12700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8" name="Diagram 17">
              <a:extLst>
                <a:ext uri="{FF2B5EF4-FFF2-40B4-BE49-F238E27FC236}">
                  <a16:creationId xmlns:a16="http://schemas.microsoft.com/office/drawing/2014/main" id="{24349217-C272-E637-60A6-A9064013831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327900" y="44043600"/>
              <a:ext cx="5918200" cy="30861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sv-SE" sz="1100"/>
                <a:t>Det här diagrammet är inte tillgängligt i din version av Excel.
Om du redigerar figuren eller sparar arbetsboken i ett annat filformat bryts diagrammet permanent.</a:t>
              </a:r>
            </a:p>
          </xdr:txBody>
        </xdr:sp>
      </mc:Fallback>
    </mc:AlternateContent>
    <xdr:clientData/>
  </xdr:twoCellAnchor>
  <xdr:twoCellAnchor>
    <xdr:from>
      <xdr:col>20</xdr:col>
      <xdr:colOff>502626</xdr:colOff>
      <xdr:row>291</xdr:row>
      <xdr:rowOff>117230</xdr:rowOff>
    </xdr:from>
    <xdr:to>
      <xdr:col>27</xdr:col>
      <xdr:colOff>413656</xdr:colOff>
      <xdr:row>304</xdr:row>
      <xdr:rowOff>163286</xdr:rowOff>
    </xdr:to>
    <xdr:graphicFrame macro="">
      <xdr:nvGraphicFramePr>
        <xdr:cNvPr id="21" name="Diagram 20">
          <a:extLst>
            <a:ext uri="{FF2B5EF4-FFF2-40B4-BE49-F238E27FC236}">
              <a16:creationId xmlns:a16="http://schemas.microsoft.com/office/drawing/2014/main" id="{9314C027-DF83-369E-BDBC-DEF9629DB1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21</xdr:col>
      <xdr:colOff>228599</xdr:colOff>
      <xdr:row>307</xdr:row>
      <xdr:rowOff>-1</xdr:rowOff>
    </xdr:from>
    <xdr:to>
      <xdr:col>27</xdr:col>
      <xdr:colOff>457199</xdr:colOff>
      <xdr:row>324</xdr:row>
      <xdr:rowOff>87085</xdr:rowOff>
    </xdr:to>
    <xdr:graphicFrame macro="">
      <xdr:nvGraphicFramePr>
        <xdr:cNvPr id="22" name="Diagram 21">
          <a:extLst>
            <a:ext uri="{FF2B5EF4-FFF2-40B4-BE49-F238E27FC236}">
              <a16:creationId xmlns:a16="http://schemas.microsoft.com/office/drawing/2014/main" id="{6C45551F-4DB4-7ADB-0901-C41643F982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202602/Utveckling%202026-02.xlsx" TargetMode="External"/><Relationship Id="rId2" Type="http://schemas.openxmlformats.org/officeDocument/2006/relationships/externalLinkPath" Target="file:///V:\Ekonomi\1.%20Omtanken%20V&#228;sterleden%20V&#229;rd%20AB%20556717-9980\Ezzat\Resultatrapporter%20Stor-GBG\202602\Utveckling%202026-02.xlsx" TargetMode="External"/><Relationship Id="rId1" Type="http://schemas.openxmlformats.org/officeDocument/2006/relationships/externalLinkPath" Target="/Ekonomi/1.%20Omtanken%20V&#228;sterleden%20V&#229;rd%20AB%20556717-9980/Ezzat/Resultatrapporter%20Stor-GBG/202602/Utveckling%202026-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lad1"/>
      <sheetName val="Utveckling"/>
      <sheetName val="Blad3"/>
      <sheetName val="Blad2"/>
    </sheetNames>
    <sheetDataSet>
      <sheetData sheetId="0">
        <row r="61">
          <cell r="H61">
            <v>202502</v>
          </cell>
          <cell r="I61">
            <v>202503</v>
          </cell>
          <cell r="J61">
            <v>202504</v>
          </cell>
          <cell r="K61">
            <v>202505</v>
          </cell>
          <cell r="L61">
            <v>202506</v>
          </cell>
          <cell r="M61">
            <v>202507</v>
          </cell>
          <cell r="N61">
            <v>202508</v>
          </cell>
          <cell r="O61">
            <v>202509</v>
          </cell>
          <cell r="P61">
            <v>202510</v>
          </cell>
          <cell r="Q61">
            <v>202511</v>
          </cell>
          <cell r="R61">
            <v>202512</v>
          </cell>
          <cell r="S61">
            <v>202601</v>
          </cell>
          <cell r="T61">
            <v>202602</v>
          </cell>
        </row>
        <row r="70">
          <cell r="H70">
            <v>6064</v>
          </cell>
          <cell r="I70">
            <v>5954</v>
          </cell>
          <cell r="J70">
            <v>6123</v>
          </cell>
          <cell r="K70">
            <v>6116</v>
          </cell>
          <cell r="L70">
            <v>5513</v>
          </cell>
          <cell r="M70">
            <v>4750</v>
          </cell>
          <cell r="N70">
            <v>4629</v>
          </cell>
          <cell r="O70">
            <v>6746</v>
          </cell>
          <cell r="P70">
            <v>6813</v>
          </cell>
          <cell r="Q70">
            <v>6301</v>
          </cell>
          <cell r="R70">
            <v>5041</v>
          </cell>
          <cell r="S70">
            <v>5493</v>
          </cell>
          <cell r="T70">
            <v>5971</v>
          </cell>
        </row>
        <row r="89">
          <cell r="B89" t="str">
            <v>förändring</v>
          </cell>
        </row>
        <row r="90">
          <cell r="A90" t="str">
            <v>Karlastaden</v>
          </cell>
          <cell r="B90">
            <v>66</v>
          </cell>
        </row>
        <row r="91">
          <cell r="A91" t="str">
            <v>Olskroken</v>
          </cell>
          <cell r="B91">
            <v>36</v>
          </cell>
        </row>
        <row r="92">
          <cell r="A92" t="str">
            <v>Kviberg</v>
          </cell>
          <cell r="B92">
            <v>7</v>
          </cell>
        </row>
        <row r="93">
          <cell r="A93" t="str">
            <v>Pedagogen Park</v>
          </cell>
          <cell r="B93">
            <v>2</v>
          </cell>
        </row>
        <row r="94">
          <cell r="A94" t="str">
            <v>Grimmered</v>
          </cell>
          <cell r="B94">
            <v>-2</v>
          </cell>
        </row>
        <row r="95">
          <cell r="A95" t="str">
            <v>Lorensberg</v>
          </cell>
          <cell r="B95">
            <v>-5</v>
          </cell>
        </row>
        <row r="96">
          <cell r="A96" t="str">
            <v>Kållered</v>
          </cell>
          <cell r="B96">
            <v>-6</v>
          </cell>
        </row>
        <row r="97">
          <cell r="A97" t="str">
            <v>Åby</v>
          </cell>
          <cell r="B97">
            <v>-9</v>
          </cell>
        </row>
        <row r="98">
          <cell r="A98" t="str">
            <v>Majorna</v>
          </cell>
          <cell r="B98">
            <v>-9</v>
          </cell>
        </row>
        <row r="99">
          <cell r="A99" t="str">
            <v>Landala</v>
          </cell>
          <cell r="B99">
            <v>-17</v>
          </cell>
        </row>
        <row r="100">
          <cell r="A100" t="str">
            <v>Avenyn</v>
          </cell>
          <cell r="B100">
            <v>-18</v>
          </cell>
        </row>
        <row r="101">
          <cell r="A101" t="str">
            <v>City</v>
          </cell>
          <cell r="B101">
            <v>-18</v>
          </cell>
        </row>
        <row r="102">
          <cell r="A102" t="str">
            <v>Frölunda Torg</v>
          </cell>
          <cell r="B102">
            <v>-24</v>
          </cell>
        </row>
        <row r="103">
          <cell r="A103" t="str">
            <v>Husaren</v>
          </cell>
          <cell r="B103">
            <v>-25</v>
          </cell>
        </row>
      </sheetData>
      <sheetData sheetId="1"/>
      <sheetData sheetId="2"/>
      <sheetData sheetId="3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2" connectionId="12" xr16:uid="{1AA45C7E-F872-416A-8DF4-02E9C286F6B8}" autoFormatId="16" applyNumberFormats="0" applyBorderFormats="0" applyFontFormats="0" applyPatternFormats="0" applyAlignmentFormats="0" applyWidthHeightFormats="0">
  <queryTableRefresh nextId="31">
    <queryTableFields count="30">
      <queryTableField id="1" name="Source.Name" tableColumnId="1"/>
      <queryTableField id="2" name="CG Item" tableColumnId="2"/>
      <queryTableField id="3" name="Column2" tableColumnId="3"/>
      <queryTableField id="4" name="Column3" tableColumnId="4"/>
      <queryTableField id="5" name="Selected Period" tableColumnId="5"/>
      <queryTableField id="6" name="Selected Period_1" tableColumnId="6"/>
      <queryTableField id="7" name="Selected Period_2" tableColumnId="7"/>
      <queryTableField id="8" name="Selected Period_3" tableColumnId="8"/>
      <queryTableField id="9" name="Selected Period_4" tableColumnId="9"/>
      <queryTableField id="10" name="Selected Period_5" tableColumnId="10"/>
      <queryTableField id="11" name="Selected Period_6" tableColumnId="11"/>
      <queryTableField id="12" name="Selected Period_7" tableColumnId="12"/>
      <queryTableField id="13" name="Selected Period_8" tableColumnId="13"/>
      <queryTableField id="14" name="Selected Period_9" tableColumnId="14"/>
      <queryTableField id="15" name="Selected Period_10" tableColumnId="15"/>
      <queryTableField id="16" name="Selected Period_11" tableColumnId="16"/>
      <queryTableField id="17" name="Selected Period_12" tableColumnId="17"/>
      <queryTableField id="18" name="Selected Period_13" tableColumnId="18"/>
      <queryTableField id="19" name="Selected Period_14" tableColumnId="19"/>
      <queryTableField id="20" name="Selected Period_15" tableColumnId="20"/>
      <queryTableField id="21" name="Selected Period_16" tableColumnId="21"/>
      <queryTableField id="22" name="Selected Period_17" tableColumnId="22"/>
      <queryTableField id="23" name="Selected Period_18" tableColumnId="23"/>
      <queryTableField id="24" name="Selected Period_19" tableColumnId="24"/>
      <queryTableField id="25" name="Selected Period_20" tableColumnId="25"/>
      <queryTableField id="26" name="Selected Period_21" tableColumnId="26"/>
      <queryTableField id="27" name="Selected Period_22" tableColumnId="27"/>
      <queryTableField id="28" name="Selected Period_23" tableColumnId="28"/>
      <queryTableField id="29" name="Selected Period_24" tableColumnId="29"/>
      <queryTableField id="30" name="Selected Period_25" tableColumnId="30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Utsnitt_Intäkter___listad_pat" xr10:uid="{31C65945-A265-4F22-B799-7AE904A698E7}" sourceName="Intäkter / listad pat">
  <extLst>
    <x:ext xmlns:x15="http://schemas.microsoft.com/office/spreadsheetml/2010/11/main" uri="{2F2917AC-EB37-4324-AD4E-5DD8C200BD13}">
      <x15:tableSlicerCache tableId="1" column="1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Utsnitt_Medical_staff_cost___listad_pat" xr10:uid="{5076A641-B18F-4CA3-B4E2-1598754AD806}" sourceName="Medical staff cost / listad pat">
  <extLst>
    <x:ext xmlns:x15="http://schemas.microsoft.com/office/spreadsheetml/2010/11/main" uri="{2F2917AC-EB37-4324-AD4E-5DD8C200BD13}">
      <x15:tableSlicerCache tableId="3" column="1"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Utsnitt_Other_direct_costs___listad_pat" xr10:uid="{184F3BE1-2A4F-4B42-95E1-FF6E321A9AC7}" sourceName="Other direct costs / listad pat">
  <extLst>
    <x:ext xmlns:x15="http://schemas.microsoft.com/office/spreadsheetml/2010/11/main" uri="{2F2917AC-EB37-4324-AD4E-5DD8C200BD13}">
      <x15:tableSlicerCache tableId="4" column="1"/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Utsnitt_Stor_GBG_AO" xr10:uid="{C6D71D18-96E4-451B-9627-AD542C059894}" sourceName="Stor-GBG AO">
  <extLst>
    <x:ext xmlns:x15="http://schemas.microsoft.com/office/spreadsheetml/2010/11/main" uri="{2F2917AC-EB37-4324-AD4E-5DD8C200BD13}">
      <x15:tableSlicerCache tableId="2" column="1"/>
    </x:ext>
  </extLst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Utsnitt_ACG_casemix" xr10:uid="{BA28B746-03DC-46EA-9ABC-880867CDF83E}" sourceName="ACG casemix">
  <extLst>
    <x:ext xmlns:x15="http://schemas.microsoft.com/office/spreadsheetml/2010/11/main" uri="{2F2917AC-EB37-4324-AD4E-5DD8C200BD13}">
      <x15:tableSlicerCache tableId="5" column="1"/>
    </x:ext>
  </extLst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Utsnitt_Antal_listade_pat" xr10:uid="{B7268B9F-04FA-4C69-8347-D0CC388112EC}" sourceName="Antal listade pat">
  <extLst>
    <x:ext xmlns:x15="http://schemas.microsoft.com/office/spreadsheetml/2010/11/main" uri="{2F2917AC-EB37-4324-AD4E-5DD8C200BD13}">
      <x15:tableSlicerCache tableId="6" column="1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Intäkter / listad pat" xr10:uid="{6C26BD82-7AF2-41C2-B4CA-0F6E14968B40}" cache="Utsnitt_Intäkter___listad_pat" caption="Intäkter / listad pat" rowHeight="234950"/>
  <slicer name="Medical staff cost / listad pat" xr10:uid="{BADB568E-3C6B-4FF3-8581-7005FCC01800}" cache="Utsnitt_Medical_staff_cost___listad_pat" caption="Medical staff cost / listad pat" rowHeight="234950"/>
  <slicer name="Other direct costs / listad pat" xr10:uid="{2C9C371D-126D-4A79-8F7D-05D9440F09B9}" cache="Utsnitt_Other_direct_costs___listad_pat" caption="Other direct costs / listad pat" rowHeight="234950"/>
  <slicer name="Stor-GBG AO" xr10:uid="{94C30D64-AFFE-4133-B842-E7D0D8882C06}" cache="Utsnitt_Stor_GBG_AO" caption="Stor-GBG AO" rowHeight="241300"/>
  <slicer name="ACG casemix" xr10:uid="{1E4D8C65-0A38-4C49-BF25-EABA5B19BAEF}" cache="Utsnitt_ACG_casemix" caption="ACG casemix" rowHeight="234950"/>
  <slicer name="Antal listade pat" xr10:uid="{8BAFB65E-7D48-48EC-846E-C40B3FBF7BFB}" cache="Utsnitt_Antal_listade_pat" caption="Antal listade pat" rowHeight="24130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5CF26DA-FA62-4A25-8661-C9049E2F80F4}" name="Resultat_VC__3" displayName="Resultat_VC__3" ref="A1:AD382" tableType="queryTable" totalsRowShown="0">
  <autoFilter ref="A1:AD382" xr:uid="{B5CF26DA-FA62-4A25-8661-C9049E2F80F4}"/>
  <tableColumns count="30">
    <tableColumn id="1" xr3:uid="{1F30325F-8859-4718-A813-DE1907D3B987}" uniqueName="1" name="Source.Name" queryTableFieldId="1" dataDxfId="195"/>
    <tableColumn id="2" xr3:uid="{9778FE3C-D416-4383-B99B-8BA9F5D16255}" uniqueName="2" name="CG Item" queryTableFieldId="2" dataDxfId="194"/>
    <tableColumn id="3" xr3:uid="{EDDA78CF-0029-4516-AC88-D6A7CA4D73A8}" uniqueName="3" name="Column2" queryTableFieldId="3" dataDxfId="193"/>
    <tableColumn id="4" xr3:uid="{300C74C1-6FFF-4B7E-A7E1-7F582AD3D9FE}" uniqueName="4" name="Column3" queryTableFieldId="4" dataDxfId="192"/>
    <tableColumn id="5" xr3:uid="{98BE226D-78E7-4725-AC60-037205621A0C}" uniqueName="5" name="Selected Period" queryTableFieldId="5"/>
    <tableColumn id="6" xr3:uid="{64CDF38C-FA31-43CD-A07E-4B58232C42F0}" uniqueName="6" name="Selected Period_1" queryTableFieldId="6"/>
    <tableColumn id="7" xr3:uid="{C3B03D15-A9B5-4A1B-9B46-156C0EE0CFC9}" uniqueName="7" name="Selected Period_2" queryTableFieldId="7"/>
    <tableColumn id="8" xr3:uid="{80BEF7AE-87EA-4228-9D87-CED7FBA5E56B}" uniqueName="8" name="Selected Period_3" queryTableFieldId="8"/>
    <tableColumn id="9" xr3:uid="{8BF83F27-9390-4785-ABFA-98087E09A7E8}" uniqueName="9" name="Selected Period_4" queryTableFieldId="9"/>
    <tableColumn id="10" xr3:uid="{9CC2D619-DB3E-4DD5-B40B-1BF255BDF3E7}" uniqueName="10" name="Selected Period_5" queryTableFieldId="10"/>
    <tableColumn id="11" xr3:uid="{9DEB6543-3911-42E0-919D-FF3EF3474AC2}" uniqueName="11" name="Selected Period_6" queryTableFieldId="11"/>
    <tableColumn id="12" xr3:uid="{4A11564E-EABC-494D-8624-2D168443C8F7}" uniqueName="12" name="Selected Period_7" queryTableFieldId="12"/>
    <tableColumn id="13" xr3:uid="{A1E1FDBC-1FFD-46A1-A9EB-2E2FC8DCFB2E}" uniqueName="13" name="Selected Period_8" queryTableFieldId="13"/>
    <tableColumn id="14" xr3:uid="{28482AC2-41AA-424F-B04E-5D0876733405}" uniqueName="14" name="Selected Period_9" queryTableFieldId="14"/>
    <tableColumn id="15" xr3:uid="{2BD915C5-611F-41F8-8E62-A880D2AABEB0}" uniqueName="15" name="Selected Period_10" queryTableFieldId="15"/>
    <tableColumn id="16" xr3:uid="{7AC6ED22-5E49-43C0-8183-242FB0C74168}" uniqueName="16" name="Selected Period_11" queryTableFieldId="16"/>
    <tableColumn id="17" xr3:uid="{17944D30-E7C3-40B2-B241-F6883CD7FD9B}" uniqueName="17" name="Selected Period_12" queryTableFieldId="17"/>
    <tableColumn id="18" xr3:uid="{A2E7B9B8-940A-46BA-914E-49E55E165D3F}" uniqueName="18" name="Selected Period_13" queryTableFieldId="18"/>
    <tableColumn id="19" xr3:uid="{CB1B8F48-6CBA-4DE6-898D-EAECF591E81E}" uniqueName="19" name="Selected Period_14" queryTableFieldId="19"/>
    <tableColumn id="20" xr3:uid="{A364A7FD-BE69-4AEE-804A-AF49DCB47FF0}" uniqueName="20" name="Selected Period_15" queryTableFieldId="20"/>
    <tableColumn id="21" xr3:uid="{4C065D32-6137-4098-AD83-90EA8A9CA7E5}" uniqueName="21" name="Selected Period_16" queryTableFieldId="21"/>
    <tableColumn id="22" xr3:uid="{4BD643FC-AA49-42A6-AF57-7F0A1BFAEA8D}" uniqueName="22" name="Selected Period_17" queryTableFieldId="22"/>
    <tableColumn id="23" xr3:uid="{02B5A0FF-78EC-4A33-9AF8-0CDEDC29E70E}" uniqueName="23" name="Selected Period_18" queryTableFieldId="23"/>
    <tableColumn id="24" xr3:uid="{436AB24D-F047-4A06-B2D8-331E5A8D256C}" uniqueName="24" name="Selected Period_19" queryTableFieldId="24"/>
    <tableColumn id="25" xr3:uid="{835D4C8E-71A4-44CD-A6E5-88EBCC922B6A}" uniqueName="25" name="Selected Period_20" queryTableFieldId="25"/>
    <tableColumn id="26" xr3:uid="{859ACFF2-EB14-4FA8-90F4-803B63C7D457}" uniqueName="26" name="Selected Period_21" queryTableFieldId="26"/>
    <tableColumn id="27" xr3:uid="{681977B2-F513-4E17-9BF6-BD04204A6413}" uniqueName="27" name="Selected Period_22" queryTableFieldId="27"/>
    <tableColumn id="28" xr3:uid="{747B9753-2259-43FC-B124-C5645E78159E}" uniqueName="28" name="Selected Period_23" queryTableFieldId="28"/>
    <tableColumn id="29" xr3:uid="{D774BF6D-2BEF-43A2-95CC-D10DA6A8AAEF}" uniqueName="29" name="Selected Period_24" queryTableFieldId="29"/>
    <tableColumn id="30" xr3:uid="{5F2CEB4F-D931-41B4-AE78-EC566E9DD61B}" uniqueName="30" name="Selected Period_25" queryTableFieldId="3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6ADB15-8FD2-439D-ABFA-DCC72D0CE94C}" name="Tabell1" displayName="Tabell1" ref="A3:AB18" totalsRowShown="0">
  <autoFilter ref="A3:AB18" xr:uid="{0B6ADB15-8FD2-439D-ABFA-DCC72D0CE94C}">
    <filterColumn colId="0">
      <filters>
        <filter val="Medelvärde stor-gbg"/>
      </filters>
    </filterColumn>
  </autoFilter>
  <tableColumns count="28">
    <tableColumn id="1" xr3:uid="{68F25317-1C2B-45A9-B450-F5B6736EBC8E}" name="Intäkter / listad pat"/>
    <tableColumn id="2" xr3:uid="{6DB02D01-1ABA-4262-A58C-641DE32CA541}" name="202312" dataDxfId="191">
      <calculatedColumnFormula>Info!C56/Info!C5</calculatedColumnFormula>
    </tableColumn>
    <tableColumn id="3" xr3:uid="{3D51F844-554F-46E2-99B5-BF2F8906539F}" name="202401" dataDxfId="190">
      <calculatedColumnFormula>Info!D56/Info!D5</calculatedColumnFormula>
    </tableColumn>
    <tableColumn id="4" xr3:uid="{9F4A3BF4-1BF4-4116-9E96-6E59E41D158A}" name="202402" dataDxfId="189">
      <calculatedColumnFormula>Info!E56/Info!E5</calculatedColumnFormula>
    </tableColumn>
    <tableColumn id="5" xr3:uid="{92E1B140-FADD-4C9E-B58B-5FFFED4D36BE}" name="202403" dataDxfId="188">
      <calculatedColumnFormula>Info!F56/Info!F5</calculatedColumnFormula>
    </tableColumn>
    <tableColumn id="6" xr3:uid="{F26D2CD6-6DFA-4ED4-9537-E37E01CCE125}" name="202404" dataDxfId="187">
      <calculatedColumnFormula>Info!G56/Info!G5</calculatedColumnFormula>
    </tableColumn>
    <tableColumn id="7" xr3:uid="{AD3631D9-7FB8-44A7-BBF2-84F3A8FAF519}" name="202405" dataDxfId="186">
      <calculatedColumnFormula>Info!H56/Info!H5</calculatedColumnFormula>
    </tableColumn>
    <tableColumn id="8" xr3:uid="{7526C006-738E-4340-9364-62F0D9499925}" name="202406" dataDxfId="185">
      <calculatedColumnFormula>Info!I56/Info!I5</calculatedColumnFormula>
    </tableColumn>
    <tableColumn id="9" xr3:uid="{EB954E94-FF7F-4CF1-8983-62EF36CB70AF}" name="202407" dataDxfId="184">
      <calculatedColumnFormula>Info!J56/Info!J5</calculatedColumnFormula>
    </tableColumn>
    <tableColumn id="10" xr3:uid="{9B210365-823F-40D0-9EBC-9E0EB73CB22F}" name="202408" dataDxfId="183">
      <calculatedColumnFormula>Info!K56/Info!K5</calculatedColumnFormula>
    </tableColumn>
    <tableColumn id="11" xr3:uid="{80A96C02-792C-4287-B112-1D041C3A9BBD}" name="202409" dataDxfId="182">
      <calculatedColumnFormula>Info!L56/Info!L5</calculatedColumnFormula>
    </tableColumn>
    <tableColumn id="12" xr3:uid="{2FEA4C3F-61F6-45B3-967C-388EACEFE8B5}" name="202410" dataDxfId="181">
      <calculatedColumnFormula>Info!M56/Info!M5</calculatedColumnFormula>
    </tableColumn>
    <tableColumn id="13" xr3:uid="{EBB65816-B40A-40E7-945B-A4E467CA764C}" name="202411" dataDxfId="180">
      <calculatedColumnFormula>Info!N56/Info!N5</calculatedColumnFormula>
    </tableColumn>
    <tableColumn id="14" xr3:uid="{EA0715B0-D4E9-49F6-822D-7B86FD6528F3}" name="202412" dataDxfId="179">
      <calculatedColumnFormula>Info!O56/Info!O5</calculatedColumnFormula>
    </tableColumn>
    <tableColumn id="15" xr3:uid="{1AFF20B3-499F-4A8C-9FE1-D443826DB840}" name="202501" dataDxfId="178">
      <calculatedColumnFormula>Info!P56/Info!P5</calculatedColumnFormula>
    </tableColumn>
    <tableColumn id="16" xr3:uid="{469859DC-C383-407C-9714-96297204855B}" name="202502" dataDxfId="177"/>
    <tableColumn id="17" xr3:uid="{7EAE8F54-80ED-4085-AB93-B0E2EC920ACF}" name="202503" dataDxfId="176"/>
    <tableColumn id="18" xr3:uid="{97257036-252A-4FB7-9C86-7C1F4EFACADE}" name="202504" dataDxfId="175"/>
    <tableColumn id="19" xr3:uid="{86E754D7-157B-4FFC-9774-B819E31ED2D9}" name="202505" dataDxfId="174"/>
    <tableColumn id="20" xr3:uid="{62CF9897-7D8A-426B-96C6-8C78A3D8DC7E}" name="202506" dataDxfId="173"/>
    <tableColumn id="21" xr3:uid="{020FD9D8-745F-4EEE-BA9C-B85E2A2053FB}" name="202507" dataDxfId="172"/>
    <tableColumn id="22" xr3:uid="{55F457F7-9337-4BC6-B9A7-80E10EBFBACC}" name="202508" dataDxfId="171"/>
    <tableColumn id="23" xr3:uid="{A50AEA94-7168-4F68-8AFE-B6A9B1994A67}" name="202509" dataDxfId="170"/>
    <tableColumn id="24" xr3:uid="{635579E2-2468-47C0-B31B-8B0B3BC2A759}" name="202510" dataDxfId="169"/>
    <tableColumn id="25" xr3:uid="{9337823D-9CF9-4828-BD11-E924C720CB24}" name="202511" dataDxfId="168"/>
    <tableColumn id="26" xr3:uid="{FC49535B-D3C8-4032-BC7A-A7FB3F61F2E5}" name="202512" dataDxfId="167"/>
    <tableColumn id="27" xr3:uid="{C0EDB1CD-137E-4611-8778-1B16191255CF}" name="202601" dataDxfId="166"/>
    <tableColumn id="28" xr3:uid="{B2B0537D-77BE-4782-9FE9-077490342E1C}" name="202602" dataDxfId="16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EF97CCF-9D0B-4CD9-A1CA-AFA4A6BEF6BE}" name="Tabell3" displayName="Tabell3" ref="A44:AB57" totalsRowShown="0">
  <autoFilter ref="A44:AB57" xr:uid="{BEF97CCF-9D0B-4CD9-A1CA-AFA4A6BEF6BE}">
    <filterColumn colId="0">
      <filters>
        <filter val="Medelvärde Stor-GBG"/>
      </filters>
    </filterColumn>
  </autoFilter>
  <tableColumns count="28">
    <tableColumn id="1" xr3:uid="{773A4F82-9B31-43A5-B650-8AE59689176C}" name="Medical staff cost / listad pat"/>
    <tableColumn id="2" xr3:uid="{D3F77AF7-D389-4616-95AA-52382766F5D3}" name="202312" dataDxfId="164">
      <calculatedColumnFormula>(Info!C73/Info!C5)*-1</calculatedColumnFormula>
    </tableColumn>
    <tableColumn id="3" xr3:uid="{125DCB09-D3CA-47C7-94F6-CAACA308C888}" name="202401" dataDxfId="163">
      <calculatedColumnFormula>(Info!D73/Info!D5)*-1</calculatedColumnFormula>
    </tableColumn>
    <tableColumn id="4" xr3:uid="{F31AC207-DB89-4D2A-B089-FF285C54E389}" name="202402" dataDxfId="162">
      <calculatedColumnFormula>(Info!E73/Info!E5)*-1</calculatedColumnFormula>
    </tableColumn>
    <tableColumn id="5" xr3:uid="{75867390-BA62-4230-BB63-AE4621384577}" name="202403" dataDxfId="161">
      <calculatedColumnFormula>(Info!F73/Info!F5)*-1</calculatedColumnFormula>
    </tableColumn>
    <tableColumn id="6" xr3:uid="{B77846FF-DD48-42F4-BF95-4CCFFFE5E752}" name="202404" dataDxfId="160">
      <calculatedColumnFormula>(Info!G73/Info!G5)*-1</calculatedColumnFormula>
    </tableColumn>
    <tableColumn id="7" xr3:uid="{D7AB1CA1-56D5-449D-80D0-2607774955D2}" name="202405" dataDxfId="159">
      <calculatedColumnFormula>(Info!H73/Info!H5)*-1</calculatedColumnFormula>
    </tableColumn>
    <tableColumn id="8" xr3:uid="{66AE8932-C0D9-4AC4-82C6-14F366CE4F1F}" name="202406" dataDxfId="158">
      <calculatedColumnFormula>(Info!I73/Info!I5)*-1</calculatedColumnFormula>
    </tableColumn>
    <tableColumn id="9" xr3:uid="{0ACAFC29-5BC3-4A34-B445-4CEAF19DD5DA}" name="202407" dataDxfId="157">
      <calculatedColumnFormula>(Info!J73/Info!J5)*-1</calculatedColumnFormula>
    </tableColumn>
    <tableColumn id="10" xr3:uid="{F43A9707-4583-4F02-8D82-71AE1E21EF20}" name="202408" dataDxfId="156">
      <calculatedColumnFormula>(Info!K73/Info!K5)*-1</calculatedColumnFormula>
    </tableColumn>
    <tableColumn id="11" xr3:uid="{8F048DD6-B151-4EE1-9EB4-E3C63B7399C5}" name="202409" dataDxfId="155">
      <calculatedColumnFormula>(Info!L73/Info!L5)*-1</calculatedColumnFormula>
    </tableColumn>
    <tableColumn id="12" xr3:uid="{C22C1670-9CB1-4047-9AA9-64C4159940C0}" name="202410" dataDxfId="154">
      <calculatedColumnFormula>(Info!M73/Info!M5)*-1</calculatedColumnFormula>
    </tableColumn>
    <tableColumn id="13" xr3:uid="{80038411-C973-43F1-ABAE-0E687E72B6B8}" name="202411" dataDxfId="153">
      <calculatedColumnFormula>(Info!N73/Info!N5)*-1</calculatedColumnFormula>
    </tableColumn>
    <tableColumn id="14" xr3:uid="{8B99823A-8801-4FE1-85E7-FF88F3C5D286}" name="202412" dataDxfId="152">
      <calculatedColumnFormula>(Info!O73/Info!O5)*-1</calculatedColumnFormula>
    </tableColumn>
    <tableColumn id="15" xr3:uid="{DC780C76-A0FA-4265-8330-CE78278E7998}" name="202501" dataDxfId="151">
      <calculatedColumnFormula>(Info!P73/Info!P5)*-1</calculatedColumnFormula>
    </tableColumn>
    <tableColumn id="16" xr3:uid="{7D08F236-AADD-4D96-95D6-9B5A665936F9}" name="202502" dataDxfId="150"/>
    <tableColumn id="17" xr3:uid="{179D9B97-6ECE-486E-A185-A14B0788975B}" name="202503" dataDxfId="149"/>
    <tableColumn id="18" xr3:uid="{ABF74925-B9E4-4CB3-88C9-027AB9D37B0B}" name="202504" dataDxfId="148"/>
    <tableColumn id="19" xr3:uid="{6B617E36-418A-40B1-93C8-71AA21A9F828}" name="202505" dataDxfId="147"/>
    <tableColumn id="20" xr3:uid="{16720186-0B5A-49C5-A085-261DE6766A70}" name="202506" dataDxfId="146"/>
    <tableColumn id="21" xr3:uid="{3E453592-F782-41F9-A36B-9139DA7D86A5}" name="202507" dataDxfId="145"/>
    <tableColumn id="22" xr3:uid="{2628E49B-07F5-45C2-BA92-2C74845D459C}" name="202508" dataDxfId="144"/>
    <tableColumn id="23" xr3:uid="{0D9028C5-A260-4A28-B06B-391FB10070D5}" name="202509" dataDxfId="143"/>
    <tableColumn id="24" xr3:uid="{603D5620-6146-4AE4-94F5-30942B5D73DF}" name="202510" dataDxfId="142"/>
    <tableColumn id="25" xr3:uid="{00D8A09F-BE39-4EEA-B62B-865FC8065887}" name="202511" dataDxfId="141"/>
    <tableColumn id="26" xr3:uid="{35C8A619-1B34-4A64-8C72-BB4B73095B12}" name="202512" dataDxfId="140"/>
    <tableColumn id="27" xr3:uid="{DF55ACE8-D72F-45AA-BBE6-E741D8EE002A}" name="202601" dataDxfId="139"/>
    <tableColumn id="28" xr3:uid="{5B414EB3-9849-4577-BFF6-1F758B37BA95}" name="202602" dataDxfId="13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A3082B1-0155-4C6F-A8F4-25F6236E827D}" name="Tabell4" displayName="Tabell4" ref="A82:AB97" totalsRowShown="0">
  <autoFilter ref="A82:AB97" xr:uid="{CA3082B1-0155-4C6F-A8F4-25F6236E827D}">
    <filterColumn colId="0">
      <filters>
        <filter val="Medelvärde Stor-GBG"/>
      </filters>
    </filterColumn>
  </autoFilter>
  <tableColumns count="28">
    <tableColumn id="1" xr3:uid="{7DCCBAA0-BF23-4A37-ACAB-8A23B4518B50}" name="Other direct costs / listad pat"/>
    <tableColumn id="2" xr3:uid="{E0288629-C1E9-40CC-9B3C-9530F58CF21A}" name="202312" dataDxfId="137">
      <calculatedColumnFormula>(Info!C90/Info!C5)*-1</calculatedColumnFormula>
    </tableColumn>
    <tableColumn id="3" xr3:uid="{6512AD4B-BF85-4D85-A3A8-8C59C4A9D537}" name="202401" dataDxfId="136">
      <calculatedColumnFormula>(Info!D90/Info!D5)*-1</calculatedColumnFormula>
    </tableColumn>
    <tableColumn id="4" xr3:uid="{032FFD71-C5D1-416D-90D5-956E3E7A15EE}" name="202402" dataDxfId="135">
      <calculatedColumnFormula>(Info!E90/Info!E5)*-1</calculatedColumnFormula>
    </tableColumn>
    <tableColumn id="5" xr3:uid="{91EA3EB3-CB40-4E85-B0AE-E9DD5FEF737E}" name="202403" dataDxfId="134">
      <calculatedColumnFormula>(Info!F90/Info!F5)*-1</calculatedColumnFormula>
    </tableColumn>
    <tableColumn id="6" xr3:uid="{55CCCA29-245F-4BAB-BA31-1C42A994679F}" name="202404" dataDxfId="133">
      <calculatedColumnFormula>(Info!G90/Info!G5)*-1</calculatedColumnFormula>
    </tableColumn>
    <tableColumn id="7" xr3:uid="{3D30ABCA-1CBD-4BDE-BD60-B570E9088B90}" name="202405" dataDxfId="132">
      <calculatedColumnFormula>(Info!H90/Info!H5)*-1</calculatedColumnFormula>
    </tableColumn>
    <tableColumn id="8" xr3:uid="{4D06CC6E-5DC8-4602-9C8C-4E74B4C82967}" name="202406" dataDxfId="131">
      <calculatedColumnFormula>(Info!I90/Info!I5)*-1</calculatedColumnFormula>
    </tableColumn>
    <tableColumn id="9" xr3:uid="{367ACAD6-1463-4096-ADF6-3AE980B7CB9E}" name="202407" dataDxfId="130">
      <calculatedColumnFormula>(Info!J90/Info!J5)*-1</calculatedColumnFormula>
    </tableColumn>
    <tableColumn id="10" xr3:uid="{D607FD5F-EA1B-4E18-A596-1DB6D1AAF1F8}" name="202408" dataDxfId="129">
      <calculatedColumnFormula>(Info!K90/Info!K5)*-1</calculatedColumnFormula>
    </tableColumn>
    <tableColumn id="11" xr3:uid="{AFA2C18A-ECF2-49F1-AEDB-1277147330A9}" name="202409" dataDxfId="128">
      <calculatedColumnFormula>(Info!L90/Info!L5)*-1</calculatedColumnFormula>
    </tableColumn>
    <tableColumn id="12" xr3:uid="{C2864B72-C235-443E-AE22-7DD27BCA215C}" name="202410" dataDxfId="127">
      <calculatedColumnFormula>(Info!M90/Info!M5)*-1</calculatedColumnFormula>
    </tableColumn>
    <tableColumn id="13" xr3:uid="{C0379351-2057-4FD3-9FDD-36ACC7274912}" name="202411" dataDxfId="126">
      <calculatedColumnFormula>(Info!N90/Info!N5)*-1</calculatedColumnFormula>
    </tableColumn>
    <tableColumn id="14" xr3:uid="{8477C10C-31D4-42E8-8263-E341806E08B5}" name="202412" dataDxfId="125">
      <calculatedColumnFormula>(Info!O90/Info!O5)*-1</calculatedColumnFormula>
    </tableColumn>
    <tableColumn id="15" xr3:uid="{DCC4B3C7-0151-4D2F-BBC4-C22B35692CF1}" name="202501" dataDxfId="124">
      <calculatedColumnFormula>(Info!P90/Info!P5)*-1</calculatedColumnFormula>
    </tableColumn>
    <tableColumn id="16" xr3:uid="{846BA969-C322-4ABD-A6FD-D53D9110418A}" name="202502" dataDxfId="123"/>
    <tableColumn id="17" xr3:uid="{7D72B06F-88E1-4719-93A0-9B6702C135BF}" name="202503" dataDxfId="122"/>
    <tableColumn id="18" xr3:uid="{F2BCDF4B-E902-4A90-81E7-922006AA98B0}" name="202504" dataDxfId="121"/>
    <tableColumn id="19" xr3:uid="{DBE2CEB3-94AD-4664-83E2-2FB5F10ECFBB}" name="202505" dataDxfId="120"/>
    <tableColumn id="20" xr3:uid="{B6E0B79D-FC89-423B-9881-1B8BDB0EF00E}" name="202506" dataDxfId="119"/>
    <tableColumn id="21" xr3:uid="{C666A12E-92B3-44B1-AABB-E21C98F3E64B}" name="202507" dataDxfId="118"/>
    <tableColumn id="22" xr3:uid="{45B8AEFB-BF3D-4AD9-BD96-A664B1C2C91C}" name="202508" dataDxfId="117"/>
    <tableColumn id="23" xr3:uid="{2F0FD50B-23ED-4E08-AE09-1228A5913649}" name="202509" dataDxfId="116"/>
    <tableColumn id="24" xr3:uid="{2AB6C3E1-02A2-44AE-9DF7-9FE76F7C604A}" name="202510" dataDxfId="115"/>
    <tableColumn id="25" xr3:uid="{A37D02FA-1760-4958-8287-1990F73F98BC}" name="202511" dataDxfId="114"/>
    <tableColumn id="26" xr3:uid="{CC5D2F8E-D882-4C0A-B612-0E90B2B7A429}" name="202512" dataDxfId="113"/>
    <tableColumn id="27" xr3:uid="{7ADCE6C3-718A-4B29-884C-E2BE19CC8D30}" name="202601" dataDxfId="112"/>
    <tableColumn id="28" xr3:uid="{84B6D4EC-9987-41C7-B2E7-20C491A38BB9}" name="202602" dataDxfId="11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B4ED22D-B063-4F57-A236-4A46EE2F3E05}" name="Tabell2" displayName="Tabell2" ref="A123:AB130" totalsRowCount="1" headerRowDxfId="110">
  <autoFilter ref="A123:AB129" xr:uid="{BB4ED22D-B063-4F57-A236-4A46EE2F3E05}">
    <filterColumn colId="0">
      <filters>
        <filter val="Antal listningpoäng"/>
      </filters>
    </filterColumn>
  </autoFilter>
  <tableColumns count="28">
    <tableColumn id="1" xr3:uid="{2A89922F-71BC-48AE-8ED7-5F4092D5DF9D}" name="Stor-GBG AO" totalsRowLabel="Diff" dataDxfId="109" totalsRowDxfId="108"/>
    <tableColumn id="2" xr3:uid="{37841109-A528-4DBD-ABDA-F34846A328CE}" name="202312" totalsRowFunction="custom" dataDxfId="107" totalsRowDxfId="106">
      <totalsRowFormula>Info!C20</totalsRowFormula>
    </tableColumn>
    <tableColumn id="3" xr3:uid="{6946CE52-9B8F-423D-932C-5804C9DE8CF1}" name="202401" totalsRowFunction="custom" dataDxfId="105" totalsRowDxfId="104">
      <totalsRowFormula>Info!D20</totalsRowFormula>
    </tableColumn>
    <tableColumn id="4" xr3:uid="{6C04F944-5FDA-4301-9F20-3441A818C824}" name="202402" totalsRowFunction="custom" dataDxfId="103" totalsRowDxfId="102">
      <totalsRowFormula>Info!E20</totalsRowFormula>
    </tableColumn>
    <tableColumn id="5" xr3:uid="{595A47A6-9C09-4795-A52D-F34B5EDE2ABB}" name="202403" totalsRowFunction="custom" dataDxfId="101" totalsRowDxfId="100">
      <totalsRowFormula>Info!F20</totalsRowFormula>
    </tableColumn>
    <tableColumn id="6" xr3:uid="{BEED2614-B409-4EA7-93EF-5B8DEF4CA1B4}" name="202404" totalsRowFunction="custom" dataDxfId="99" totalsRowDxfId="98">
      <totalsRowFormula>Info!G20</totalsRowFormula>
    </tableColumn>
    <tableColumn id="7" xr3:uid="{8E6AD702-354C-4F72-AEB0-F35332E457BA}" name="202405" totalsRowFunction="custom" dataDxfId="97" totalsRowDxfId="96">
      <totalsRowFormula>Info!H20</totalsRowFormula>
    </tableColumn>
    <tableColumn id="8" xr3:uid="{251645F3-6D5E-4ACC-8612-8CED62A27E77}" name="202406" totalsRowFunction="custom" dataDxfId="95" totalsRowDxfId="94">
      <totalsRowFormula>Info!I20</totalsRowFormula>
    </tableColumn>
    <tableColumn id="9" xr3:uid="{928F5759-7665-4199-A852-40FDCD195294}" name="202407" totalsRowFunction="custom" dataDxfId="93" totalsRowDxfId="92">
      <totalsRowFormula>Info!J20</totalsRowFormula>
    </tableColumn>
    <tableColumn id="10" xr3:uid="{E9D01D2F-08BC-4778-997C-AE95DE5A45BD}" name="202408" totalsRowFunction="custom" dataDxfId="91" totalsRowDxfId="90">
      <totalsRowFormula>Info!K20</totalsRowFormula>
    </tableColumn>
    <tableColumn id="11" xr3:uid="{1ED25E34-8549-4F0C-97C9-6797193D9E6B}" name="202409" totalsRowFunction="custom" dataDxfId="89" totalsRowDxfId="88">
      <totalsRowFormula>Info!L20</totalsRowFormula>
    </tableColumn>
    <tableColumn id="12" xr3:uid="{E1D16D09-4127-448B-84B6-3E83CAAF10FB}" name="202410" totalsRowFunction="custom" dataDxfId="87" totalsRowDxfId="86">
      <totalsRowFormula>Info!M20</totalsRowFormula>
    </tableColumn>
    <tableColumn id="13" xr3:uid="{D93AF7A8-E406-4E6C-811B-CFA4D3E5F7F2}" name="202411" totalsRowFunction="custom" dataDxfId="85" totalsRowDxfId="84">
      <totalsRowFormula>Info!N20</totalsRowFormula>
    </tableColumn>
    <tableColumn id="14" xr3:uid="{A11B879C-05FC-4363-86E3-D9221BA15C4C}" name="202412" totalsRowFunction="custom" dataDxfId="83" totalsRowDxfId="82">
      <totalsRowFormula>Info!O20</totalsRowFormula>
    </tableColumn>
    <tableColumn id="15" xr3:uid="{D6CD9565-54FD-4120-90E5-C1ABE166F759}" name="202501" totalsRowFunction="custom" dataDxfId="81" totalsRowDxfId="80">
      <totalsRowFormula>Info!P20</totalsRowFormula>
    </tableColumn>
    <tableColumn id="16" xr3:uid="{28BD5516-FFF1-40E6-96A3-F181AD0D96D3}" name="202502" totalsRowFunction="custom" dataDxfId="79" totalsRowDxfId="78">
      <totalsRowFormula>Info!Q20</totalsRowFormula>
    </tableColumn>
    <tableColumn id="17" xr3:uid="{6A54B5D6-FC34-4CEB-8EC6-6E1EBAA59332}" name="202503" totalsRowFunction="custom" dataDxfId="77" totalsRowDxfId="76">
      <totalsRowFormula>Info!R20</totalsRowFormula>
    </tableColumn>
    <tableColumn id="18" xr3:uid="{849FD4A1-88EE-4031-AA04-7AC7EDBF5895}" name="202504" totalsRowFunction="custom" dataDxfId="75" totalsRowDxfId="74">
      <totalsRowFormula>Info!S20</totalsRowFormula>
    </tableColumn>
    <tableColumn id="19" xr3:uid="{94BD00B9-47E2-46A8-8D45-71E46EE0BF4B}" name="202505" totalsRowFunction="custom" dataDxfId="73" totalsRowDxfId="72">
      <totalsRowFormula>Info!T20</totalsRowFormula>
    </tableColumn>
    <tableColumn id="20" xr3:uid="{AD6F6C89-D637-47AF-BE55-A4EC9ECFCE5B}" name="202506" totalsRowFunction="custom" dataDxfId="71" totalsRowDxfId="70">
      <totalsRowFormula>Info!U20</totalsRowFormula>
    </tableColumn>
    <tableColumn id="21" xr3:uid="{627CE493-B586-41F5-8078-CF7CBB6F110D}" name="202507" totalsRowFunction="custom" dataDxfId="69" totalsRowDxfId="68">
      <totalsRowFormula>Info!V20</totalsRowFormula>
    </tableColumn>
    <tableColumn id="22" xr3:uid="{809E97E5-086E-4EAF-A1A3-77A182BA9AEB}" name="202508" totalsRowFunction="custom" dataDxfId="67" totalsRowDxfId="66">
      <totalsRowFormula>Info!W20</totalsRowFormula>
    </tableColumn>
    <tableColumn id="23" xr3:uid="{1D4A1208-642F-496A-8899-278198ED13D0}" name="202509" totalsRowFunction="custom" dataDxfId="65" totalsRowDxfId="64">
      <totalsRowFormula>Info!X20</totalsRowFormula>
    </tableColumn>
    <tableColumn id="24" xr3:uid="{6F247094-9C70-49AE-8B5E-4E4C5AA01555}" name="202510" totalsRowFunction="custom" dataDxfId="63" totalsRowDxfId="62">
      <totalsRowFormula>Info!Y20</totalsRowFormula>
    </tableColumn>
    <tableColumn id="25" xr3:uid="{1BC58F00-F964-4188-BD65-CC453321352A}" name="202511" totalsRowFunction="custom" dataDxfId="61" totalsRowDxfId="60">
      <totalsRowFormula>Info!Z20</totalsRowFormula>
    </tableColumn>
    <tableColumn id="26" xr3:uid="{5E5D86DF-B06A-4072-857B-DDA8B6C6102B}" name="202512" totalsRowFunction="custom" dataDxfId="59" totalsRowDxfId="58">
      <totalsRowFormula>Info!AA20</totalsRowFormula>
    </tableColumn>
    <tableColumn id="27" xr3:uid="{FB7DD496-8F85-4605-8565-17D57CE63B4F}" name="202601" totalsRowFunction="custom" dataDxfId="57" totalsRowDxfId="56">
      <totalsRowFormula>Info!AB20</totalsRowFormula>
    </tableColumn>
    <tableColumn id="28" xr3:uid="{A39DEDBB-6159-4C6E-B79A-676F7A736D11}" name="202602" totalsRowFunction="custom" dataDxfId="55" totalsRowDxfId="54">
      <totalsRowFormula>Info!AC20</totalsRow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7C423A4-DBFC-4FD4-A515-C97C94EB49BF}" name="Tabell5" displayName="Tabell5" ref="A153:AB168" totalsRowShown="0">
  <autoFilter ref="A153:AB168" xr:uid="{07C423A4-DBFC-4FD4-A515-C97C94EB49BF}">
    <filterColumn colId="0">
      <filters>
        <filter val="Citysjukhuset Plus 7 vårdcentral"/>
      </filters>
    </filterColumn>
  </autoFilter>
  <sortState xmlns:xlrd2="http://schemas.microsoft.com/office/spreadsheetml/2017/richdata2" ref="A154:R167">
    <sortCondition ref="A153:A167"/>
  </sortState>
  <tableColumns count="28">
    <tableColumn id="1" xr3:uid="{2AD644BF-5377-4F03-BF2B-77A154847C42}" name="ACG casemix"/>
    <tableColumn id="2" xr3:uid="{5A1511B7-44AE-4F1A-AE99-94DD27AB6799}" name="202312" dataDxfId="53"/>
    <tableColumn id="3" xr3:uid="{F4AE0676-9231-4EF9-A95C-B6A7C495FCA1}" name="202401" dataDxfId="52"/>
    <tableColumn id="4" xr3:uid="{5AE78786-0DD0-49D7-B500-131959B50749}" name="202402" dataDxfId="51"/>
    <tableColumn id="5" xr3:uid="{22B6A466-E858-4FBD-BE11-F0C6E824B8C0}" name="202403" dataDxfId="50"/>
    <tableColumn id="6" xr3:uid="{FB0CAE8B-655D-408A-B2D5-B37D201B67C5}" name="202404" dataDxfId="49"/>
    <tableColumn id="7" xr3:uid="{8A139307-4EB7-47B8-8D54-C53538778238}" name="202405" dataDxfId="48"/>
    <tableColumn id="8" xr3:uid="{D4A5C97E-B215-4E07-8CE4-2C7DD98C99CF}" name="202406" dataDxfId="47"/>
    <tableColumn id="9" xr3:uid="{E886DAF8-2429-41C0-9244-2A04B6DBFA94}" name="202407" dataDxfId="46"/>
    <tableColumn id="10" xr3:uid="{39F255A5-995B-4334-B270-F5ADA45B81FF}" name="202408" dataDxfId="45"/>
    <tableColumn id="11" xr3:uid="{27944E4F-39B6-4D49-9649-6E84598552A2}" name="202409" dataDxfId="44"/>
    <tableColumn id="12" xr3:uid="{2D073767-63AD-4D56-81FD-39F247BA270D}" name="202410" dataDxfId="43"/>
    <tableColumn id="13" xr3:uid="{3F22B432-2E09-4196-B9DC-D17F067EEBD3}" name="202411" dataDxfId="42"/>
    <tableColumn id="14" xr3:uid="{784834F5-816A-40EC-A75B-2CE94BB926B9}" name="202412" dataDxfId="41"/>
    <tableColumn id="15" xr3:uid="{215A3FA9-F11D-480D-A6DE-2D4254998FD9}" name="202501" dataDxfId="40"/>
    <tableColumn id="16" xr3:uid="{CDF1267E-709B-4A4A-897E-ECE2EF5A778E}" name="202502" dataDxfId="39"/>
    <tableColumn id="17" xr3:uid="{ECBD43D6-EC00-42EC-8A94-2FF241F1DB15}" name="202503" dataDxfId="38"/>
    <tableColumn id="18" xr3:uid="{FECCE8B0-A71C-49EF-95EE-C12B60A550B2}" name="202504" dataDxfId="37"/>
    <tableColumn id="19" xr3:uid="{F741A085-EF03-497D-A560-6A345ED5BB71}" name="202505" dataDxfId="36"/>
    <tableColumn id="20" xr3:uid="{00C00E4C-BB80-4689-AD9E-43FE36861D84}" name="202506" dataDxfId="35"/>
    <tableColumn id="21" xr3:uid="{BA260477-75E3-4032-B340-67C775211707}" name="202507" dataDxfId="34"/>
    <tableColumn id="22" xr3:uid="{8471FB9C-2022-462E-B03B-FE0CFA72DFD8}" name="202508" dataDxfId="33"/>
    <tableColumn id="23" xr3:uid="{C5122BEB-E917-47CE-B332-34D749F73141}" name="202509" dataDxfId="32"/>
    <tableColumn id="24" xr3:uid="{B3FA3FD3-E408-4ECC-BAC1-78F4D5D534F4}" name="202510" dataDxfId="31"/>
    <tableColumn id="25" xr3:uid="{1C78F738-11E7-4480-BA07-A9B3E42BEC98}" name="202511" dataDxfId="30"/>
    <tableColumn id="26" xr3:uid="{66F9B356-51A7-4E33-9C29-7A754A2218D2}" name="202512" dataDxfId="29"/>
    <tableColumn id="27" xr3:uid="{40D9D652-E490-45E1-9713-B9704EEA46F8}" name="202601" dataDxfId="28"/>
    <tableColumn id="28" xr3:uid="{7F578DCD-0912-4CBA-AF58-E33C5FC58BFE}" name="202602" dataDxfId="27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5EDB007-E35F-490C-B2A4-8F70E1978C72}" name="Tabell6" displayName="Tabell6" ref="A198:AB212" totalsRowShown="0">
  <autoFilter ref="A198:AB212" xr:uid="{B5EDB007-E35F-490C-B2A4-8F70E1978C72}">
    <filterColumn colId="0">
      <filters>
        <filter val="Omtanken Vårdcentral Kållered"/>
      </filters>
    </filterColumn>
  </autoFilter>
  <tableColumns count="28">
    <tableColumn id="1" xr3:uid="{B62F7516-8367-4B22-A958-8E1D8D6BD2A3}" name="Antal listade pat"/>
    <tableColumn id="2" xr3:uid="{E401BA94-9A54-44F3-BEA2-9B51342142ED}" name="202312">
      <calculatedColumnFormula>Info!C5</calculatedColumnFormula>
    </tableColumn>
    <tableColumn id="3" xr3:uid="{4F051815-AA9D-459E-B75C-64985BF38FDE}" name="202401">
      <calculatedColumnFormula>Info!D5</calculatedColumnFormula>
    </tableColumn>
    <tableColumn id="4" xr3:uid="{C8A245AC-1D67-4946-8EF4-0C4657067E9A}" name="202402">
      <calculatedColumnFormula>Info!E5</calculatedColumnFormula>
    </tableColumn>
    <tableColumn id="5" xr3:uid="{849F0D55-B489-498E-BF25-5BD847BAD5A0}" name="202403">
      <calculatedColumnFormula>Info!F5</calculatedColumnFormula>
    </tableColumn>
    <tableColumn id="6" xr3:uid="{2D6DE4B9-60F9-444B-8A71-BF7F58B2D81B}" name="202404">
      <calculatedColumnFormula>Info!G5</calculatedColumnFormula>
    </tableColumn>
    <tableColumn id="7" xr3:uid="{210147C2-73E6-4D90-BC43-BA13359BCE7F}" name="202405">
      <calculatedColumnFormula>Info!H5</calculatedColumnFormula>
    </tableColumn>
    <tableColumn id="8" xr3:uid="{C01FA230-1F67-446C-8FFA-98C32025538C}" name="202406">
      <calculatedColumnFormula>Info!I5</calculatedColumnFormula>
    </tableColumn>
    <tableColumn id="9" xr3:uid="{1B289609-96BF-4AE2-A663-5A6D3C4E480C}" name="202407">
      <calculatedColumnFormula>Info!J5</calculatedColumnFormula>
    </tableColumn>
    <tableColumn id="10" xr3:uid="{A5B1E09C-2BB5-4E7F-886C-7CC0845B538D}" name="202408">
      <calculatedColumnFormula>Info!K5</calculatedColumnFormula>
    </tableColumn>
    <tableColumn id="11" xr3:uid="{D3593AF9-2556-45D2-8A6C-635353E2BA70}" name="202409">
      <calculatedColumnFormula>Info!L5</calculatedColumnFormula>
    </tableColumn>
    <tableColumn id="12" xr3:uid="{5F664DDC-17BF-41D6-8492-C34411D5B94D}" name="202410">
      <calculatedColumnFormula>Info!M5</calculatedColumnFormula>
    </tableColumn>
    <tableColumn id="13" xr3:uid="{5267F462-CE83-40DB-867C-D0B72D56B878}" name="202411">
      <calculatedColumnFormula>Info!N5</calculatedColumnFormula>
    </tableColumn>
    <tableColumn id="14" xr3:uid="{867A46A7-AB25-4D25-B55B-1BA0B150DBCF}" name="202412">
      <calculatedColumnFormula>Info!O5</calculatedColumnFormula>
    </tableColumn>
    <tableColumn id="15" xr3:uid="{6B16F71A-F5B0-4ECE-BA28-10768A6CF47D}" name="202501">
      <calculatedColumnFormula>Info!P5</calculatedColumnFormula>
    </tableColumn>
    <tableColumn id="16" xr3:uid="{8B5F4DC4-7B37-419A-97E5-EC1FC6BA71E8}" name="202502">
      <calculatedColumnFormula>Info!Q5</calculatedColumnFormula>
    </tableColumn>
    <tableColumn id="17" xr3:uid="{F01FC586-D546-45BB-9DDF-3BBDBE8C0429}" name="202503">
      <calculatedColumnFormula>Info!R5</calculatedColumnFormula>
    </tableColumn>
    <tableColumn id="18" xr3:uid="{CA826991-F4AD-406A-97F7-BC8B8947760D}" name="202504">
      <calculatedColumnFormula>Info!S5</calculatedColumnFormula>
    </tableColumn>
    <tableColumn id="19" xr3:uid="{F017E0EA-D92E-4E00-9D09-C1F7085CCCE9}" name="202505">
      <calculatedColumnFormula>Info!T5</calculatedColumnFormula>
    </tableColumn>
    <tableColumn id="20" xr3:uid="{D0FA0126-ADFF-44D7-96D0-EF1A1DD59107}" name="202506">
      <calculatedColumnFormula>Info!U5</calculatedColumnFormula>
    </tableColumn>
    <tableColumn id="21" xr3:uid="{98D0B570-60EF-4083-A183-A5DDBD520AE7}" name="202507">
      <calculatedColumnFormula>Info!V5</calculatedColumnFormula>
    </tableColumn>
    <tableColumn id="22" xr3:uid="{A5640BCC-49F7-4C3B-A9E0-C0EDA417AC20}" name="202508">
      <calculatedColumnFormula>Info!W5</calculatedColumnFormula>
    </tableColumn>
    <tableColumn id="23" xr3:uid="{B56185B0-1E04-4B34-ABE5-1EEFAE3DAFE9}" name="202509">
      <calculatedColumnFormula>Info!X5</calculatedColumnFormula>
    </tableColumn>
    <tableColumn id="24" xr3:uid="{D73BB099-A17E-4098-B7E4-EAA52C427F33}" name="202510">
      <calculatedColumnFormula>Info!Y5</calculatedColumnFormula>
    </tableColumn>
    <tableColumn id="25" xr3:uid="{C4A79370-9EEA-45EB-AE52-9D93BA76AF3A}" name="202511">
      <calculatedColumnFormula>Info!Z5</calculatedColumnFormula>
    </tableColumn>
    <tableColumn id="26" xr3:uid="{7598A9FC-CFC5-462B-A9C8-2E4AB2510F38}" name="202512">
      <calculatedColumnFormula>Info!AA5</calculatedColumnFormula>
    </tableColumn>
    <tableColumn id="27" xr3:uid="{6C87FA78-73F9-4CFF-88BB-9A6A197CCADC}" name="202601">
      <calculatedColumnFormula>Info!AB5</calculatedColumnFormula>
    </tableColumn>
    <tableColumn id="28" xr3:uid="{3759DF96-7712-4CBD-A4F1-6ABFA12D7EF1}" name="202602">
      <calculatedColumnFormula>Info!AC5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43390DF-9322-4967-ABBF-9155FA8707FA}" name="Tabell7" displayName="Tabell7" ref="A240:AB241" totalsRowShown="0">
  <autoFilter ref="A240:AB241" xr:uid="{B43390DF-9322-4967-ABBF-9155FA8707FA}"/>
  <tableColumns count="28">
    <tableColumn id="1" xr3:uid="{F282A597-B2EC-4163-A1B3-1CAEB407BCE3}" name="Total antallistade patienter"/>
    <tableColumn id="2" xr3:uid="{DF10CDD3-924B-40E7-B6DE-2A9924A50E05}" name="202312">
      <calculatedColumnFormula>Info!C18</calculatedColumnFormula>
    </tableColumn>
    <tableColumn id="3" xr3:uid="{E201F854-B9C5-443C-AC29-DF289C8D14E6}" name="202401">
      <calculatedColumnFormula>Info!D18</calculatedColumnFormula>
    </tableColumn>
    <tableColumn id="4" xr3:uid="{E5425478-5C20-463F-8908-6437D25CDEC2}" name="202402">
      <calculatedColumnFormula>Info!E18</calculatedColumnFormula>
    </tableColumn>
    <tableColumn id="5" xr3:uid="{800EE1F7-E09D-453C-B572-D85F3B7E2D1C}" name="202403">
      <calculatedColumnFormula>Info!F18</calculatedColumnFormula>
    </tableColumn>
    <tableColumn id="6" xr3:uid="{C2F777AF-4AFA-4E23-AD80-51941F7FD3E4}" name="202404">
      <calculatedColumnFormula>Info!G18</calculatedColumnFormula>
    </tableColumn>
    <tableColumn id="7" xr3:uid="{EF0A7C54-95B2-4C10-A1FE-4A224474E2EB}" name="202405">
      <calculatedColumnFormula>Info!H18</calculatedColumnFormula>
    </tableColumn>
    <tableColumn id="8" xr3:uid="{A6EA24D5-44A5-4706-B192-FEC5C8E440CE}" name="202406">
      <calculatedColumnFormula>Info!I18</calculatedColumnFormula>
    </tableColumn>
    <tableColumn id="9" xr3:uid="{0402F6CE-3DB6-4752-9774-232331F3775F}" name="202407">
      <calculatedColumnFormula>Info!J18</calculatedColumnFormula>
    </tableColumn>
    <tableColumn id="10" xr3:uid="{63C8C59F-DA9B-4E3E-968A-1102AD107796}" name="202408">
      <calculatedColumnFormula>Info!K18</calculatedColumnFormula>
    </tableColumn>
    <tableColumn id="11" xr3:uid="{44D2EC19-9678-4003-A3C4-8A582B482CA8}" name="202409">
      <calculatedColumnFormula>Info!L18</calculatedColumnFormula>
    </tableColumn>
    <tableColumn id="12" xr3:uid="{151D31B7-5FF7-4112-A324-A4A56F9B1948}" name="202410">
      <calculatedColumnFormula>Info!M18</calculatedColumnFormula>
    </tableColumn>
    <tableColumn id="13" xr3:uid="{43E1F1C7-5373-4138-99E6-61C950E20C54}" name="202411">
      <calculatedColumnFormula>Info!N18</calculatedColumnFormula>
    </tableColumn>
    <tableColumn id="14" xr3:uid="{1A40CB04-858A-4A2F-8E97-581AA970FE88}" name="202412">
      <calculatedColumnFormula>Info!O18</calculatedColumnFormula>
    </tableColumn>
    <tableColumn id="15" xr3:uid="{9C70293F-893C-4650-B138-38EB10D3EF84}" name="202501">
      <calculatedColumnFormula>Info!P18</calculatedColumnFormula>
    </tableColumn>
    <tableColumn id="16" xr3:uid="{973371AE-72A7-4B71-ABC5-C139B4CB066A}" name="202502">
      <calculatedColumnFormula>Info!Q18</calculatedColumnFormula>
    </tableColumn>
    <tableColumn id="17" xr3:uid="{1DBC70E1-A1FD-4916-919D-3CC355E4CDD3}" name="202503">
      <calculatedColumnFormula>Info!R18</calculatedColumnFormula>
    </tableColumn>
    <tableColumn id="18" xr3:uid="{D9F6A67F-387A-4FA9-B839-817170984877}" name="202504">
      <calculatedColumnFormula>Info!S19</calculatedColumnFormula>
    </tableColumn>
    <tableColumn id="19" xr3:uid="{9B375070-D0E0-4FC3-A9B7-6FAD5389196D}" name="202505">
      <calculatedColumnFormula>Info!T19</calculatedColumnFormula>
    </tableColumn>
    <tableColumn id="20" xr3:uid="{67C01DD8-A529-478A-97DE-F87C9F2415F0}" name="202506">
      <calculatedColumnFormula>Info!U19</calculatedColumnFormula>
    </tableColumn>
    <tableColumn id="21" xr3:uid="{D48CA424-FC47-4D20-B004-E0330C72ED6F}" name="202507">
      <calculatedColumnFormula>Info!V19</calculatedColumnFormula>
    </tableColumn>
    <tableColumn id="22" xr3:uid="{4A187DF1-B3F1-4D6C-8E3D-E476C760A0B8}" name="202508">
      <calculatedColumnFormula>Info!W19</calculatedColumnFormula>
    </tableColumn>
    <tableColumn id="23" xr3:uid="{EFDBE42F-2284-497C-B5F7-5863011B3F10}" name="202509">
      <calculatedColumnFormula>Info!X19</calculatedColumnFormula>
    </tableColumn>
    <tableColumn id="24" xr3:uid="{99DBAEBA-4C25-4260-8012-8D09EF3268A5}" name="202510">
      <calculatedColumnFormula>Info!Y19</calculatedColumnFormula>
    </tableColumn>
    <tableColumn id="25" xr3:uid="{00884410-1368-4F73-BC96-5CEB9E410C45}" name="202511">
      <calculatedColumnFormula>Info!Z19</calculatedColumnFormula>
    </tableColumn>
    <tableColumn id="26" xr3:uid="{C3020EE1-64B0-4F04-94E0-784AE707F320}" name="202512">
      <calculatedColumnFormula>Info!AA19</calculatedColumnFormula>
    </tableColumn>
    <tableColumn id="27" xr3:uid="{DDD46A11-7AC7-4E36-AF50-5B508F27FAB7}" name="202601">
      <calculatedColumnFormula>Info!AB19</calculatedColumnFormula>
    </tableColumn>
    <tableColumn id="28" xr3:uid="{ADF8D9AA-4841-4379-A1B7-D76E4FEC4018}" name="202602">
      <calculatedColumnFormula>Info!AC19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1CA9A6B-F17C-45D1-B7D7-E99145A24CAD}" name="Tabell8" displayName="Tabell8" ref="A264:AB265" totalsRowShown="0">
  <autoFilter ref="A264:AB265" xr:uid="{B1CA9A6B-F17C-45D1-B7D7-E99145A24CAD}"/>
  <tableColumns count="28">
    <tableColumn id="1" xr3:uid="{D49157C7-4603-471F-9C6F-B476D63A8E08}" name="ACG casemix"/>
    <tableColumn id="2" xr3:uid="{1D19BB0E-CBCE-4A3B-A41F-C9C5AF0FF20D}" name="202312" dataDxfId="26">
      <calculatedColumnFormula>Info!C53</calculatedColumnFormula>
    </tableColumn>
    <tableColumn id="3" xr3:uid="{5BB150B7-4FFF-4FF4-9B63-D4791A0F2EA7}" name="202401" dataDxfId="25">
      <calculatedColumnFormula>Info!D53</calculatedColumnFormula>
    </tableColumn>
    <tableColumn id="4" xr3:uid="{9E62B220-98FB-4C83-8AD6-CA06DD543DE8}" name="202402" dataDxfId="24">
      <calculatedColumnFormula>Info!E53</calculatedColumnFormula>
    </tableColumn>
    <tableColumn id="5" xr3:uid="{ECE37D9B-1B58-420C-9386-5B34F93D3E05}" name="202403" dataDxfId="23">
      <calculatedColumnFormula>Info!F53</calculatedColumnFormula>
    </tableColumn>
    <tableColumn id="6" xr3:uid="{69F9E18D-3A90-401C-8269-E2BC53FE4DB2}" name="202404" dataDxfId="22">
      <calculatedColumnFormula>Info!G53</calculatedColumnFormula>
    </tableColumn>
    <tableColumn id="7" xr3:uid="{AC07E4FB-F156-4BC9-BECE-CBF9D63B24BC}" name="202405" dataDxfId="21">
      <calculatedColumnFormula>Info!H53</calculatedColumnFormula>
    </tableColumn>
    <tableColumn id="8" xr3:uid="{FA19A6F2-B2CB-44E1-A324-5DF3D33CE38C}" name="202406" dataDxfId="20">
      <calculatedColumnFormula>Info!I53</calculatedColumnFormula>
    </tableColumn>
    <tableColumn id="9" xr3:uid="{5C60380B-B08C-4CEE-8C6D-B596CFA4D540}" name="202407" dataDxfId="19">
      <calculatedColumnFormula>Info!J53</calculatedColumnFormula>
    </tableColumn>
    <tableColumn id="10" xr3:uid="{679EFD9E-2AA7-4A3C-9A5E-97AF2C591D19}" name="202408" dataDxfId="18">
      <calculatedColumnFormula>Info!K53</calculatedColumnFormula>
    </tableColumn>
    <tableColumn id="11" xr3:uid="{5A11F459-BC43-4A4F-8022-391A1963BEE9}" name="202409" dataDxfId="17">
      <calculatedColumnFormula>Info!L53</calculatedColumnFormula>
    </tableColumn>
    <tableColumn id="12" xr3:uid="{E657DAFE-D379-4DAD-A15E-2104F74CD257}" name="202410" dataDxfId="16">
      <calculatedColumnFormula>Info!M53</calculatedColumnFormula>
    </tableColumn>
    <tableColumn id="13" xr3:uid="{9A256E07-8DC2-49E0-A6D2-5A5A0D00E399}" name="202411" dataDxfId="15">
      <calculatedColumnFormula>Info!N53</calculatedColumnFormula>
    </tableColumn>
    <tableColumn id="14" xr3:uid="{982C4553-AEB2-4505-83A7-D0DA9FCD465E}" name="202412" dataDxfId="14">
      <calculatedColumnFormula>Info!O53</calculatedColumnFormula>
    </tableColumn>
    <tableColumn id="15" xr3:uid="{9AAF3CC9-322B-4ED0-AF5B-4B7E34C518B7}" name="202501" dataDxfId="13">
      <calculatedColumnFormula>Info!P53</calculatedColumnFormula>
    </tableColumn>
    <tableColumn id="16" xr3:uid="{61DF9EF0-FADF-4D44-84D5-0B3E0128CAB7}" name="202502" dataDxfId="12">
      <calculatedColumnFormula>Info!Q53</calculatedColumnFormula>
    </tableColumn>
    <tableColumn id="17" xr3:uid="{C5C8875A-996C-4E0A-A7DE-725EFAE29B15}" name="202503" dataDxfId="11">
      <calculatedColumnFormula>Info!R53</calculatedColumnFormula>
    </tableColumn>
    <tableColumn id="18" xr3:uid="{AE3E8B1A-4BE1-46A1-BFB0-B00E6D08EC6C}" name="202504" dataDxfId="10">
      <calculatedColumnFormula>Info!S53</calculatedColumnFormula>
    </tableColumn>
    <tableColumn id="19" xr3:uid="{52560BD5-8126-40B2-8ACF-0AB59DDA519E}" name="202505" dataDxfId="9">
      <calculatedColumnFormula>Info!T53</calculatedColumnFormula>
    </tableColumn>
    <tableColumn id="20" xr3:uid="{F7DE4D74-8FF7-4D58-AB89-AA6E08184D60}" name="202506" dataDxfId="8">
      <calculatedColumnFormula>Info!U53</calculatedColumnFormula>
    </tableColumn>
    <tableColumn id="21" xr3:uid="{320D06F4-FA71-491D-8214-3C2FAF45A2A3}" name="202507" dataDxfId="7">
      <calculatedColumnFormula>Info!V53</calculatedColumnFormula>
    </tableColumn>
    <tableColumn id="22" xr3:uid="{40EABD1E-6A4A-402F-97D5-1A1A8C1D78E7}" name="202508" dataDxfId="6">
      <calculatedColumnFormula>Info!W53</calculatedColumnFormula>
    </tableColumn>
    <tableColumn id="23" xr3:uid="{E1932B06-BAFF-4DD3-9168-070E06758DE1}" name="202509" dataDxfId="5">
      <calculatedColumnFormula>Info!X53</calculatedColumnFormula>
    </tableColumn>
    <tableColumn id="24" xr3:uid="{6C87B748-043E-4F7B-AF10-78B722E87A6F}" name="202510" dataDxfId="4">
      <calculatedColumnFormula>Info!Y53</calculatedColumnFormula>
    </tableColumn>
    <tableColumn id="25" xr3:uid="{C0D431B3-5D08-485A-B80D-99AF50C9E717}" name="202511" dataDxfId="3">
      <calculatedColumnFormula>Info!Z53</calculatedColumnFormula>
    </tableColumn>
    <tableColumn id="26" xr3:uid="{B4DA82D2-FCD4-4D9F-B8D0-B45EF944E914}" name="202512" dataDxfId="2">
      <calculatedColumnFormula>Info!AA53</calculatedColumnFormula>
    </tableColumn>
    <tableColumn id="27" xr3:uid="{2BAC193A-E0DE-40D7-8448-496944331D2C}" name="202601" dataDxfId="1">
      <calculatedColumnFormula>Info!AB53</calculatedColumnFormula>
    </tableColumn>
    <tableColumn id="28" xr3:uid="{06ACE5FD-714E-4F8A-A5F3-B905C33F09D9}" name="202602" dataDxfId="0">
      <calculatedColumnFormula>Info!AC53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011FAFE-61B6-4169-B174-AFE151D08CD0}" name="Tabell510" displayName="Tabell510" ref="A322:D337" totalsRowCount="1">
  <autoFilter ref="A322:D336" xr:uid="{7011FAFE-61B6-4169-B174-AFE151D08CD0}"/>
  <sortState xmlns:xlrd2="http://schemas.microsoft.com/office/spreadsheetml/2017/richdata2" ref="A323:D336">
    <sortCondition descending="1" ref="B89:B103"/>
  </sortState>
  <tableColumns count="4">
    <tableColumn id="1" xr3:uid="{160AD77B-1842-4117-BB27-1EA4075CC358}" name="Listning"/>
    <tableColumn id="2" xr3:uid="{B8439F7A-B596-4027-88FE-3B84BCE88242}" name="förändring" totalsRowFunction="sum">
      <calculatedColumnFormula>D323-C323</calculatedColumnFormula>
    </tableColumn>
    <tableColumn id="3" xr3:uid="{63447374-9F6D-428A-9A15-A4EE85E87BF9}" name="202601"/>
    <tableColumn id="4" xr3:uid="{6D79B211-A170-4258-AA03-2726DD161533}" name="20260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Relationship Id="rId6" Type="http://schemas.openxmlformats.org/officeDocument/2006/relationships/table" Target="../tables/table6.xml"/><Relationship Id="rId11" Type="http://schemas.microsoft.com/office/2007/relationships/slicer" Target="../slicers/slicer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FBB62-9BEA-44E6-ADA1-B41E174569D6}">
  <dimension ref="A1:AD382"/>
  <sheetViews>
    <sheetView topLeftCell="A169" workbookViewId="0">
      <selection activeCell="E360" sqref="E360"/>
    </sheetView>
  </sheetViews>
  <sheetFormatPr defaultRowHeight="14.4" x14ac:dyDescent="0.3"/>
  <cols>
    <col min="1" max="1" width="14.5546875" bestFit="1" customWidth="1"/>
    <col min="2" max="2" width="80.88671875" bestFit="1" customWidth="1"/>
    <col min="3" max="3" width="17" bestFit="1" customWidth="1"/>
    <col min="4" max="4" width="15.33203125" bestFit="1" customWidth="1"/>
    <col min="5" max="5" width="18.109375" bestFit="1" customWidth="1"/>
    <col min="6" max="14" width="18.33203125" bestFit="1" customWidth="1"/>
    <col min="15" max="30" width="19.44140625" bestFit="1" customWidth="1"/>
  </cols>
  <sheetData>
    <row r="1" spans="1:30" x14ac:dyDescent="0.3">
      <c r="A1" t="s">
        <v>86</v>
      </c>
      <c r="B1" t="s">
        <v>20</v>
      </c>
      <c r="C1" t="s">
        <v>69</v>
      </c>
      <c r="D1" t="s">
        <v>70</v>
      </c>
      <c r="E1" t="s">
        <v>21</v>
      </c>
      <c r="F1" t="s">
        <v>71</v>
      </c>
      <c r="G1" t="s">
        <v>72</v>
      </c>
      <c r="H1" t="s">
        <v>73</v>
      </c>
      <c r="I1" t="s">
        <v>74</v>
      </c>
      <c r="J1" t="s">
        <v>75</v>
      </c>
      <c r="K1" t="s">
        <v>76</v>
      </c>
      <c r="L1" t="s">
        <v>77</v>
      </c>
      <c r="M1" t="s">
        <v>78</v>
      </c>
      <c r="N1" t="s">
        <v>79</v>
      </c>
      <c r="O1" t="s">
        <v>80</v>
      </c>
      <c r="P1" t="s">
        <v>81</v>
      </c>
      <c r="Q1" t="s">
        <v>82</v>
      </c>
      <c r="R1" t="s">
        <v>83</v>
      </c>
      <c r="S1" t="s">
        <v>84</v>
      </c>
      <c r="T1" t="s">
        <v>85</v>
      </c>
      <c r="U1" t="s">
        <v>104</v>
      </c>
      <c r="V1" t="s">
        <v>109</v>
      </c>
      <c r="W1" t="s">
        <v>111</v>
      </c>
      <c r="X1" t="s">
        <v>114</v>
      </c>
      <c r="Y1" t="s">
        <v>116</v>
      </c>
      <c r="Z1" t="s">
        <v>118</v>
      </c>
      <c r="AA1" t="s">
        <v>120</v>
      </c>
      <c r="AB1" t="s">
        <v>122</v>
      </c>
      <c r="AC1" t="s">
        <v>126</v>
      </c>
      <c r="AD1" t="s">
        <v>128</v>
      </c>
    </row>
    <row r="2" spans="1:30" x14ac:dyDescent="0.3">
      <c r="A2" t="s">
        <v>87</v>
      </c>
      <c r="B2" t="s">
        <v>22</v>
      </c>
      <c r="E2">
        <v>202312</v>
      </c>
      <c r="F2">
        <v>202401</v>
      </c>
      <c r="G2">
        <v>202402</v>
      </c>
      <c r="H2">
        <v>202403</v>
      </c>
      <c r="I2">
        <v>202404</v>
      </c>
      <c r="J2">
        <v>202405</v>
      </c>
      <c r="K2">
        <v>202406</v>
      </c>
      <c r="L2">
        <v>202407</v>
      </c>
      <c r="M2">
        <v>202408</v>
      </c>
      <c r="N2">
        <v>202409</v>
      </c>
      <c r="O2">
        <v>202410</v>
      </c>
      <c r="P2">
        <v>202411</v>
      </c>
      <c r="Q2">
        <v>202412</v>
      </c>
      <c r="R2">
        <v>202501</v>
      </c>
      <c r="S2">
        <v>202502</v>
      </c>
      <c r="T2">
        <v>202503</v>
      </c>
      <c r="U2">
        <v>202504</v>
      </c>
      <c r="V2">
        <v>202505</v>
      </c>
      <c r="W2">
        <v>202506</v>
      </c>
      <c r="X2">
        <v>202507</v>
      </c>
      <c r="Y2">
        <v>202508</v>
      </c>
      <c r="Z2">
        <v>202509</v>
      </c>
      <c r="AA2">
        <v>202510</v>
      </c>
      <c r="AB2">
        <v>202511</v>
      </c>
      <c r="AC2">
        <v>202512</v>
      </c>
      <c r="AD2">
        <v>202601</v>
      </c>
    </row>
    <row r="3" spans="1:30" x14ac:dyDescent="0.3">
      <c r="A3" t="s">
        <v>87</v>
      </c>
      <c r="B3" t="s">
        <v>23</v>
      </c>
      <c r="E3" t="s">
        <v>24</v>
      </c>
      <c r="F3" t="s">
        <v>24</v>
      </c>
      <c r="G3" t="s">
        <v>24</v>
      </c>
      <c r="H3" t="s">
        <v>24</v>
      </c>
      <c r="I3" t="s">
        <v>24</v>
      </c>
      <c r="J3" t="s">
        <v>24</v>
      </c>
      <c r="K3" t="s">
        <v>24</v>
      </c>
      <c r="L3" t="s">
        <v>24</v>
      </c>
      <c r="M3" t="s">
        <v>24</v>
      </c>
      <c r="N3" t="s">
        <v>24</v>
      </c>
      <c r="O3" t="s">
        <v>24</v>
      </c>
      <c r="P3" t="s">
        <v>24</v>
      </c>
      <c r="Q3" t="s">
        <v>24</v>
      </c>
      <c r="R3" t="s">
        <v>24</v>
      </c>
      <c r="S3" t="s">
        <v>24</v>
      </c>
      <c r="T3" t="s">
        <v>24</v>
      </c>
      <c r="U3" t="s">
        <v>24</v>
      </c>
      <c r="V3" t="s">
        <v>24</v>
      </c>
      <c r="W3" t="s">
        <v>24</v>
      </c>
      <c r="X3" t="s">
        <v>24</v>
      </c>
      <c r="Y3" t="s">
        <v>24</v>
      </c>
      <c r="Z3" t="s">
        <v>24</v>
      </c>
      <c r="AA3" t="s">
        <v>24</v>
      </c>
      <c r="AB3" t="s">
        <v>24</v>
      </c>
      <c r="AC3" t="s">
        <v>24</v>
      </c>
      <c r="AD3" t="s">
        <v>24</v>
      </c>
    </row>
    <row r="4" spans="1:30" x14ac:dyDescent="0.3">
      <c r="A4" t="s">
        <v>87</v>
      </c>
      <c r="B4" t="s">
        <v>25</v>
      </c>
      <c r="C4" t="s">
        <v>26</v>
      </c>
      <c r="D4" t="s">
        <v>27</v>
      </c>
      <c r="E4" t="s">
        <v>28</v>
      </c>
      <c r="F4" t="s">
        <v>28</v>
      </c>
      <c r="G4" t="s">
        <v>28</v>
      </c>
      <c r="H4" t="s">
        <v>28</v>
      </c>
      <c r="I4" t="s">
        <v>28</v>
      </c>
      <c r="J4" t="s">
        <v>28</v>
      </c>
      <c r="K4" t="s">
        <v>28</v>
      </c>
      <c r="L4" t="s">
        <v>28</v>
      </c>
      <c r="M4" t="s">
        <v>28</v>
      </c>
      <c r="N4" t="s">
        <v>28</v>
      </c>
      <c r="O4" t="s">
        <v>28</v>
      </c>
      <c r="P4" t="s">
        <v>28</v>
      </c>
      <c r="Q4" t="s">
        <v>28</v>
      </c>
      <c r="R4" t="s">
        <v>28</v>
      </c>
      <c r="S4" t="s">
        <v>28</v>
      </c>
      <c r="T4" t="s">
        <v>28</v>
      </c>
      <c r="U4" t="s">
        <v>28</v>
      </c>
      <c r="V4" t="s">
        <v>28</v>
      </c>
      <c r="W4" t="s">
        <v>28</v>
      </c>
      <c r="X4" t="s">
        <v>28</v>
      </c>
      <c r="Y4" t="s">
        <v>28</v>
      </c>
      <c r="Z4" t="s">
        <v>28</v>
      </c>
      <c r="AA4" t="s">
        <v>28</v>
      </c>
      <c r="AB4" t="s">
        <v>28</v>
      </c>
      <c r="AC4" t="s">
        <v>28</v>
      </c>
      <c r="AD4" t="s">
        <v>28</v>
      </c>
    </row>
    <row r="5" spans="1:30" x14ac:dyDescent="0.3">
      <c r="A5" t="s">
        <v>87</v>
      </c>
      <c r="B5" t="s">
        <v>29</v>
      </c>
      <c r="C5" t="s">
        <v>30</v>
      </c>
      <c r="L5">
        <v>17900</v>
      </c>
      <c r="M5">
        <v>-0.5</v>
      </c>
      <c r="N5">
        <v>49657.22</v>
      </c>
      <c r="O5">
        <v>134821.97</v>
      </c>
      <c r="P5">
        <v>191819.63</v>
      </c>
      <c r="Q5">
        <v>174736.02</v>
      </c>
      <c r="R5">
        <v>231650.33</v>
      </c>
      <c r="S5">
        <v>230589.78</v>
      </c>
      <c r="T5">
        <v>256219.36</v>
      </c>
      <c r="U5">
        <v>274278.18</v>
      </c>
      <c r="V5">
        <v>270523.18</v>
      </c>
      <c r="W5">
        <v>329856.15999999997</v>
      </c>
      <c r="X5">
        <v>373500.85</v>
      </c>
      <c r="Y5">
        <v>390490.68</v>
      </c>
      <c r="Z5">
        <v>406486.25</v>
      </c>
      <c r="AA5">
        <v>433006.53</v>
      </c>
      <c r="AB5">
        <v>569810.34</v>
      </c>
      <c r="AC5">
        <v>540626.52</v>
      </c>
      <c r="AD5">
        <v>540246.35</v>
      </c>
    </row>
    <row r="6" spans="1:30" x14ac:dyDescent="0.3">
      <c r="A6" t="s">
        <v>87</v>
      </c>
      <c r="B6" t="s">
        <v>29</v>
      </c>
      <c r="C6" t="s">
        <v>31</v>
      </c>
      <c r="D6" t="s">
        <v>30</v>
      </c>
      <c r="N6">
        <v>49657.22</v>
      </c>
      <c r="O6">
        <v>103571.97</v>
      </c>
      <c r="P6">
        <v>160069.63</v>
      </c>
      <c r="Q6">
        <v>158485.96</v>
      </c>
      <c r="R6">
        <v>202669.33</v>
      </c>
      <c r="S6">
        <v>229839.78</v>
      </c>
      <c r="T6">
        <v>254769.36</v>
      </c>
      <c r="U6">
        <v>274278.18</v>
      </c>
      <c r="V6">
        <v>270523.18</v>
      </c>
      <c r="W6">
        <v>329856.15999999997</v>
      </c>
      <c r="X6">
        <v>373500.85</v>
      </c>
      <c r="Y6">
        <v>389990.68</v>
      </c>
      <c r="Z6">
        <v>406736.25</v>
      </c>
      <c r="AA6">
        <v>432042.53</v>
      </c>
      <c r="AB6">
        <v>569809.84</v>
      </c>
      <c r="AC6">
        <v>539564.02</v>
      </c>
      <c r="AD6">
        <v>537543.24</v>
      </c>
    </row>
    <row r="7" spans="1:30" x14ac:dyDescent="0.3">
      <c r="A7" t="s">
        <v>87</v>
      </c>
      <c r="B7" t="s">
        <v>29</v>
      </c>
      <c r="C7" t="s">
        <v>31</v>
      </c>
      <c r="D7" t="s">
        <v>32</v>
      </c>
      <c r="N7">
        <v>42957.22</v>
      </c>
      <c r="O7">
        <v>87371.97</v>
      </c>
      <c r="P7">
        <v>149764.63</v>
      </c>
      <c r="Q7">
        <v>157005.96</v>
      </c>
      <c r="R7">
        <v>202669.33</v>
      </c>
      <c r="S7">
        <v>224834.78</v>
      </c>
      <c r="T7">
        <v>248373.36</v>
      </c>
      <c r="U7">
        <v>275498.18</v>
      </c>
      <c r="V7">
        <v>275498.18</v>
      </c>
      <c r="W7">
        <v>330771.15999999997</v>
      </c>
      <c r="X7">
        <v>333083.84999999998</v>
      </c>
      <c r="Y7">
        <v>381700.68</v>
      </c>
      <c r="Z7">
        <v>395221.25</v>
      </c>
      <c r="AA7">
        <v>407547.53</v>
      </c>
      <c r="AB7">
        <v>476681.84</v>
      </c>
      <c r="AC7">
        <v>525489.02</v>
      </c>
      <c r="AD7">
        <v>520984.24</v>
      </c>
    </row>
    <row r="8" spans="1:30" x14ac:dyDescent="0.3">
      <c r="A8" t="s">
        <v>87</v>
      </c>
      <c r="B8" t="s">
        <v>29</v>
      </c>
      <c r="C8" t="s">
        <v>31</v>
      </c>
      <c r="D8" t="s">
        <v>33</v>
      </c>
      <c r="N8">
        <v>6700</v>
      </c>
      <c r="O8">
        <v>16200</v>
      </c>
      <c r="P8">
        <v>10305</v>
      </c>
      <c r="Q8">
        <v>1480</v>
      </c>
      <c r="R8">
        <v>0</v>
      </c>
      <c r="S8">
        <v>5005</v>
      </c>
      <c r="T8">
        <v>6396</v>
      </c>
      <c r="U8">
        <v>-1220</v>
      </c>
      <c r="V8">
        <v>-4975</v>
      </c>
      <c r="W8">
        <v>-915</v>
      </c>
      <c r="X8">
        <v>40417</v>
      </c>
      <c r="Y8">
        <v>8290</v>
      </c>
      <c r="Z8">
        <v>11515</v>
      </c>
      <c r="AA8">
        <v>24495</v>
      </c>
      <c r="AB8">
        <v>28180</v>
      </c>
      <c r="AC8">
        <v>14075</v>
      </c>
      <c r="AD8">
        <v>16559</v>
      </c>
    </row>
    <row r="9" spans="1:30" x14ac:dyDescent="0.3">
      <c r="A9" t="s">
        <v>87</v>
      </c>
      <c r="B9" t="s">
        <v>29</v>
      </c>
      <c r="C9" t="s">
        <v>31</v>
      </c>
      <c r="D9" t="s">
        <v>34</v>
      </c>
      <c r="AB9">
        <v>64948</v>
      </c>
    </row>
    <row r="10" spans="1:30" x14ac:dyDescent="0.3">
      <c r="A10" t="s">
        <v>87</v>
      </c>
      <c r="B10" t="s">
        <v>29</v>
      </c>
      <c r="C10" t="s">
        <v>35</v>
      </c>
      <c r="D10" t="s">
        <v>30</v>
      </c>
      <c r="L10">
        <v>17900</v>
      </c>
      <c r="M10">
        <v>-0.5</v>
      </c>
      <c r="O10">
        <v>31250</v>
      </c>
      <c r="P10">
        <v>31750</v>
      </c>
      <c r="Q10">
        <v>16250.06</v>
      </c>
      <c r="R10">
        <v>28981</v>
      </c>
      <c r="S10">
        <v>750</v>
      </c>
      <c r="T10">
        <v>1450</v>
      </c>
      <c r="Y10">
        <v>500</v>
      </c>
      <c r="Z10">
        <v>-250</v>
      </c>
      <c r="AA10">
        <v>964</v>
      </c>
      <c r="AB10">
        <v>0.5</v>
      </c>
      <c r="AC10">
        <v>1062.5</v>
      </c>
      <c r="AD10">
        <v>2703.11</v>
      </c>
    </row>
    <row r="11" spans="1:30" x14ac:dyDescent="0.3">
      <c r="A11" t="s">
        <v>87</v>
      </c>
      <c r="B11" t="s">
        <v>36</v>
      </c>
      <c r="C11" t="s">
        <v>30</v>
      </c>
      <c r="I11">
        <v>-90679.8</v>
      </c>
      <c r="J11">
        <v>-101126.21</v>
      </c>
      <c r="K11">
        <v>-99615.21</v>
      </c>
      <c r="L11">
        <v>-100860.21</v>
      </c>
      <c r="M11">
        <v>-176307.24</v>
      </c>
      <c r="N11">
        <v>-670610.11</v>
      </c>
      <c r="O11">
        <v>-730350.46</v>
      </c>
      <c r="P11">
        <v>-860951.32</v>
      </c>
      <c r="Q11">
        <v>-1046134.92</v>
      </c>
      <c r="R11">
        <v>-760570</v>
      </c>
      <c r="S11">
        <v>-721653.37</v>
      </c>
      <c r="T11">
        <v>-647256.52</v>
      </c>
      <c r="U11">
        <v>-748203.19</v>
      </c>
      <c r="V11">
        <v>-699197.42</v>
      </c>
      <c r="W11">
        <v>-846891.93</v>
      </c>
      <c r="X11">
        <v>-742923.78</v>
      </c>
      <c r="Y11">
        <v>-806606.7</v>
      </c>
      <c r="Z11">
        <v>-683240.2</v>
      </c>
      <c r="AA11">
        <v>-779287.23</v>
      </c>
      <c r="AB11">
        <v>-670913.99</v>
      </c>
      <c r="AC11">
        <v>-646508.28</v>
      </c>
      <c r="AD11">
        <v>-702478.73</v>
      </c>
    </row>
    <row r="12" spans="1:30" x14ac:dyDescent="0.3">
      <c r="A12" t="s">
        <v>87</v>
      </c>
      <c r="B12" t="s">
        <v>36</v>
      </c>
      <c r="C12" t="s">
        <v>18</v>
      </c>
      <c r="D12" t="s">
        <v>30</v>
      </c>
      <c r="I12">
        <v>-90679.8</v>
      </c>
      <c r="J12">
        <v>-101126.21</v>
      </c>
      <c r="K12">
        <v>-99615.21</v>
      </c>
      <c r="L12">
        <v>-100860.21</v>
      </c>
      <c r="M12">
        <v>-176307.24</v>
      </c>
      <c r="N12">
        <v>-587574.44999999995</v>
      </c>
      <c r="O12">
        <v>-631054.06000000006</v>
      </c>
      <c r="P12">
        <v>-792145.81</v>
      </c>
      <c r="Q12">
        <v>-1001478.61</v>
      </c>
      <c r="R12">
        <v>-635308.02</v>
      </c>
      <c r="S12">
        <v>-644869.24</v>
      </c>
      <c r="T12">
        <v>-469462.36</v>
      </c>
      <c r="U12">
        <v>-770294.22</v>
      </c>
      <c r="V12">
        <v>-606283.24</v>
      </c>
      <c r="W12">
        <v>-749676.94</v>
      </c>
      <c r="X12">
        <v>-648318.19999999995</v>
      </c>
      <c r="Y12">
        <v>-735801.19</v>
      </c>
      <c r="Z12">
        <v>-558198.34</v>
      </c>
      <c r="AA12">
        <v>-659107.97</v>
      </c>
      <c r="AB12">
        <v>-523949.07</v>
      </c>
      <c r="AC12">
        <v>-518894.56</v>
      </c>
      <c r="AD12">
        <v>-548991.86</v>
      </c>
    </row>
    <row r="13" spans="1:30" x14ac:dyDescent="0.3">
      <c r="A13" t="s">
        <v>87</v>
      </c>
      <c r="B13" t="s">
        <v>36</v>
      </c>
      <c r="C13" t="s">
        <v>37</v>
      </c>
      <c r="D13" t="s">
        <v>30</v>
      </c>
      <c r="L13">
        <v>0</v>
      </c>
      <c r="M13">
        <v>0</v>
      </c>
      <c r="N13">
        <v>-83035.66</v>
      </c>
      <c r="O13">
        <v>-99296.4</v>
      </c>
      <c r="P13">
        <v>-68805.509999999995</v>
      </c>
      <c r="Q13">
        <v>-44656.31</v>
      </c>
      <c r="R13">
        <v>-125261.98</v>
      </c>
      <c r="S13">
        <v>-76784.13</v>
      </c>
      <c r="T13">
        <v>-177794.16</v>
      </c>
      <c r="U13">
        <v>22091.03</v>
      </c>
      <c r="V13">
        <v>-92914.18</v>
      </c>
      <c r="W13">
        <v>-97214.99</v>
      </c>
      <c r="X13">
        <v>-94605.58</v>
      </c>
      <c r="Y13">
        <v>-70805.509999999995</v>
      </c>
      <c r="Z13">
        <v>-125041.86</v>
      </c>
      <c r="AA13">
        <v>-120179.26</v>
      </c>
      <c r="AB13">
        <v>-146964.92000000001</v>
      </c>
      <c r="AC13">
        <v>-127613.72</v>
      </c>
      <c r="AD13">
        <v>-153486.87</v>
      </c>
    </row>
    <row r="14" spans="1:30" x14ac:dyDescent="0.3">
      <c r="A14" t="s">
        <v>87</v>
      </c>
      <c r="B14" t="s">
        <v>38</v>
      </c>
      <c r="C14" t="s">
        <v>30</v>
      </c>
      <c r="I14">
        <v>-90679.8</v>
      </c>
      <c r="J14">
        <v>-101126.21</v>
      </c>
      <c r="K14">
        <v>-99615.21</v>
      </c>
      <c r="L14">
        <v>-82960.210000000006</v>
      </c>
      <c r="M14">
        <v>-176307.74</v>
      </c>
      <c r="N14">
        <v>-620952.89</v>
      </c>
      <c r="O14">
        <v>-595528.49</v>
      </c>
      <c r="P14">
        <v>-669131.68999999994</v>
      </c>
      <c r="Q14">
        <v>-871398.9</v>
      </c>
      <c r="R14">
        <v>-528919.67000000004</v>
      </c>
      <c r="S14">
        <v>-491063.59</v>
      </c>
      <c r="T14">
        <v>-391037.16</v>
      </c>
      <c r="U14">
        <v>-473925.01</v>
      </c>
      <c r="V14">
        <v>-428674.24</v>
      </c>
      <c r="W14">
        <v>-517035.77</v>
      </c>
      <c r="X14">
        <v>-369422.93</v>
      </c>
      <c r="Y14">
        <v>-416116.02</v>
      </c>
      <c r="Z14">
        <v>-276753.95</v>
      </c>
      <c r="AA14">
        <v>-346280.7</v>
      </c>
      <c r="AB14">
        <v>-101103.65</v>
      </c>
      <c r="AC14">
        <v>-105881.76</v>
      </c>
      <c r="AD14">
        <v>-162232.38</v>
      </c>
    </row>
    <row r="15" spans="1:30" x14ac:dyDescent="0.3">
      <c r="A15" t="s">
        <v>87</v>
      </c>
      <c r="B15" t="s">
        <v>39</v>
      </c>
      <c r="C15" t="s">
        <v>30</v>
      </c>
      <c r="F15">
        <v>0</v>
      </c>
      <c r="G15">
        <v>0</v>
      </c>
      <c r="H15">
        <v>36</v>
      </c>
      <c r="I15">
        <v>2771.16</v>
      </c>
      <c r="J15">
        <v>-6605</v>
      </c>
      <c r="K15">
        <v>-4966.17</v>
      </c>
      <c r="L15">
        <v>-72402.87</v>
      </c>
      <c r="M15">
        <v>0</v>
      </c>
      <c r="N15">
        <v>-739493.87</v>
      </c>
      <c r="O15">
        <v>-515692.41</v>
      </c>
      <c r="P15">
        <v>-270226.33</v>
      </c>
      <c r="Q15">
        <v>-354261.63</v>
      </c>
      <c r="R15">
        <v>-370328.32000000001</v>
      </c>
      <c r="S15">
        <v>-397390.89</v>
      </c>
      <c r="T15">
        <v>-378383.51</v>
      </c>
      <c r="U15">
        <v>-326828.40000000002</v>
      </c>
      <c r="V15">
        <v>-375946.74</v>
      </c>
      <c r="W15">
        <v>-407136.25</v>
      </c>
      <c r="X15">
        <v>-335336.28999999998</v>
      </c>
      <c r="Y15">
        <v>-349598.39</v>
      </c>
      <c r="Z15">
        <v>-288249.93</v>
      </c>
      <c r="AA15">
        <v>-242432.78</v>
      </c>
      <c r="AB15">
        <v>-280032.5</v>
      </c>
      <c r="AC15">
        <v>-250202.84</v>
      </c>
      <c r="AD15">
        <v>-259066.8</v>
      </c>
    </row>
    <row r="16" spans="1:30" x14ac:dyDescent="0.3">
      <c r="A16" t="s">
        <v>87</v>
      </c>
      <c r="B16" t="s">
        <v>39</v>
      </c>
      <c r="C16" t="s">
        <v>40</v>
      </c>
      <c r="D16" t="s">
        <v>30</v>
      </c>
      <c r="F16">
        <v>0</v>
      </c>
      <c r="G16">
        <v>0</v>
      </c>
      <c r="H16">
        <v>36</v>
      </c>
      <c r="I16">
        <v>2771.16</v>
      </c>
      <c r="J16">
        <v>-6605</v>
      </c>
      <c r="K16">
        <v>-4966.17</v>
      </c>
      <c r="L16">
        <v>-72402.87</v>
      </c>
      <c r="M16">
        <v>0</v>
      </c>
      <c r="N16">
        <v>-612869.53</v>
      </c>
      <c r="O16">
        <v>-443080.07</v>
      </c>
      <c r="P16">
        <v>-243817.99</v>
      </c>
      <c r="Q16">
        <v>-319963.13</v>
      </c>
      <c r="R16">
        <v>-355467.98</v>
      </c>
      <c r="S16">
        <v>-382982.55</v>
      </c>
      <c r="T16">
        <v>-363975.17</v>
      </c>
      <c r="U16">
        <v>-312420.06</v>
      </c>
      <c r="V16">
        <v>-361538.4</v>
      </c>
      <c r="W16">
        <v>-392727.91</v>
      </c>
      <c r="X16">
        <v>-320927.95</v>
      </c>
      <c r="Y16">
        <v>-326180.13</v>
      </c>
      <c r="Z16">
        <v>-287269.93</v>
      </c>
      <c r="AA16">
        <v>-249858.58</v>
      </c>
      <c r="AB16">
        <v>-284637.73</v>
      </c>
      <c r="AC16">
        <v>-257089.93</v>
      </c>
      <c r="AD16">
        <v>-246358.03</v>
      </c>
    </row>
    <row r="17" spans="1:30" x14ac:dyDescent="0.3">
      <c r="A17" t="s">
        <v>87</v>
      </c>
      <c r="B17" t="s">
        <v>39</v>
      </c>
      <c r="C17" t="s">
        <v>41</v>
      </c>
      <c r="D17" t="s">
        <v>30</v>
      </c>
      <c r="K17">
        <v>0</v>
      </c>
      <c r="L17">
        <v>0</v>
      </c>
      <c r="N17">
        <v>-126624.34</v>
      </c>
      <c r="O17">
        <v>-72612.34</v>
      </c>
      <c r="P17">
        <v>-26408.34</v>
      </c>
      <c r="Q17">
        <v>-34298.5</v>
      </c>
      <c r="R17">
        <v>-14860.34</v>
      </c>
      <c r="S17">
        <v>-14408.34</v>
      </c>
      <c r="T17">
        <v>-14408.34</v>
      </c>
      <c r="U17">
        <v>-14408.34</v>
      </c>
      <c r="V17">
        <v>-14408.34</v>
      </c>
      <c r="W17">
        <v>-14408.34</v>
      </c>
      <c r="X17">
        <v>-14408.34</v>
      </c>
      <c r="Y17">
        <v>-23418.26</v>
      </c>
      <c r="Z17">
        <v>-980</v>
      </c>
      <c r="AA17">
        <v>7425.8</v>
      </c>
      <c r="AB17">
        <v>4605.2299999999996</v>
      </c>
      <c r="AC17">
        <v>6887.09</v>
      </c>
      <c r="AD17">
        <v>-12708.77</v>
      </c>
    </row>
    <row r="18" spans="1:30" x14ac:dyDescent="0.3">
      <c r="A18" t="s">
        <v>87</v>
      </c>
      <c r="B18" t="s">
        <v>42</v>
      </c>
      <c r="C18" t="s">
        <v>30</v>
      </c>
      <c r="F18">
        <v>0</v>
      </c>
      <c r="G18">
        <v>0</v>
      </c>
      <c r="H18">
        <v>36</v>
      </c>
      <c r="I18">
        <v>-87908.64</v>
      </c>
      <c r="J18">
        <v>-107731.21</v>
      </c>
      <c r="K18">
        <v>-104581.38</v>
      </c>
      <c r="L18">
        <v>-155363.07999999999</v>
      </c>
      <c r="M18">
        <v>-176307.74</v>
      </c>
      <c r="N18">
        <v>-1360446.76</v>
      </c>
      <c r="O18">
        <v>-1111220.8999999999</v>
      </c>
      <c r="P18">
        <v>-939358.02</v>
      </c>
      <c r="Q18">
        <v>-1225660.53</v>
      </c>
      <c r="R18">
        <v>-899247.99</v>
      </c>
      <c r="S18">
        <v>-888454.48</v>
      </c>
      <c r="T18">
        <v>-769420.67</v>
      </c>
      <c r="U18">
        <v>-800753.41</v>
      </c>
      <c r="V18">
        <v>-804620.98</v>
      </c>
      <c r="W18">
        <v>-924172.02</v>
      </c>
      <c r="X18">
        <v>-704759.22</v>
      </c>
      <c r="Y18">
        <v>-765714.41</v>
      </c>
      <c r="Z18">
        <v>-565003.88</v>
      </c>
      <c r="AA18">
        <v>-588713.48</v>
      </c>
      <c r="AB18">
        <v>-381136.15</v>
      </c>
      <c r="AC18">
        <v>-356084.6</v>
      </c>
      <c r="AD18">
        <v>-421299.18</v>
      </c>
    </row>
    <row r="19" spans="1:30" x14ac:dyDescent="0.3">
      <c r="A19" t="s">
        <v>87</v>
      </c>
      <c r="B19" t="s">
        <v>44</v>
      </c>
      <c r="C19" t="s">
        <v>30</v>
      </c>
      <c r="F19">
        <v>0</v>
      </c>
      <c r="G19">
        <v>0</v>
      </c>
      <c r="H19">
        <v>36</v>
      </c>
      <c r="I19">
        <v>-87908.64</v>
      </c>
      <c r="J19">
        <v>-107731.21</v>
      </c>
      <c r="K19">
        <v>-104581.38</v>
      </c>
      <c r="L19">
        <v>-155363.07999999999</v>
      </c>
      <c r="M19">
        <v>-176307.74</v>
      </c>
      <c r="N19">
        <v>-1360446.76</v>
      </c>
      <c r="O19">
        <v>-1111220.8999999999</v>
      </c>
      <c r="P19">
        <v>-939358.02</v>
      </c>
      <c r="Q19">
        <v>-1225660.53</v>
      </c>
      <c r="R19">
        <v>-899247.99</v>
      </c>
      <c r="S19">
        <v>-888454.48</v>
      </c>
      <c r="T19">
        <v>-769420.67</v>
      </c>
      <c r="U19">
        <v>-800753.41</v>
      </c>
      <c r="V19">
        <v>-804620.98</v>
      </c>
      <c r="W19">
        <v>-924172.02</v>
      </c>
      <c r="X19">
        <v>-704759.22</v>
      </c>
      <c r="Y19">
        <v>-765714.41</v>
      </c>
      <c r="Z19">
        <v>-565003.88</v>
      </c>
      <c r="AA19">
        <v>-588713.48</v>
      </c>
      <c r="AB19">
        <v>-381136.15</v>
      </c>
      <c r="AC19">
        <v>-356084.6</v>
      </c>
      <c r="AD19">
        <v>-421299.18</v>
      </c>
    </row>
    <row r="20" spans="1:30" x14ac:dyDescent="0.3">
      <c r="A20" t="s">
        <v>87</v>
      </c>
      <c r="B20" t="s">
        <v>45</v>
      </c>
      <c r="C20" t="s">
        <v>30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 x14ac:dyDescent="0.3">
      <c r="A21" t="s">
        <v>87</v>
      </c>
      <c r="B21" t="s">
        <v>46</v>
      </c>
      <c r="C21" t="s">
        <v>30</v>
      </c>
      <c r="E21">
        <v>0</v>
      </c>
      <c r="F21">
        <v>0</v>
      </c>
      <c r="G21">
        <v>0</v>
      </c>
      <c r="H21">
        <v>36</v>
      </c>
      <c r="I21">
        <v>-87908.64</v>
      </c>
      <c r="J21">
        <v>-107731.21</v>
      </c>
      <c r="K21">
        <v>-104581.38</v>
      </c>
      <c r="L21">
        <v>-155363.07999999999</v>
      </c>
      <c r="M21">
        <v>-176307.74</v>
      </c>
      <c r="N21">
        <v>-1360446.76</v>
      </c>
      <c r="O21">
        <v>-1111220.8999999999</v>
      </c>
      <c r="P21">
        <v>-939358.02</v>
      </c>
      <c r="Q21">
        <v>-1225660.53</v>
      </c>
      <c r="R21">
        <v>-899247.99</v>
      </c>
      <c r="S21">
        <v>-888454.48</v>
      </c>
      <c r="T21">
        <v>-769420.67</v>
      </c>
      <c r="U21">
        <v>-800753.41</v>
      </c>
      <c r="V21">
        <v>-804620.98</v>
      </c>
      <c r="W21">
        <v>-924172.02</v>
      </c>
      <c r="X21">
        <v>-704759.22</v>
      </c>
      <c r="Y21">
        <v>-765714.41</v>
      </c>
      <c r="Z21">
        <v>-565003.88</v>
      </c>
      <c r="AA21">
        <v>-588713.48</v>
      </c>
      <c r="AB21">
        <v>-381136.15</v>
      </c>
      <c r="AC21">
        <v>-356084.6</v>
      </c>
      <c r="AD21">
        <v>-421299.18</v>
      </c>
    </row>
    <row r="22" spans="1:30" x14ac:dyDescent="0.3">
      <c r="A22" t="s">
        <v>87</v>
      </c>
      <c r="B22" t="s">
        <v>47</v>
      </c>
      <c r="C22" t="s">
        <v>30</v>
      </c>
      <c r="O22">
        <v>-8313</v>
      </c>
      <c r="P22">
        <v>-8313</v>
      </c>
      <c r="Q22">
        <v>-8313</v>
      </c>
      <c r="R22">
        <v>-8313</v>
      </c>
      <c r="S22">
        <v>-8313</v>
      </c>
      <c r="T22">
        <v>-7759</v>
      </c>
      <c r="U22">
        <v>-8868</v>
      </c>
      <c r="V22">
        <v>-9145</v>
      </c>
      <c r="W22">
        <v>-8298</v>
      </c>
      <c r="X22">
        <v>-8297</v>
      </c>
      <c r="Y22">
        <v>-8298</v>
      </c>
      <c r="Z22">
        <v>-8297</v>
      </c>
      <c r="AA22">
        <v>-8298</v>
      </c>
      <c r="AB22">
        <v>-8297</v>
      </c>
      <c r="AC22">
        <v>-8298</v>
      </c>
      <c r="AD22">
        <v>-8297</v>
      </c>
    </row>
    <row r="23" spans="1:30" x14ac:dyDescent="0.3">
      <c r="A23" t="s">
        <v>87</v>
      </c>
      <c r="B23" t="s">
        <v>48</v>
      </c>
      <c r="C23" t="s">
        <v>30</v>
      </c>
      <c r="J23">
        <v>-66.790000000000006</v>
      </c>
      <c r="O23">
        <v>-275</v>
      </c>
    </row>
    <row r="24" spans="1:30" x14ac:dyDescent="0.3">
      <c r="A24" t="s">
        <v>87</v>
      </c>
      <c r="B24" t="s">
        <v>30</v>
      </c>
      <c r="C24" t="s">
        <v>30</v>
      </c>
      <c r="F24">
        <v>0</v>
      </c>
      <c r="G24">
        <v>0</v>
      </c>
      <c r="H24">
        <v>36</v>
      </c>
      <c r="I24">
        <v>-87908.64</v>
      </c>
      <c r="J24">
        <v>-107798</v>
      </c>
      <c r="K24">
        <v>-104581.38</v>
      </c>
      <c r="L24">
        <v>-155363.07999999999</v>
      </c>
      <c r="M24">
        <v>-176307.74</v>
      </c>
      <c r="N24">
        <v>-1360446.76</v>
      </c>
      <c r="O24">
        <v>-1119808.8999999999</v>
      </c>
      <c r="P24">
        <v>-947671.02</v>
      </c>
      <c r="Q24">
        <v>-1233973.53</v>
      </c>
      <c r="R24">
        <v>-907560.99</v>
      </c>
      <c r="S24">
        <v>-896767.48</v>
      </c>
      <c r="T24">
        <v>-777179.67</v>
      </c>
      <c r="U24">
        <v>-809621.41</v>
      </c>
      <c r="V24">
        <v>-813765.98</v>
      </c>
      <c r="W24">
        <v>-932470.02</v>
      </c>
      <c r="X24">
        <v>-713056.22</v>
      </c>
      <c r="Y24">
        <v>-774012.41</v>
      </c>
      <c r="Z24">
        <v>-573300.88</v>
      </c>
      <c r="AA24">
        <v>-597011.48</v>
      </c>
      <c r="AB24">
        <v>-389433.15</v>
      </c>
      <c r="AC24">
        <v>-364382.6</v>
      </c>
      <c r="AD24">
        <v>-429596.18</v>
      </c>
    </row>
    <row r="25" spans="1:30" x14ac:dyDescent="0.3">
      <c r="A25" t="s">
        <v>87</v>
      </c>
      <c r="B25" t="s">
        <v>30</v>
      </c>
    </row>
    <row r="26" spans="1:30" x14ac:dyDescent="0.3">
      <c r="A26" t="s">
        <v>87</v>
      </c>
    </row>
    <row r="27" spans="1:30" x14ac:dyDescent="0.3">
      <c r="A27" t="s">
        <v>87</v>
      </c>
      <c r="B27" t="s">
        <v>129</v>
      </c>
    </row>
    <row r="28" spans="1:30" x14ac:dyDescent="0.3">
      <c r="A28" t="s">
        <v>88</v>
      </c>
      <c r="B28" t="s">
        <v>22</v>
      </c>
      <c r="E28">
        <v>202312</v>
      </c>
      <c r="F28">
        <v>202401</v>
      </c>
      <c r="G28">
        <v>202402</v>
      </c>
      <c r="H28">
        <v>202403</v>
      </c>
      <c r="I28">
        <v>202404</v>
      </c>
      <c r="J28">
        <v>202405</v>
      </c>
      <c r="K28">
        <v>202406</v>
      </c>
      <c r="L28">
        <v>202407</v>
      </c>
      <c r="M28">
        <v>202408</v>
      </c>
      <c r="N28">
        <v>202409</v>
      </c>
      <c r="O28">
        <v>202410</v>
      </c>
      <c r="P28">
        <v>202411</v>
      </c>
      <c r="Q28">
        <v>202412</v>
      </c>
      <c r="R28">
        <v>202501</v>
      </c>
      <c r="S28">
        <v>202502</v>
      </c>
      <c r="T28">
        <v>202503</v>
      </c>
      <c r="U28">
        <v>202504</v>
      </c>
      <c r="V28">
        <v>202505</v>
      </c>
      <c r="W28">
        <v>202506</v>
      </c>
      <c r="X28">
        <v>202507</v>
      </c>
      <c r="Y28">
        <v>202508</v>
      </c>
      <c r="Z28">
        <v>202509</v>
      </c>
      <c r="AA28">
        <v>202510</v>
      </c>
      <c r="AB28">
        <v>202511</v>
      </c>
      <c r="AC28">
        <v>202512</v>
      </c>
      <c r="AD28">
        <v>202601</v>
      </c>
    </row>
    <row r="29" spans="1:30" x14ac:dyDescent="0.3">
      <c r="A29" t="s">
        <v>88</v>
      </c>
      <c r="B29" t="s">
        <v>23</v>
      </c>
      <c r="E29" t="s">
        <v>24</v>
      </c>
      <c r="F29" t="s">
        <v>24</v>
      </c>
      <c r="G29" t="s">
        <v>24</v>
      </c>
      <c r="H29" t="s">
        <v>24</v>
      </c>
      <c r="I29" t="s">
        <v>24</v>
      </c>
      <c r="J29" t="s">
        <v>24</v>
      </c>
      <c r="K29" t="s">
        <v>24</v>
      </c>
      <c r="L29" t="s">
        <v>24</v>
      </c>
      <c r="M29" t="s">
        <v>24</v>
      </c>
      <c r="N29" t="s">
        <v>24</v>
      </c>
      <c r="O29" t="s">
        <v>24</v>
      </c>
      <c r="P29" t="s">
        <v>24</v>
      </c>
      <c r="Q29" t="s">
        <v>24</v>
      </c>
      <c r="R29" t="s">
        <v>24</v>
      </c>
      <c r="S29" t="s">
        <v>24</v>
      </c>
      <c r="T29" t="s">
        <v>24</v>
      </c>
      <c r="U29" t="s">
        <v>24</v>
      </c>
      <c r="V29" t="s">
        <v>24</v>
      </c>
      <c r="W29" t="s">
        <v>24</v>
      </c>
      <c r="X29" t="s">
        <v>24</v>
      </c>
      <c r="Y29" t="s">
        <v>24</v>
      </c>
      <c r="Z29" t="s">
        <v>24</v>
      </c>
      <c r="AA29" t="s">
        <v>24</v>
      </c>
      <c r="AB29" t="s">
        <v>24</v>
      </c>
      <c r="AC29" t="s">
        <v>24</v>
      </c>
      <c r="AD29" t="s">
        <v>24</v>
      </c>
    </row>
    <row r="30" spans="1:30" x14ac:dyDescent="0.3">
      <c r="A30" t="s">
        <v>88</v>
      </c>
      <c r="B30" t="s">
        <v>25</v>
      </c>
      <c r="C30" t="s">
        <v>26</v>
      </c>
      <c r="D30" t="s">
        <v>27</v>
      </c>
      <c r="E30" t="s">
        <v>28</v>
      </c>
      <c r="F30" t="s">
        <v>28</v>
      </c>
      <c r="G30" t="s">
        <v>28</v>
      </c>
      <c r="H30" t="s">
        <v>28</v>
      </c>
      <c r="I30" t="s">
        <v>28</v>
      </c>
      <c r="J30" t="s">
        <v>28</v>
      </c>
      <c r="K30" t="s">
        <v>28</v>
      </c>
      <c r="L30" t="s">
        <v>28</v>
      </c>
      <c r="M30" t="s">
        <v>28</v>
      </c>
      <c r="N30" t="s">
        <v>28</v>
      </c>
      <c r="O30" t="s">
        <v>28</v>
      </c>
      <c r="P30" t="s">
        <v>28</v>
      </c>
      <c r="Q30" t="s">
        <v>28</v>
      </c>
      <c r="R30" t="s">
        <v>28</v>
      </c>
      <c r="S30" t="s">
        <v>28</v>
      </c>
      <c r="T30" t="s">
        <v>28</v>
      </c>
      <c r="U30" t="s">
        <v>28</v>
      </c>
      <c r="V30" t="s">
        <v>28</v>
      </c>
      <c r="W30" t="s">
        <v>28</v>
      </c>
      <c r="X30" t="s">
        <v>28</v>
      </c>
      <c r="Y30" t="s">
        <v>28</v>
      </c>
      <c r="Z30" t="s">
        <v>28</v>
      </c>
      <c r="AA30" t="s">
        <v>28</v>
      </c>
      <c r="AB30" t="s">
        <v>28</v>
      </c>
      <c r="AC30" t="s">
        <v>28</v>
      </c>
      <c r="AD30" t="s">
        <v>28</v>
      </c>
    </row>
    <row r="31" spans="1:30" x14ac:dyDescent="0.3">
      <c r="A31" t="s">
        <v>88</v>
      </c>
      <c r="B31" t="s">
        <v>29</v>
      </c>
      <c r="C31" t="s">
        <v>30</v>
      </c>
      <c r="E31">
        <v>3539425.84</v>
      </c>
      <c r="F31">
        <v>3373216.07</v>
      </c>
      <c r="G31">
        <v>3529393.25</v>
      </c>
      <c r="H31">
        <v>3533690.34</v>
      </c>
      <c r="I31">
        <v>3544853.9</v>
      </c>
      <c r="J31">
        <v>3575957.89</v>
      </c>
      <c r="K31">
        <v>3492686.28</v>
      </c>
      <c r="L31">
        <v>3420694.49</v>
      </c>
      <c r="M31">
        <v>3488483.12</v>
      </c>
      <c r="N31">
        <v>3710206.42</v>
      </c>
      <c r="O31">
        <v>3313629.21</v>
      </c>
      <c r="P31">
        <v>3688494.06</v>
      </c>
      <c r="Q31">
        <v>3635877.73</v>
      </c>
      <c r="R31">
        <v>3670720.62</v>
      </c>
      <c r="S31">
        <v>3645688.04</v>
      </c>
      <c r="T31">
        <v>3806362.23</v>
      </c>
      <c r="U31">
        <v>3722878.25</v>
      </c>
      <c r="V31">
        <v>3756390.22</v>
      </c>
      <c r="W31">
        <v>3604808.04</v>
      </c>
      <c r="X31">
        <v>3535541.64</v>
      </c>
      <c r="Y31">
        <v>3496710.26</v>
      </c>
      <c r="Z31">
        <v>3711019.45</v>
      </c>
      <c r="AA31">
        <v>3716153.63</v>
      </c>
      <c r="AB31">
        <v>3613652.48</v>
      </c>
      <c r="AC31">
        <v>3796178.71</v>
      </c>
      <c r="AD31">
        <v>3430029.58</v>
      </c>
    </row>
    <row r="32" spans="1:30" x14ac:dyDescent="0.3">
      <c r="A32" t="s">
        <v>88</v>
      </c>
      <c r="B32" t="s">
        <v>29</v>
      </c>
      <c r="C32" t="s">
        <v>31</v>
      </c>
      <c r="D32" t="s">
        <v>30</v>
      </c>
      <c r="E32">
        <v>3487134.34</v>
      </c>
      <c r="F32">
        <v>3282060.07</v>
      </c>
      <c r="G32">
        <v>3265822.75</v>
      </c>
      <c r="H32">
        <v>3370051.3</v>
      </c>
      <c r="I32">
        <v>3380354.9</v>
      </c>
      <c r="J32">
        <v>3331807.89</v>
      </c>
      <c r="K32">
        <v>3325656.33</v>
      </c>
      <c r="L32">
        <v>3306954.49</v>
      </c>
      <c r="M32">
        <v>3266033.12</v>
      </c>
      <c r="N32">
        <v>3476416.87</v>
      </c>
      <c r="O32">
        <v>3140180</v>
      </c>
      <c r="P32">
        <v>3527794.06</v>
      </c>
      <c r="Q32">
        <v>3472382.68</v>
      </c>
      <c r="R32">
        <v>3531921.12</v>
      </c>
      <c r="S32">
        <v>3493617.04</v>
      </c>
      <c r="T32">
        <v>3583873.25</v>
      </c>
      <c r="U32">
        <v>3522200.63</v>
      </c>
      <c r="V32">
        <v>3547192.3</v>
      </c>
      <c r="W32">
        <v>3529817.04</v>
      </c>
      <c r="X32">
        <v>3484622.22</v>
      </c>
      <c r="Y32">
        <v>3432631.42</v>
      </c>
      <c r="Z32">
        <v>3538259.11</v>
      </c>
      <c r="AA32">
        <v>3489428.63</v>
      </c>
      <c r="AB32">
        <v>3506255.28</v>
      </c>
      <c r="AC32">
        <v>3688388.71</v>
      </c>
      <c r="AD32">
        <v>3342523.36</v>
      </c>
    </row>
    <row r="33" spans="1:30" x14ac:dyDescent="0.3">
      <c r="A33" t="s">
        <v>88</v>
      </c>
      <c r="B33" t="s">
        <v>29</v>
      </c>
      <c r="C33" t="s">
        <v>31</v>
      </c>
      <c r="D33" t="s">
        <v>32</v>
      </c>
      <c r="E33">
        <v>3387788.51</v>
      </c>
      <c r="F33">
        <v>3257986.84</v>
      </c>
      <c r="G33">
        <v>3221008.75</v>
      </c>
      <c r="H33">
        <v>3302493.09</v>
      </c>
      <c r="I33">
        <v>3274832.26</v>
      </c>
      <c r="J33">
        <v>3270634.89</v>
      </c>
      <c r="K33">
        <v>3300053.13</v>
      </c>
      <c r="L33">
        <v>3298555.49</v>
      </c>
      <c r="M33">
        <v>3225088.12</v>
      </c>
      <c r="N33">
        <v>3426266.87</v>
      </c>
      <c r="O33">
        <v>3070676.45</v>
      </c>
      <c r="P33">
        <v>3484742.06</v>
      </c>
      <c r="Q33">
        <v>3390122.98</v>
      </c>
      <c r="R33">
        <v>3468679.75</v>
      </c>
      <c r="S33">
        <v>3499441.84</v>
      </c>
      <c r="T33">
        <v>3508258.03</v>
      </c>
      <c r="U33">
        <v>3505660.13</v>
      </c>
      <c r="V33">
        <v>3505660.13</v>
      </c>
      <c r="W33">
        <v>3483460.95</v>
      </c>
      <c r="X33">
        <v>3481113.62</v>
      </c>
      <c r="Y33">
        <v>3429516.42</v>
      </c>
      <c r="Z33">
        <v>3456283.45</v>
      </c>
      <c r="AA33">
        <v>3469460.02</v>
      </c>
      <c r="AB33">
        <v>3494373.28</v>
      </c>
      <c r="AC33">
        <v>3575214.23</v>
      </c>
      <c r="AD33">
        <v>3339426.36</v>
      </c>
    </row>
    <row r="34" spans="1:30" x14ac:dyDescent="0.3">
      <c r="A34" t="s">
        <v>88</v>
      </c>
      <c r="B34" t="s">
        <v>29</v>
      </c>
      <c r="C34" t="s">
        <v>31</v>
      </c>
      <c r="D34" t="s">
        <v>33</v>
      </c>
      <c r="E34">
        <v>63472.83</v>
      </c>
      <c r="F34">
        <v>19817.23</v>
      </c>
      <c r="G34">
        <v>31049</v>
      </c>
      <c r="H34">
        <v>17942.21</v>
      </c>
      <c r="I34">
        <v>81305.64</v>
      </c>
      <c r="J34">
        <v>12586</v>
      </c>
      <c r="K34">
        <v>0.2</v>
      </c>
      <c r="L34">
        <v>2775</v>
      </c>
      <c r="M34">
        <v>33340</v>
      </c>
      <c r="N34">
        <v>42860</v>
      </c>
      <c r="O34">
        <v>25662.55</v>
      </c>
      <c r="P34">
        <v>3195</v>
      </c>
      <c r="Q34">
        <v>34353.699999999997</v>
      </c>
      <c r="R34">
        <v>45944.77</v>
      </c>
      <c r="T34">
        <v>42104.42</v>
      </c>
      <c r="U34">
        <v>10921.9</v>
      </c>
      <c r="V34">
        <v>20147.97</v>
      </c>
      <c r="W34">
        <v>12403.29</v>
      </c>
      <c r="Z34">
        <v>74895.66</v>
      </c>
      <c r="AA34">
        <v>14616.61</v>
      </c>
      <c r="AC34">
        <v>25998.48</v>
      </c>
    </row>
    <row r="35" spans="1:30" x14ac:dyDescent="0.3">
      <c r="A35" t="s">
        <v>88</v>
      </c>
      <c r="B35" t="s">
        <v>29</v>
      </c>
      <c r="C35" t="s">
        <v>31</v>
      </c>
      <c r="D35" t="s">
        <v>34</v>
      </c>
      <c r="E35">
        <v>35873</v>
      </c>
      <c r="F35">
        <v>4256</v>
      </c>
      <c r="G35">
        <v>13765</v>
      </c>
      <c r="H35">
        <v>49616</v>
      </c>
      <c r="I35">
        <v>24217</v>
      </c>
      <c r="J35">
        <v>48587</v>
      </c>
      <c r="K35">
        <v>25603</v>
      </c>
      <c r="L35">
        <v>5624</v>
      </c>
      <c r="M35">
        <v>7605</v>
      </c>
      <c r="N35">
        <v>7290</v>
      </c>
      <c r="O35">
        <v>43841</v>
      </c>
      <c r="P35">
        <v>39857</v>
      </c>
      <c r="Q35">
        <v>47906</v>
      </c>
      <c r="R35">
        <v>17296.599999999999</v>
      </c>
      <c r="S35">
        <v>-5824.8</v>
      </c>
      <c r="T35">
        <v>33510.800000000003</v>
      </c>
      <c r="U35">
        <v>5618.6</v>
      </c>
      <c r="V35">
        <v>21384.2</v>
      </c>
      <c r="W35">
        <v>33952.800000000003</v>
      </c>
      <c r="X35">
        <v>3508.6</v>
      </c>
      <c r="Y35">
        <v>3115</v>
      </c>
      <c r="Z35">
        <v>7080</v>
      </c>
      <c r="AA35">
        <v>5352</v>
      </c>
      <c r="AB35">
        <v>11882</v>
      </c>
      <c r="AC35">
        <v>87176</v>
      </c>
      <c r="AD35">
        <v>3097</v>
      </c>
    </row>
    <row r="36" spans="1:30" x14ac:dyDescent="0.3">
      <c r="A36" t="s">
        <v>88</v>
      </c>
      <c r="B36" t="s">
        <v>29</v>
      </c>
      <c r="C36" t="s">
        <v>35</v>
      </c>
      <c r="D36" t="s">
        <v>30</v>
      </c>
      <c r="E36">
        <v>52291.5</v>
      </c>
      <c r="F36">
        <v>91156</v>
      </c>
      <c r="G36">
        <v>263570.5</v>
      </c>
      <c r="H36">
        <v>163639.04000000001</v>
      </c>
      <c r="I36">
        <v>164499</v>
      </c>
      <c r="J36">
        <v>244150</v>
      </c>
      <c r="K36">
        <v>167029.95000000001</v>
      </c>
      <c r="L36">
        <v>113740</v>
      </c>
      <c r="M36">
        <v>222450</v>
      </c>
      <c r="N36">
        <v>233789.55</v>
      </c>
      <c r="O36">
        <v>173449.21</v>
      </c>
      <c r="P36">
        <v>160700</v>
      </c>
      <c r="Q36">
        <v>163495.04999999999</v>
      </c>
      <c r="R36">
        <v>138799.5</v>
      </c>
      <c r="S36">
        <v>152071</v>
      </c>
      <c r="T36">
        <v>222488.98</v>
      </c>
      <c r="U36">
        <v>200677.62</v>
      </c>
      <c r="V36">
        <v>209197.92</v>
      </c>
      <c r="W36">
        <v>74991</v>
      </c>
      <c r="X36">
        <v>50919.42</v>
      </c>
      <c r="Y36">
        <v>64078.84</v>
      </c>
      <c r="Z36">
        <v>172760.34</v>
      </c>
      <c r="AA36">
        <v>226725</v>
      </c>
      <c r="AB36">
        <v>107397.2</v>
      </c>
      <c r="AC36">
        <v>107790</v>
      </c>
      <c r="AD36">
        <v>87506.22</v>
      </c>
    </row>
    <row r="37" spans="1:30" x14ac:dyDescent="0.3">
      <c r="A37" t="s">
        <v>88</v>
      </c>
      <c r="B37" t="s">
        <v>36</v>
      </c>
      <c r="C37" t="s">
        <v>30</v>
      </c>
      <c r="E37">
        <v>-2652479.4300000002</v>
      </c>
      <c r="F37">
        <v>-2518425.92</v>
      </c>
      <c r="G37">
        <v>-2614019.94</v>
      </c>
      <c r="H37">
        <v>-2598007.84</v>
      </c>
      <c r="I37">
        <v>-2775163.98</v>
      </c>
      <c r="J37">
        <v>-2842492.1</v>
      </c>
      <c r="K37">
        <v>-2739042.53</v>
      </c>
      <c r="L37">
        <v>-2704049.93</v>
      </c>
      <c r="M37">
        <v>-2754631.69</v>
      </c>
      <c r="N37">
        <v>-3092039.14</v>
      </c>
      <c r="O37">
        <v>-2799911.73</v>
      </c>
      <c r="P37">
        <v>-2775437.48</v>
      </c>
      <c r="Q37">
        <v>-2821468.3</v>
      </c>
      <c r="R37">
        <v>-2650299.63</v>
      </c>
      <c r="S37">
        <v>-2745698.6</v>
      </c>
      <c r="T37">
        <v>-2724796.29</v>
      </c>
      <c r="U37">
        <v>-2483183.17</v>
      </c>
      <c r="V37">
        <v>-2483479.04</v>
      </c>
      <c r="W37">
        <v>-2643545.86</v>
      </c>
      <c r="X37">
        <v>-2543088.52</v>
      </c>
      <c r="Y37">
        <v>-2539641.34</v>
      </c>
      <c r="Z37">
        <v>-2633199.16</v>
      </c>
      <c r="AA37">
        <v>-2701046.67</v>
      </c>
      <c r="AB37">
        <v>-2474330.41</v>
      </c>
      <c r="AC37">
        <v>-2660004.04</v>
      </c>
      <c r="AD37">
        <v>-2462201.3199999998</v>
      </c>
    </row>
    <row r="38" spans="1:30" x14ac:dyDescent="0.3">
      <c r="A38" t="s">
        <v>88</v>
      </c>
      <c r="B38" t="s">
        <v>36</v>
      </c>
      <c r="C38" t="s">
        <v>18</v>
      </c>
      <c r="D38" t="s">
        <v>30</v>
      </c>
      <c r="E38">
        <v>-1655124.85</v>
      </c>
      <c r="F38">
        <v>-1620790.79</v>
      </c>
      <c r="G38">
        <v>-1702474.15</v>
      </c>
      <c r="H38">
        <v>-1588865.51</v>
      </c>
      <c r="I38">
        <v>-1738137.5</v>
      </c>
      <c r="J38">
        <v>-1844514.75</v>
      </c>
      <c r="K38">
        <v>-1805177.31</v>
      </c>
      <c r="L38">
        <v>-1840020.43</v>
      </c>
      <c r="M38">
        <v>-1902602.4</v>
      </c>
      <c r="N38">
        <v>-2083027.15</v>
      </c>
      <c r="O38">
        <v>-1839555.1</v>
      </c>
      <c r="P38">
        <v>-1841113.46</v>
      </c>
      <c r="Q38">
        <v>-1966897.13</v>
      </c>
      <c r="R38">
        <v>-1780154.03</v>
      </c>
      <c r="S38">
        <v>-1870192.19</v>
      </c>
      <c r="T38">
        <v>-1812623.69</v>
      </c>
      <c r="U38">
        <v>-1585311.15</v>
      </c>
      <c r="V38">
        <v>-1553251.91</v>
      </c>
      <c r="W38">
        <v>-1608763.58</v>
      </c>
      <c r="X38">
        <v>-1636803.39</v>
      </c>
      <c r="Y38">
        <v>-1721765.27</v>
      </c>
      <c r="Z38">
        <v>-1702511.71</v>
      </c>
      <c r="AA38">
        <v>-1630892.8</v>
      </c>
      <c r="AB38">
        <v>-1583895.12</v>
      </c>
      <c r="AC38">
        <v>-1687174.69</v>
      </c>
      <c r="AD38">
        <v>-1639769.83</v>
      </c>
    </row>
    <row r="39" spans="1:30" x14ac:dyDescent="0.3">
      <c r="A39" t="s">
        <v>88</v>
      </c>
      <c r="B39" t="s">
        <v>36</v>
      </c>
      <c r="C39" t="s">
        <v>37</v>
      </c>
      <c r="D39" t="s">
        <v>30</v>
      </c>
      <c r="E39">
        <v>-997354.58</v>
      </c>
      <c r="F39">
        <v>-897635.13</v>
      </c>
      <c r="G39">
        <v>-911545.79</v>
      </c>
      <c r="H39">
        <v>-1009142.33</v>
      </c>
      <c r="I39">
        <v>-1037026.48</v>
      </c>
      <c r="J39">
        <v>-997977.35</v>
      </c>
      <c r="K39">
        <v>-933865.22</v>
      </c>
      <c r="L39">
        <v>-864029.5</v>
      </c>
      <c r="M39">
        <v>-852029.29</v>
      </c>
      <c r="N39">
        <v>-1009011.99</v>
      </c>
      <c r="O39">
        <v>-960356.63</v>
      </c>
      <c r="P39">
        <v>-934324.02</v>
      </c>
      <c r="Q39">
        <v>-854571.17</v>
      </c>
      <c r="R39">
        <v>-870145.6</v>
      </c>
      <c r="S39">
        <v>-875506.41</v>
      </c>
      <c r="T39">
        <v>-912172.6</v>
      </c>
      <c r="U39">
        <v>-897872.02</v>
      </c>
      <c r="V39">
        <v>-930227.13</v>
      </c>
      <c r="W39">
        <v>-1034782.28</v>
      </c>
      <c r="X39">
        <v>-906285.13</v>
      </c>
      <c r="Y39">
        <v>-817876.07</v>
      </c>
      <c r="Z39">
        <v>-930687.45</v>
      </c>
      <c r="AA39">
        <v>-1070153.8700000001</v>
      </c>
      <c r="AB39">
        <v>-890435.29</v>
      </c>
      <c r="AC39">
        <v>-972829.35</v>
      </c>
      <c r="AD39">
        <v>-822431.49</v>
      </c>
    </row>
    <row r="40" spans="1:30" x14ac:dyDescent="0.3">
      <c r="A40" t="s">
        <v>88</v>
      </c>
      <c r="B40" t="s">
        <v>38</v>
      </c>
      <c r="C40" t="s">
        <v>30</v>
      </c>
      <c r="E40">
        <v>886946.41</v>
      </c>
      <c r="F40">
        <v>854790.15</v>
      </c>
      <c r="G40">
        <v>915373.31</v>
      </c>
      <c r="H40">
        <v>935682.5</v>
      </c>
      <c r="I40">
        <v>769689.92</v>
      </c>
      <c r="J40">
        <v>733465.79</v>
      </c>
      <c r="K40">
        <v>753643.75</v>
      </c>
      <c r="L40">
        <v>716644.56</v>
      </c>
      <c r="M40">
        <v>733851.43</v>
      </c>
      <c r="N40">
        <v>618167.28</v>
      </c>
      <c r="O40">
        <v>513717.48</v>
      </c>
      <c r="P40">
        <v>913056.58</v>
      </c>
      <c r="Q40">
        <v>814409.43</v>
      </c>
      <c r="R40">
        <v>1020420.99</v>
      </c>
      <c r="S40">
        <v>899989.44</v>
      </c>
      <c r="T40">
        <v>1081565.94</v>
      </c>
      <c r="U40">
        <v>1239695.08</v>
      </c>
      <c r="V40">
        <v>1272911.18</v>
      </c>
      <c r="W40">
        <v>961262.18</v>
      </c>
      <c r="X40">
        <v>992453.12</v>
      </c>
      <c r="Y40">
        <v>957068.92</v>
      </c>
      <c r="Z40">
        <v>1077820.29</v>
      </c>
      <c r="AA40">
        <v>1015106.96</v>
      </c>
      <c r="AB40">
        <v>1139322.07</v>
      </c>
      <c r="AC40">
        <v>1136174.67</v>
      </c>
      <c r="AD40">
        <v>967828.26</v>
      </c>
    </row>
    <row r="41" spans="1:30" x14ac:dyDescent="0.3">
      <c r="A41" t="s">
        <v>88</v>
      </c>
      <c r="B41" t="s">
        <v>39</v>
      </c>
      <c r="C41" t="s">
        <v>30</v>
      </c>
      <c r="E41">
        <v>-289720.3</v>
      </c>
      <c r="F41">
        <v>-334747.93</v>
      </c>
      <c r="G41">
        <v>-365919.8</v>
      </c>
      <c r="H41">
        <v>-361395.79</v>
      </c>
      <c r="I41">
        <v>-357053.78</v>
      </c>
      <c r="J41">
        <v>-401281.29</v>
      </c>
      <c r="K41">
        <v>-346643.02</v>
      </c>
      <c r="L41">
        <v>-361497.32</v>
      </c>
      <c r="M41">
        <v>-360487.99</v>
      </c>
      <c r="N41">
        <v>-388653.81</v>
      </c>
      <c r="O41">
        <v>-387976.07</v>
      </c>
      <c r="P41">
        <v>-370361.62</v>
      </c>
      <c r="Q41">
        <v>-548054.53</v>
      </c>
      <c r="R41">
        <v>-327369.5</v>
      </c>
      <c r="S41">
        <v>-391078.64</v>
      </c>
      <c r="T41">
        <v>-375709.82</v>
      </c>
      <c r="U41">
        <v>-395873.38</v>
      </c>
      <c r="V41">
        <v>-405145.75</v>
      </c>
      <c r="W41">
        <v>-390098.62</v>
      </c>
      <c r="X41">
        <v>-365425.98</v>
      </c>
      <c r="Y41">
        <v>-377197.6</v>
      </c>
      <c r="Z41">
        <v>-413970.59</v>
      </c>
      <c r="AA41">
        <v>-401730.35</v>
      </c>
      <c r="AB41">
        <v>-446644.38</v>
      </c>
      <c r="AC41">
        <v>-412919.03999999998</v>
      </c>
      <c r="AD41">
        <v>-379948.71</v>
      </c>
    </row>
    <row r="42" spans="1:30" x14ac:dyDescent="0.3">
      <c r="A42" t="s">
        <v>88</v>
      </c>
      <c r="B42" t="s">
        <v>39</v>
      </c>
      <c r="C42" t="s">
        <v>40</v>
      </c>
      <c r="D42" t="s">
        <v>30</v>
      </c>
      <c r="E42">
        <v>-237598.07</v>
      </c>
      <c r="F42">
        <v>-299002.48</v>
      </c>
      <c r="G42">
        <v>-325985.90000000002</v>
      </c>
      <c r="H42">
        <v>-324789.59000000003</v>
      </c>
      <c r="I42">
        <v>-320903.3</v>
      </c>
      <c r="J42">
        <v>-365643.34</v>
      </c>
      <c r="K42">
        <v>-310639.02</v>
      </c>
      <c r="L42">
        <v>-323869.32</v>
      </c>
      <c r="M42">
        <v>-324736.99</v>
      </c>
      <c r="N42">
        <v>-345049.81</v>
      </c>
      <c r="O42">
        <v>-344685.12</v>
      </c>
      <c r="P42">
        <v>-333976.62</v>
      </c>
      <c r="Q42">
        <v>-471485.89</v>
      </c>
      <c r="R42">
        <v>-301791.34000000003</v>
      </c>
      <c r="S42">
        <v>-353174.65</v>
      </c>
      <c r="T42">
        <v>-347734.82</v>
      </c>
      <c r="U42">
        <v>-370395.15</v>
      </c>
      <c r="V42">
        <v>-371123.92</v>
      </c>
      <c r="W42">
        <v>-357963.08</v>
      </c>
      <c r="X42">
        <v>-337970.36</v>
      </c>
      <c r="Y42">
        <v>-348649.28</v>
      </c>
      <c r="Z42">
        <v>-384430.04</v>
      </c>
      <c r="AA42">
        <v>-373909.71</v>
      </c>
      <c r="AB42">
        <v>-409844.42</v>
      </c>
      <c r="AC42">
        <v>-375839.29</v>
      </c>
      <c r="AD42">
        <v>-347586.99</v>
      </c>
    </row>
    <row r="43" spans="1:30" x14ac:dyDescent="0.3">
      <c r="A43" t="s">
        <v>88</v>
      </c>
      <c r="B43" t="s">
        <v>39</v>
      </c>
      <c r="C43" t="s">
        <v>41</v>
      </c>
      <c r="D43" t="s">
        <v>30</v>
      </c>
      <c r="E43">
        <v>-52122.23</v>
      </c>
      <c r="F43">
        <v>-35745.449999999997</v>
      </c>
      <c r="G43">
        <v>-39933.9</v>
      </c>
      <c r="H43">
        <v>-36606.199999999997</v>
      </c>
      <c r="I43">
        <v>-36150.480000000003</v>
      </c>
      <c r="J43">
        <v>-35637.949999999997</v>
      </c>
      <c r="K43">
        <v>-36004</v>
      </c>
      <c r="L43">
        <v>-37628</v>
      </c>
      <c r="M43">
        <v>-35751</v>
      </c>
      <c r="N43">
        <v>-43604</v>
      </c>
      <c r="O43">
        <v>-43290.95</v>
      </c>
      <c r="P43">
        <v>-36385</v>
      </c>
      <c r="Q43">
        <v>-76568.639999999999</v>
      </c>
      <c r="R43">
        <v>-25578.16</v>
      </c>
      <c r="S43">
        <v>-37903.99</v>
      </c>
      <c r="T43">
        <v>-27975</v>
      </c>
      <c r="U43">
        <v>-25478.23</v>
      </c>
      <c r="V43">
        <v>-34021.83</v>
      </c>
      <c r="W43">
        <v>-32135.54</v>
      </c>
      <c r="X43">
        <v>-27455.62</v>
      </c>
      <c r="Y43">
        <v>-28548.32</v>
      </c>
      <c r="Z43">
        <v>-29540.55</v>
      </c>
      <c r="AA43">
        <v>-27820.639999999999</v>
      </c>
      <c r="AB43">
        <v>-36799.96</v>
      </c>
      <c r="AC43">
        <v>-37079.75</v>
      </c>
      <c r="AD43">
        <v>-32361.72</v>
      </c>
    </row>
    <row r="44" spans="1:30" x14ac:dyDescent="0.3">
      <c r="A44" t="s">
        <v>88</v>
      </c>
      <c r="B44" t="s">
        <v>42</v>
      </c>
      <c r="C44" t="s">
        <v>30</v>
      </c>
      <c r="E44">
        <v>597226.11</v>
      </c>
      <c r="F44">
        <v>520042.22</v>
      </c>
      <c r="G44">
        <v>549453.51</v>
      </c>
      <c r="H44">
        <v>574286.71</v>
      </c>
      <c r="I44">
        <v>412636.14</v>
      </c>
      <c r="J44">
        <v>332184.5</v>
      </c>
      <c r="K44">
        <v>407000.73</v>
      </c>
      <c r="L44">
        <v>355147.24</v>
      </c>
      <c r="M44">
        <v>373363.44</v>
      </c>
      <c r="N44">
        <v>229513.47</v>
      </c>
      <c r="O44">
        <v>125741.41</v>
      </c>
      <c r="P44">
        <v>542694.96</v>
      </c>
      <c r="Q44">
        <v>266354.90000000002</v>
      </c>
      <c r="R44">
        <v>693051.49</v>
      </c>
      <c r="S44">
        <v>508910.8</v>
      </c>
      <c r="T44">
        <v>705856.12</v>
      </c>
      <c r="U44">
        <v>843821.7</v>
      </c>
      <c r="V44">
        <v>867765.43</v>
      </c>
      <c r="W44">
        <v>571163.56000000006</v>
      </c>
      <c r="X44">
        <v>627027.14</v>
      </c>
      <c r="Y44">
        <v>579871.31999999995</v>
      </c>
      <c r="Z44">
        <v>663849.69999999995</v>
      </c>
      <c r="AA44">
        <v>613376.61</v>
      </c>
      <c r="AB44">
        <v>692677.69</v>
      </c>
      <c r="AC44">
        <v>723255.63</v>
      </c>
      <c r="AD44">
        <v>587879.55000000005</v>
      </c>
    </row>
    <row r="45" spans="1:30" x14ac:dyDescent="0.3">
      <c r="A45" t="s">
        <v>88</v>
      </c>
      <c r="B45" t="s">
        <v>43</v>
      </c>
      <c r="C45" t="s">
        <v>30</v>
      </c>
      <c r="E45">
        <v>-273513</v>
      </c>
    </row>
    <row r="46" spans="1:30" x14ac:dyDescent="0.3">
      <c r="A46" t="s">
        <v>88</v>
      </c>
      <c r="B46" t="s">
        <v>43</v>
      </c>
      <c r="C46" t="s">
        <v>123</v>
      </c>
      <c r="D46" t="s">
        <v>30</v>
      </c>
      <c r="E46">
        <v>-101414</v>
      </c>
    </row>
    <row r="47" spans="1:30" x14ac:dyDescent="0.3">
      <c r="A47" t="s">
        <v>88</v>
      </c>
      <c r="B47" t="s">
        <v>43</v>
      </c>
      <c r="C47" t="s">
        <v>124</v>
      </c>
      <c r="D47" t="s">
        <v>30</v>
      </c>
      <c r="E47">
        <v>-172099</v>
      </c>
    </row>
    <row r="48" spans="1:30" x14ac:dyDescent="0.3">
      <c r="A48" t="s">
        <v>88</v>
      </c>
      <c r="B48" t="s">
        <v>44</v>
      </c>
      <c r="C48" t="s">
        <v>30</v>
      </c>
      <c r="E48">
        <v>323713.11</v>
      </c>
      <c r="F48">
        <v>520042.22</v>
      </c>
      <c r="G48">
        <v>549453.51</v>
      </c>
      <c r="H48">
        <v>574286.71</v>
      </c>
      <c r="I48">
        <v>412636.14</v>
      </c>
      <c r="J48">
        <v>332184.5</v>
      </c>
      <c r="K48">
        <v>407000.73</v>
      </c>
      <c r="L48">
        <v>355147.24</v>
      </c>
      <c r="M48">
        <v>373363.44</v>
      </c>
      <c r="N48">
        <v>229513.47</v>
      </c>
      <c r="O48">
        <v>125741.41</v>
      </c>
      <c r="P48">
        <v>542694.96</v>
      </c>
      <c r="Q48">
        <v>266354.90000000002</v>
      </c>
      <c r="R48">
        <v>693051.49</v>
      </c>
      <c r="S48">
        <v>508910.8</v>
      </c>
      <c r="T48">
        <v>705856.12</v>
      </c>
      <c r="U48">
        <v>843821.7</v>
      </c>
      <c r="V48">
        <v>867765.43</v>
      </c>
      <c r="W48">
        <v>571163.56000000006</v>
      </c>
      <c r="X48">
        <v>627027.14</v>
      </c>
      <c r="Y48">
        <v>579871.31999999995</v>
      </c>
      <c r="Z48">
        <v>663849.69999999995</v>
      </c>
      <c r="AA48">
        <v>613376.61</v>
      </c>
      <c r="AB48">
        <v>692677.69</v>
      </c>
      <c r="AC48">
        <v>723255.63</v>
      </c>
      <c r="AD48">
        <v>587879.55000000005</v>
      </c>
    </row>
    <row r="49" spans="1:30" x14ac:dyDescent="0.3">
      <c r="A49" t="s">
        <v>88</v>
      </c>
      <c r="B49" t="s">
        <v>45</v>
      </c>
      <c r="C49" t="s">
        <v>30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</row>
    <row r="50" spans="1:30" x14ac:dyDescent="0.3">
      <c r="A50" t="s">
        <v>88</v>
      </c>
      <c r="B50" t="s">
        <v>46</v>
      </c>
      <c r="C50" t="s">
        <v>30</v>
      </c>
      <c r="E50">
        <v>323713.11</v>
      </c>
      <c r="F50">
        <v>520042.22</v>
      </c>
      <c r="G50">
        <v>549453.51</v>
      </c>
      <c r="H50">
        <v>574286.71</v>
      </c>
      <c r="I50">
        <v>412636.14</v>
      </c>
      <c r="J50">
        <v>332184.5</v>
      </c>
      <c r="K50">
        <v>407000.73</v>
      </c>
      <c r="L50">
        <v>355147.24</v>
      </c>
      <c r="M50">
        <v>373363.44</v>
      </c>
      <c r="N50">
        <v>229513.47</v>
      </c>
      <c r="O50">
        <v>125741.41</v>
      </c>
      <c r="P50">
        <v>542694.96</v>
      </c>
      <c r="Q50">
        <v>266354.90000000002</v>
      </c>
      <c r="R50">
        <v>693051.49</v>
      </c>
      <c r="S50">
        <v>508910.8</v>
      </c>
      <c r="T50">
        <v>705856.12</v>
      </c>
      <c r="U50">
        <v>843821.7</v>
      </c>
      <c r="V50">
        <v>867765.43</v>
      </c>
      <c r="W50">
        <v>571163.56000000006</v>
      </c>
      <c r="X50">
        <v>627027.14</v>
      </c>
      <c r="Y50">
        <v>579871.31999999995</v>
      </c>
      <c r="Z50">
        <v>663849.69999999995</v>
      </c>
      <c r="AA50">
        <v>613376.61</v>
      </c>
      <c r="AB50">
        <v>692677.69</v>
      </c>
      <c r="AC50">
        <v>723255.63</v>
      </c>
      <c r="AD50">
        <v>587879.55000000005</v>
      </c>
    </row>
    <row r="51" spans="1:30" x14ac:dyDescent="0.3">
      <c r="A51" t="s">
        <v>88</v>
      </c>
      <c r="B51" t="s">
        <v>47</v>
      </c>
      <c r="C51" t="s">
        <v>30</v>
      </c>
      <c r="E51">
        <v>-4255</v>
      </c>
      <c r="F51">
        <v>-6984</v>
      </c>
      <c r="G51">
        <v>-6984</v>
      </c>
      <c r="H51">
        <v>-6984</v>
      </c>
      <c r="I51">
        <v>-6984</v>
      </c>
      <c r="J51">
        <v>-6984</v>
      </c>
      <c r="K51">
        <v>-6984</v>
      </c>
      <c r="L51">
        <v>-6984</v>
      </c>
      <c r="M51">
        <v>-6984</v>
      </c>
      <c r="N51">
        <v>-6984</v>
      </c>
      <c r="O51">
        <v>-6984</v>
      </c>
      <c r="P51">
        <v>-6984</v>
      </c>
      <c r="Q51">
        <v>-6984</v>
      </c>
      <c r="R51">
        <v>-6984</v>
      </c>
      <c r="T51">
        <v>-13967</v>
      </c>
      <c r="U51">
        <v>-6984</v>
      </c>
      <c r="V51">
        <v>-6984</v>
      </c>
      <c r="W51">
        <v>-6984</v>
      </c>
      <c r="Y51">
        <v>-13968</v>
      </c>
      <c r="Z51">
        <v>-6984</v>
      </c>
      <c r="AA51">
        <v>-6984</v>
      </c>
      <c r="AB51">
        <v>-6984</v>
      </c>
      <c r="AC51">
        <v>-6984</v>
      </c>
      <c r="AD51">
        <v>-6984</v>
      </c>
    </row>
    <row r="52" spans="1:30" x14ac:dyDescent="0.3">
      <c r="A52" t="s">
        <v>88</v>
      </c>
      <c r="B52" t="s">
        <v>30</v>
      </c>
      <c r="C52" t="s">
        <v>30</v>
      </c>
      <c r="E52">
        <v>319458.11</v>
      </c>
      <c r="F52">
        <v>513058.22</v>
      </c>
      <c r="G52">
        <v>542469.51</v>
      </c>
      <c r="H52">
        <v>567302.71</v>
      </c>
      <c r="I52">
        <v>405652.14</v>
      </c>
      <c r="J52">
        <v>325200.5</v>
      </c>
      <c r="K52">
        <v>400016.73</v>
      </c>
      <c r="L52">
        <v>348163.24</v>
      </c>
      <c r="M52">
        <v>366379.44</v>
      </c>
      <c r="N52">
        <v>222529.47</v>
      </c>
      <c r="O52">
        <v>118757.41</v>
      </c>
      <c r="P52">
        <v>535710.96</v>
      </c>
      <c r="Q52">
        <v>259370.9</v>
      </c>
      <c r="R52">
        <v>686067.49</v>
      </c>
      <c r="S52">
        <v>508910.8</v>
      </c>
      <c r="T52">
        <v>691889.12</v>
      </c>
      <c r="U52">
        <v>836837.7</v>
      </c>
      <c r="V52">
        <v>860781.43</v>
      </c>
      <c r="W52">
        <v>564179.56000000006</v>
      </c>
      <c r="X52">
        <v>627027.14</v>
      </c>
      <c r="Y52">
        <v>565903.31999999995</v>
      </c>
      <c r="Z52">
        <v>656865.69999999995</v>
      </c>
      <c r="AA52">
        <v>606392.61</v>
      </c>
      <c r="AB52">
        <v>685693.69</v>
      </c>
      <c r="AC52">
        <v>716271.63</v>
      </c>
      <c r="AD52">
        <v>580895.55000000005</v>
      </c>
    </row>
    <row r="53" spans="1:30" x14ac:dyDescent="0.3">
      <c r="A53" t="s">
        <v>88</v>
      </c>
      <c r="B53" t="s">
        <v>30</v>
      </c>
    </row>
    <row r="54" spans="1:30" x14ac:dyDescent="0.3">
      <c r="A54" t="s">
        <v>88</v>
      </c>
    </row>
    <row r="55" spans="1:30" x14ac:dyDescent="0.3">
      <c r="A55" t="s">
        <v>88</v>
      </c>
      <c r="B55" t="s">
        <v>130</v>
      </c>
    </row>
    <row r="56" spans="1:30" x14ac:dyDescent="0.3">
      <c r="A56" t="s">
        <v>89</v>
      </c>
      <c r="B56" t="s">
        <v>22</v>
      </c>
      <c r="E56">
        <v>202312</v>
      </c>
      <c r="F56">
        <v>202401</v>
      </c>
      <c r="G56">
        <v>202402</v>
      </c>
      <c r="H56">
        <v>202403</v>
      </c>
      <c r="I56">
        <v>202404</v>
      </c>
      <c r="J56">
        <v>202405</v>
      </c>
      <c r="K56">
        <v>202406</v>
      </c>
      <c r="L56">
        <v>202407</v>
      </c>
      <c r="M56">
        <v>202408</v>
      </c>
      <c r="N56">
        <v>202409</v>
      </c>
      <c r="O56">
        <v>202410</v>
      </c>
      <c r="P56">
        <v>202411</v>
      </c>
      <c r="Q56">
        <v>202412</v>
      </c>
      <c r="R56">
        <v>202501</v>
      </c>
      <c r="S56">
        <v>202502</v>
      </c>
      <c r="T56">
        <v>202503</v>
      </c>
      <c r="U56">
        <v>202504</v>
      </c>
      <c r="V56">
        <v>202505</v>
      </c>
      <c r="W56">
        <v>202506</v>
      </c>
      <c r="X56">
        <v>202507</v>
      </c>
      <c r="Y56">
        <v>202508</v>
      </c>
      <c r="Z56">
        <v>202509</v>
      </c>
      <c r="AA56">
        <v>202510</v>
      </c>
      <c r="AB56">
        <v>202511</v>
      </c>
      <c r="AC56">
        <v>202512</v>
      </c>
      <c r="AD56">
        <v>202601</v>
      </c>
    </row>
    <row r="57" spans="1:30" x14ac:dyDescent="0.3">
      <c r="A57" t="s">
        <v>89</v>
      </c>
      <c r="B57" t="s">
        <v>23</v>
      </c>
      <c r="E57" t="s">
        <v>24</v>
      </c>
      <c r="F57" t="s">
        <v>24</v>
      </c>
      <c r="G57" t="s">
        <v>24</v>
      </c>
      <c r="H57" t="s">
        <v>24</v>
      </c>
      <c r="I57" t="s">
        <v>24</v>
      </c>
      <c r="J57" t="s">
        <v>24</v>
      </c>
      <c r="K57" t="s">
        <v>24</v>
      </c>
      <c r="L57" t="s">
        <v>24</v>
      </c>
      <c r="M57" t="s">
        <v>24</v>
      </c>
      <c r="N57" t="s">
        <v>24</v>
      </c>
      <c r="O57" t="s">
        <v>24</v>
      </c>
      <c r="P57" t="s">
        <v>24</v>
      </c>
      <c r="Q57" t="s">
        <v>24</v>
      </c>
      <c r="R57" t="s">
        <v>24</v>
      </c>
      <c r="S57" t="s">
        <v>24</v>
      </c>
      <c r="T57" t="s">
        <v>24</v>
      </c>
      <c r="U57" t="s">
        <v>24</v>
      </c>
      <c r="V57" t="s">
        <v>24</v>
      </c>
      <c r="W57" t="s">
        <v>24</v>
      </c>
      <c r="X57" t="s">
        <v>24</v>
      </c>
      <c r="Y57" t="s">
        <v>24</v>
      </c>
      <c r="Z57" t="s">
        <v>24</v>
      </c>
      <c r="AA57" t="s">
        <v>24</v>
      </c>
      <c r="AB57" t="s">
        <v>24</v>
      </c>
      <c r="AC57" t="s">
        <v>24</v>
      </c>
      <c r="AD57" t="s">
        <v>24</v>
      </c>
    </row>
    <row r="58" spans="1:30" x14ac:dyDescent="0.3">
      <c r="A58" t="s">
        <v>89</v>
      </c>
      <c r="B58" t="s">
        <v>25</v>
      </c>
      <c r="C58" t="s">
        <v>26</v>
      </c>
      <c r="D58" t="s">
        <v>27</v>
      </c>
      <c r="E58" t="s">
        <v>28</v>
      </c>
      <c r="F58" t="s">
        <v>28</v>
      </c>
      <c r="G58" t="s">
        <v>28</v>
      </c>
      <c r="H58" t="s">
        <v>28</v>
      </c>
      <c r="I58" t="s">
        <v>28</v>
      </c>
      <c r="J58" t="s">
        <v>28</v>
      </c>
      <c r="K58" t="s">
        <v>28</v>
      </c>
      <c r="L58" t="s">
        <v>28</v>
      </c>
      <c r="M58" t="s">
        <v>28</v>
      </c>
      <c r="N58" t="s">
        <v>28</v>
      </c>
      <c r="O58" t="s">
        <v>28</v>
      </c>
      <c r="P58" t="s">
        <v>28</v>
      </c>
      <c r="Q58" t="s">
        <v>28</v>
      </c>
      <c r="R58" t="s">
        <v>28</v>
      </c>
      <c r="S58" t="s">
        <v>28</v>
      </c>
      <c r="T58" t="s">
        <v>28</v>
      </c>
      <c r="U58" t="s">
        <v>28</v>
      </c>
      <c r="V58" t="s">
        <v>28</v>
      </c>
      <c r="W58" t="s">
        <v>28</v>
      </c>
      <c r="X58" t="s">
        <v>28</v>
      </c>
      <c r="Y58" t="s">
        <v>28</v>
      </c>
      <c r="Z58" t="s">
        <v>28</v>
      </c>
      <c r="AA58" t="s">
        <v>28</v>
      </c>
      <c r="AB58" t="s">
        <v>28</v>
      </c>
      <c r="AC58" t="s">
        <v>28</v>
      </c>
      <c r="AD58" t="s">
        <v>28</v>
      </c>
    </row>
    <row r="59" spans="1:30" x14ac:dyDescent="0.3">
      <c r="A59" t="s">
        <v>89</v>
      </c>
      <c r="B59" t="s">
        <v>29</v>
      </c>
      <c r="C59" t="s">
        <v>30</v>
      </c>
      <c r="E59">
        <v>2904812.46</v>
      </c>
      <c r="F59">
        <v>2667093.5699999998</v>
      </c>
      <c r="G59">
        <v>2666303.39</v>
      </c>
      <c r="H59">
        <v>2723625.6</v>
      </c>
      <c r="I59">
        <v>2764296.25</v>
      </c>
      <c r="J59">
        <v>2850896.5</v>
      </c>
      <c r="K59">
        <v>2746077.26</v>
      </c>
      <c r="L59">
        <v>2724928.62</v>
      </c>
      <c r="M59">
        <v>2706809.68</v>
      </c>
      <c r="N59">
        <v>2810090.19</v>
      </c>
      <c r="O59">
        <v>2776784.23</v>
      </c>
      <c r="P59">
        <v>2840902.88</v>
      </c>
      <c r="Q59">
        <v>2794952.93</v>
      </c>
      <c r="R59">
        <v>2905096.38</v>
      </c>
      <c r="S59">
        <v>2952572.17</v>
      </c>
      <c r="T59">
        <v>2987919.02</v>
      </c>
      <c r="U59">
        <v>3038822.58</v>
      </c>
      <c r="V59">
        <v>3031027.04</v>
      </c>
      <c r="W59">
        <v>3155943.66</v>
      </c>
      <c r="X59">
        <v>3113463.83</v>
      </c>
      <c r="Y59">
        <v>3131530.14</v>
      </c>
      <c r="Z59">
        <v>3251220.63</v>
      </c>
      <c r="AA59">
        <v>3102707</v>
      </c>
      <c r="AB59">
        <v>3164099.4</v>
      </c>
      <c r="AC59">
        <v>3425883.81</v>
      </c>
      <c r="AD59">
        <v>3042661.09</v>
      </c>
    </row>
    <row r="60" spans="1:30" x14ac:dyDescent="0.3">
      <c r="A60" t="s">
        <v>89</v>
      </c>
      <c r="B60" t="s">
        <v>29</v>
      </c>
      <c r="C60" t="s">
        <v>31</v>
      </c>
      <c r="D60" t="s">
        <v>30</v>
      </c>
      <c r="E60">
        <v>2782803.46</v>
      </c>
      <c r="F60">
        <v>2558364.5699999998</v>
      </c>
      <c r="G60">
        <v>2534131.39</v>
      </c>
      <c r="H60">
        <v>2607585.6</v>
      </c>
      <c r="I60">
        <v>2638758.25</v>
      </c>
      <c r="J60">
        <v>2684306.5</v>
      </c>
      <c r="K60">
        <v>2656297.7599999998</v>
      </c>
      <c r="L60">
        <v>2614650.62</v>
      </c>
      <c r="M60">
        <v>2610002.6800000002</v>
      </c>
      <c r="N60">
        <v>2589023.62</v>
      </c>
      <c r="O60">
        <v>2654925.48</v>
      </c>
      <c r="P60">
        <v>2730018.59</v>
      </c>
      <c r="Q60">
        <v>2638772.48</v>
      </c>
      <c r="R60">
        <v>2756276.38</v>
      </c>
      <c r="S60">
        <v>2803741.67</v>
      </c>
      <c r="T60">
        <v>2859819.02</v>
      </c>
      <c r="U60">
        <v>2903330.4</v>
      </c>
      <c r="V60">
        <v>2903025.65</v>
      </c>
      <c r="W60">
        <v>3027461.16</v>
      </c>
      <c r="X60">
        <v>2972352.83</v>
      </c>
      <c r="Y60">
        <v>2957811.14</v>
      </c>
      <c r="Z60">
        <v>3038139.63</v>
      </c>
      <c r="AA60">
        <v>2978753</v>
      </c>
      <c r="AB60">
        <v>2990862.4</v>
      </c>
      <c r="AC60">
        <v>3260034.81</v>
      </c>
      <c r="AD60">
        <v>2770168.84</v>
      </c>
    </row>
    <row r="61" spans="1:30" x14ac:dyDescent="0.3">
      <c r="A61" t="s">
        <v>89</v>
      </c>
      <c r="B61" t="s">
        <v>29</v>
      </c>
      <c r="C61" t="s">
        <v>31</v>
      </c>
      <c r="D61" t="s">
        <v>32</v>
      </c>
      <c r="E61">
        <v>2665355.58</v>
      </c>
      <c r="F61">
        <v>2508673.73</v>
      </c>
      <c r="G61">
        <v>2481925.39</v>
      </c>
      <c r="H61">
        <v>2551115.2599999998</v>
      </c>
      <c r="I61">
        <v>2500798.4900000002</v>
      </c>
      <c r="J61">
        <v>2586789.5</v>
      </c>
      <c r="K61">
        <v>2585325.91</v>
      </c>
      <c r="L61">
        <v>2563245.62</v>
      </c>
      <c r="M61">
        <v>2537965.6800000002</v>
      </c>
      <c r="N61">
        <v>2522402.62</v>
      </c>
      <c r="O61">
        <v>2571134.4900000002</v>
      </c>
      <c r="P61">
        <v>2660875.59</v>
      </c>
      <c r="Q61">
        <v>2613482.17</v>
      </c>
      <c r="R61">
        <v>2704111.81</v>
      </c>
      <c r="S61">
        <v>2799509.47</v>
      </c>
      <c r="T61">
        <v>2809768.15</v>
      </c>
      <c r="U61">
        <v>2824575.4</v>
      </c>
      <c r="V61">
        <v>2824575.4</v>
      </c>
      <c r="W61">
        <v>2921849.46</v>
      </c>
      <c r="X61">
        <v>2908494.65</v>
      </c>
      <c r="Y61">
        <v>2893252.96</v>
      </c>
      <c r="Z61">
        <v>2839929.93</v>
      </c>
      <c r="AA61">
        <v>2840592.97</v>
      </c>
      <c r="AB61">
        <v>2900068.22</v>
      </c>
      <c r="AC61">
        <v>3005573.63</v>
      </c>
      <c r="AD61">
        <v>2682738.66</v>
      </c>
    </row>
    <row r="62" spans="1:30" x14ac:dyDescent="0.3">
      <c r="A62" t="s">
        <v>89</v>
      </c>
      <c r="B62" t="s">
        <v>29</v>
      </c>
      <c r="C62" t="s">
        <v>31</v>
      </c>
      <c r="D62" t="s">
        <v>33</v>
      </c>
      <c r="E62">
        <v>53844.88</v>
      </c>
      <c r="F62">
        <v>24304.84</v>
      </c>
      <c r="G62">
        <v>11725</v>
      </c>
      <c r="H62">
        <v>4357.34</v>
      </c>
      <c r="I62">
        <v>67968.759999999995</v>
      </c>
      <c r="J62">
        <v>5590</v>
      </c>
      <c r="K62">
        <v>-0.15</v>
      </c>
      <c r="L62">
        <v>0</v>
      </c>
      <c r="M62">
        <v>30395</v>
      </c>
      <c r="N62">
        <v>21385</v>
      </c>
      <c r="O62">
        <v>36401.99</v>
      </c>
      <c r="P62">
        <v>925</v>
      </c>
      <c r="Q62">
        <v>7971.31</v>
      </c>
      <c r="R62">
        <v>22086.57</v>
      </c>
      <c r="T62">
        <v>43140.27</v>
      </c>
      <c r="U62">
        <v>9396.82</v>
      </c>
      <c r="V62">
        <v>3751.67</v>
      </c>
      <c r="W62">
        <v>27138.32</v>
      </c>
      <c r="Z62">
        <v>111068.52</v>
      </c>
      <c r="AA62">
        <v>72590.850000000006</v>
      </c>
      <c r="AD62">
        <v>20996</v>
      </c>
    </row>
    <row r="63" spans="1:30" x14ac:dyDescent="0.3">
      <c r="A63" t="s">
        <v>89</v>
      </c>
      <c r="B63" t="s">
        <v>29</v>
      </c>
      <c r="C63" t="s">
        <v>31</v>
      </c>
      <c r="D63" t="s">
        <v>34</v>
      </c>
      <c r="E63">
        <v>63603</v>
      </c>
      <c r="F63">
        <v>25386</v>
      </c>
      <c r="G63">
        <v>40481</v>
      </c>
      <c r="H63">
        <v>52113</v>
      </c>
      <c r="I63">
        <v>69991</v>
      </c>
      <c r="J63">
        <v>91927</v>
      </c>
      <c r="K63">
        <v>70972</v>
      </c>
      <c r="L63">
        <v>51405</v>
      </c>
      <c r="M63">
        <v>41642</v>
      </c>
      <c r="N63">
        <v>45236</v>
      </c>
      <c r="O63">
        <v>47389</v>
      </c>
      <c r="P63">
        <v>68218</v>
      </c>
      <c r="Q63">
        <v>17319</v>
      </c>
      <c r="R63">
        <v>30078</v>
      </c>
      <c r="S63">
        <v>4232.2</v>
      </c>
      <c r="T63">
        <v>6910.6</v>
      </c>
      <c r="U63">
        <v>69358.179999999993</v>
      </c>
      <c r="V63">
        <v>74698.58</v>
      </c>
      <c r="W63">
        <v>78473.38</v>
      </c>
      <c r="X63">
        <v>63858.18</v>
      </c>
      <c r="Y63">
        <v>64558.18</v>
      </c>
      <c r="Z63">
        <v>87141.18</v>
      </c>
      <c r="AA63">
        <v>65569.179999999993</v>
      </c>
      <c r="AB63">
        <v>90794.18</v>
      </c>
      <c r="AC63">
        <v>254461.18</v>
      </c>
      <c r="AD63">
        <v>66434.179999999993</v>
      </c>
    </row>
    <row r="64" spans="1:30" x14ac:dyDescent="0.3">
      <c r="A64" t="s">
        <v>89</v>
      </c>
      <c r="B64" t="s">
        <v>29</v>
      </c>
      <c r="C64" t="s">
        <v>35</v>
      </c>
      <c r="D64" t="s">
        <v>30</v>
      </c>
      <c r="E64">
        <v>122009</v>
      </c>
      <c r="F64">
        <v>108729</v>
      </c>
      <c r="G64">
        <v>132172</v>
      </c>
      <c r="H64">
        <v>116040</v>
      </c>
      <c r="I64">
        <v>125538</v>
      </c>
      <c r="J64">
        <v>166590</v>
      </c>
      <c r="K64">
        <v>89779.5</v>
      </c>
      <c r="L64">
        <v>110278</v>
      </c>
      <c r="M64">
        <v>96807</v>
      </c>
      <c r="N64">
        <v>221066.57</v>
      </c>
      <c r="O64">
        <v>121858.75</v>
      </c>
      <c r="P64">
        <v>110884.29</v>
      </c>
      <c r="Q64">
        <v>156180.45000000001</v>
      </c>
      <c r="R64">
        <v>148820</v>
      </c>
      <c r="S64">
        <v>148830.5</v>
      </c>
      <c r="T64">
        <v>128100</v>
      </c>
      <c r="U64">
        <v>135492.18</v>
      </c>
      <c r="V64">
        <v>128001.39</v>
      </c>
      <c r="W64">
        <v>128482.5</v>
      </c>
      <c r="X64">
        <v>141111</v>
      </c>
      <c r="Y64">
        <v>173719</v>
      </c>
      <c r="Z64">
        <v>213081</v>
      </c>
      <c r="AA64">
        <v>123954</v>
      </c>
      <c r="AB64">
        <v>173237</v>
      </c>
      <c r="AC64">
        <v>165849</v>
      </c>
      <c r="AD64">
        <v>272492.25</v>
      </c>
    </row>
    <row r="65" spans="1:30" x14ac:dyDescent="0.3">
      <c r="A65" t="s">
        <v>89</v>
      </c>
      <c r="B65" t="s">
        <v>36</v>
      </c>
      <c r="C65" t="s">
        <v>30</v>
      </c>
      <c r="E65">
        <v>-2110592.9</v>
      </c>
      <c r="F65">
        <v>-2145859.2999999998</v>
      </c>
      <c r="G65">
        <v>-2144427.7599999998</v>
      </c>
      <c r="H65">
        <v>-2014464.92</v>
      </c>
      <c r="I65">
        <v>-2139132.4700000002</v>
      </c>
      <c r="J65">
        <v>-2204651.67</v>
      </c>
      <c r="K65">
        <v>-2111460.71</v>
      </c>
      <c r="L65">
        <v>-2098679.2999999998</v>
      </c>
      <c r="M65">
        <v>-2066296.85</v>
      </c>
      <c r="N65">
        <v>-1997197.76</v>
      </c>
      <c r="O65">
        <v>-2229993.86</v>
      </c>
      <c r="P65">
        <v>-2119617.92</v>
      </c>
      <c r="Q65">
        <v>-2231856.98</v>
      </c>
      <c r="R65">
        <v>-2095494.65</v>
      </c>
      <c r="S65">
        <v>-1899962.62</v>
      </c>
      <c r="T65">
        <v>-2232156.92</v>
      </c>
      <c r="U65">
        <v>-2189785.89</v>
      </c>
      <c r="V65">
        <v>-2250325.15</v>
      </c>
      <c r="W65">
        <v>-2133618.14</v>
      </c>
      <c r="X65">
        <v>-2329291.69</v>
      </c>
      <c r="Y65">
        <v>-2227789.0699999998</v>
      </c>
      <c r="Z65">
        <v>-1994367.57</v>
      </c>
      <c r="AA65">
        <v>-2101179.59</v>
      </c>
      <c r="AB65">
        <v>-2339857.87</v>
      </c>
      <c r="AC65">
        <v>-2300092.0299999998</v>
      </c>
      <c r="AD65">
        <v>-2168955.69</v>
      </c>
    </row>
    <row r="66" spans="1:30" x14ac:dyDescent="0.3">
      <c r="A66" t="s">
        <v>89</v>
      </c>
      <c r="B66" t="s">
        <v>36</v>
      </c>
      <c r="C66" t="s">
        <v>18</v>
      </c>
      <c r="D66" t="s">
        <v>30</v>
      </c>
      <c r="E66">
        <v>-1375917.15</v>
      </c>
      <c r="F66">
        <v>-1410584.62</v>
      </c>
      <c r="G66">
        <v>-1329656.8</v>
      </c>
      <c r="H66">
        <v>-1322354.1100000001</v>
      </c>
      <c r="I66">
        <v>-1334150.81</v>
      </c>
      <c r="J66">
        <v>-1397043.09</v>
      </c>
      <c r="K66">
        <v>-1417157.29</v>
      </c>
      <c r="L66">
        <v>-1414838.62</v>
      </c>
      <c r="M66">
        <v>-1422407.57</v>
      </c>
      <c r="N66">
        <v>-1354402.33</v>
      </c>
      <c r="O66">
        <v>-1479402.88</v>
      </c>
      <c r="P66">
        <v>-1443023.24</v>
      </c>
      <c r="Q66">
        <v>-1642654.58</v>
      </c>
      <c r="R66">
        <v>-1481541.79</v>
      </c>
      <c r="S66">
        <v>-1318172.17</v>
      </c>
      <c r="T66">
        <v>-1517472.52</v>
      </c>
      <c r="U66">
        <v>-1505970.95</v>
      </c>
      <c r="V66">
        <v>-1535177.28</v>
      </c>
      <c r="W66">
        <v>-1548090.84</v>
      </c>
      <c r="X66">
        <v>-1616191.89</v>
      </c>
      <c r="Y66">
        <v>-1454131.6</v>
      </c>
      <c r="Z66">
        <v>-1413694.75</v>
      </c>
      <c r="AA66">
        <v>-1237191.06</v>
      </c>
      <c r="AB66">
        <v>-1589573.27</v>
      </c>
      <c r="AC66">
        <v>-1491310.24</v>
      </c>
      <c r="AD66">
        <v>-1572593.34</v>
      </c>
    </row>
    <row r="67" spans="1:30" x14ac:dyDescent="0.3">
      <c r="A67" t="s">
        <v>89</v>
      </c>
      <c r="B67" t="s">
        <v>36</v>
      </c>
      <c r="C67" t="s">
        <v>37</v>
      </c>
      <c r="D67" t="s">
        <v>30</v>
      </c>
      <c r="E67">
        <v>-734675.75</v>
      </c>
      <c r="F67">
        <v>-735274.68</v>
      </c>
      <c r="G67">
        <v>-814770.96</v>
      </c>
      <c r="H67">
        <v>-692110.81</v>
      </c>
      <c r="I67">
        <v>-804981.66</v>
      </c>
      <c r="J67">
        <v>-807608.58</v>
      </c>
      <c r="K67">
        <v>-694303.42</v>
      </c>
      <c r="L67">
        <v>-683840.68</v>
      </c>
      <c r="M67">
        <v>-643889.28</v>
      </c>
      <c r="N67">
        <v>-642795.43000000005</v>
      </c>
      <c r="O67">
        <v>-750590.98</v>
      </c>
      <c r="P67">
        <v>-676594.68</v>
      </c>
      <c r="Q67">
        <v>-589202.4</v>
      </c>
      <c r="R67">
        <v>-613952.86</v>
      </c>
      <c r="S67">
        <v>-581790.44999999995</v>
      </c>
      <c r="T67">
        <v>-714684.4</v>
      </c>
      <c r="U67">
        <v>-683814.94</v>
      </c>
      <c r="V67">
        <v>-715147.87</v>
      </c>
      <c r="W67">
        <v>-585527.30000000005</v>
      </c>
      <c r="X67">
        <v>-713099.8</v>
      </c>
      <c r="Y67">
        <v>-773657.47</v>
      </c>
      <c r="Z67">
        <v>-580672.81999999995</v>
      </c>
      <c r="AA67">
        <v>-863988.53</v>
      </c>
      <c r="AB67">
        <v>-750284.6</v>
      </c>
      <c r="AC67">
        <v>-808781.79</v>
      </c>
      <c r="AD67">
        <v>-596362.35</v>
      </c>
    </row>
    <row r="68" spans="1:30" x14ac:dyDescent="0.3">
      <c r="A68" t="s">
        <v>89</v>
      </c>
      <c r="B68" t="s">
        <v>38</v>
      </c>
      <c r="C68" t="s">
        <v>30</v>
      </c>
      <c r="E68">
        <v>794219.56</v>
      </c>
      <c r="F68">
        <v>521234.27</v>
      </c>
      <c r="G68">
        <v>521875.63</v>
      </c>
      <c r="H68">
        <v>709160.68</v>
      </c>
      <c r="I68">
        <v>625163.78</v>
      </c>
      <c r="J68">
        <v>646244.82999999996</v>
      </c>
      <c r="K68">
        <v>634616.55000000005</v>
      </c>
      <c r="L68">
        <v>626249.31999999995</v>
      </c>
      <c r="M68">
        <v>640512.82999999996</v>
      </c>
      <c r="N68">
        <v>812892.43</v>
      </c>
      <c r="O68">
        <v>546790.37</v>
      </c>
      <c r="P68">
        <v>721284.96</v>
      </c>
      <c r="Q68">
        <v>563095.94999999995</v>
      </c>
      <c r="R68">
        <v>809601.73</v>
      </c>
      <c r="S68">
        <v>1052609.55</v>
      </c>
      <c r="T68">
        <v>755762.1</v>
      </c>
      <c r="U68">
        <v>849036.69</v>
      </c>
      <c r="V68">
        <v>780701.89</v>
      </c>
      <c r="W68">
        <v>1022325.52</v>
      </c>
      <c r="X68">
        <v>784172.14</v>
      </c>
      <c r="Y68">
        <v>903741.07</v>
      </c>
      <c r="Z68">
        <v>1256853.06</v>
      </c>
      <c r="AA68">
        <v>1001527.41</v>
      </c>
      <c r="AB68">
        <v>824241.53</v>
      </c>
      <c r="AC68">
        <v>1125791.78</v>
      </c>
      <c r="AD68">
        <v>873705.4</v>
      </c>
    </row>
    <row r="69" spans="1:30" x14ac:dyDescent="0.3">
      <c r="A69" t="s">
        <v>89</v>
      </c>
      <c r="B69" t="s">
        <v>39</v>
      </c>
      <c r="C69" t="s">
        <v>30</v>
      </c>
      <c r="E69">
        <v>-150690.09</v>
      </c>
      <c r="F69">
        <v>-132451.65</v>
      </c>
      <c r="G69">
        <v>-149136.78</v>
      </c>
      <c r="H69">
        <v>-140188.67000000001</v>
      </c>
      <c r="I69">
        <v>-146390</v>
      </c>
      <c r="J69">
        <v>-165158.32999999999</v>
      </c>
      <c r="K69">
        <v>-156701.79</v>
      </c>
      <c r="L69">
        <v>-145211.56</v>
      </c>
      <c r="M69">
        <v>-145570.45000000001</v>
      </c>
      <c r="N69">
        <v>-168881.48</v>
      </c>
      <c r="O69">
        <v>-170991.97</v>
      </c>
      <c r="P69">
        <v>-182879.63</v>
      </c>
      <c r="Q69">
        <v>-213987.92</v>
      </c>
      <c r="R69">
        <v>-185073.93</v>
      </c>
      <c r="S69">
        <v>-193814.24</v>
      </c>
      <c r="T69">
        <v>-198902.93</v>
      </c>
      <c r="U69">
        <v>-190873.68</v>
      </c>
      <c r="V69">
        <v>-204457.98</v>
      </c>
      <c r="W69">
        <v>-198295.98</v>
      </c>
      <c r="X69">
        <v>-180444.57</v>
      </c>
      <c r="Y69">
        <v>-194726.65</v>
      </c>
      <c r="Z69">
        <v>-227276.14</v>
      </c>
      <c r="AA69">
        <v>-247438.01</v>
      </c>
      <c r="AB69">
        <v>-220707.65</v>
      </c>
      <c r="AC69">
        <v>-222868.44</v>
      </c>
      <c r="AD69">
        <v>-212903.71</v>
      </c>
    </row>
    <row r="70" spans="1:30" x14ac:dyDescent="0.3">
      <c r="A70" t="s">
        <v>89</v>
      </c>
      <c r="B70" t="s">
        <v>39</v>
      </c>
      <c r="C70" t="s">
        <v>40</v>
      </c>
      <c r="D70" t="s">
        <v>30</v>
      </c>
      <c r="E70">
        <v>-232596.09</v>
      </c>
      <c r="F70">
        <v>-192833.65</v>
      </c>
      <c r="G70">
        <v>-209356.53</v>
      </c>
      <c r="H70">
        <v>-200053.42</v>
      </c>
      <c r="I70">
        <v>-202599.74</v>
      </c>
      <c r="J70">
        <v>-219328.07</v>
      </c>
      <c r="K70">
        <v>-214928.56</v>
      </c>
      <c r="L70">
        <v>-209645.31</v>
      </c>
      <c r="M70">
        <v>-216825.45</v>
      </c>
      <c r="N70">
        <v>-238780.48</v>
      </c>
      <c r="O70">
        <v>-228638.77</v>
      </c>
      <c r="P70">
        <v>-241791.73</v>
      </c>
      <c r="Q70">
        <v>-270187.92</v>
      </c>
      <c r="R70">
        <v>-251297.93</v>
      </c>
      <c r="S70">
        <v>-255037.24</v>
      </c>
      <c r="T70">
        <v>-257955.93</v>
      </c>
      <c r="U70">
        <v>-253666.68</v>
      </c>
      <c r="V70">
        <v>-266640.31</v>
      </c>
      <c r="W70">
        <v>-260121.87</v>
      </c>
      <c r="X70">
        <v>-241766.71</v>
      </c>
      <c r="Y70">
        <v>-256919.65</v>
      </c>
      <c r="Z70">
        <v>-288495.19</v>
      </c>
      <c r="AA70">
        <v>-308132.34999999998</v>
      </c>
      <c r="AB70">
        <v>-281869.03999999998</v>
      </c>
      <c r="AC70">
        <v>-283737.81</v>
      </c>
      <c r="AD70">
        <v>-286315.31</v>
      </c>
    </row>
    <row r="71" spans="1:30" x14ac:dyDescent="0.3">
      <c r="A71" t="s">
        <v>89</v>
      </c>
      <c r="B71" t="s">
        <v>39</v>
      </c>
      <c r="C71" t="s">
        <v>41</v>
      </c>
      <c r="D71" t="s">
        <v>30</v>
      </c>
      <c r="E71">
        <v>81906</v>
      </c>
      <c r="F71">
        <v>60382</v>
      </c>
      <c r="G71">
        <v>60219.75</v>
      </c>
      <c r="H71">
        <v>59864.75</v>
      </c>
      <c r="I71">
        <v>56209.74</v>
      </c>
      <c r="J71">
        <v>54169.74</v>
      </c>
      <c r="K71">
        <v>58226.77</v>
      </c>
      <c r="L71">
        <v>64433.75</v>
      </c>
      <c r="M71">
        <v>71255</v>
      </c>
      <c r="N71">
        <v>69899</v>
      </c>
      <c r="O71">
        <v>57646.8</v>
      </c>
      <c r="P71">
        <v>58912.1</v>
      </c>
      <c r="Q71">
        <v>56200</v>
      </c>
      <c r="R71">
        <v>66224</v>
      </c>
      <c r="S71">
        <v>61223</v>
      </c>
      <c r="T71">
        <v>59053</v>
      </c>
      <c r="U71">
        <v>62793</v>
      </c>
      <c r="V71">
        <v>62182.33</v>
      </c>
      <c r="W71">
        <v>61825.89</v>
      </c>
      <c r="X71">
        <v>61322.14</v>
      </c>
      <c r="Y71">
        <v>62193</v>
      </c>
      <c r="Z71">
        <v>61219.05</v>
      </c>
      <c r="AA71">
        <v>60694.34</v>
      </c>
      <c r="AB71">
        <v>61161.39</v>
      </c>
      <c r="AC71">
        <v>60869.37</v>
      </c>
      <c r="AD71">
        <v>73411.600000000006</v>
      </c>
    </row>
    <row r="72" spans="1:30" x14ac:dyDescent="0.3">
      <c r="A72" t="s">
        <v>89</v>
      </c>
      <c r="B72" t="s">
        <v>42</v>
      </c>
      <c r="C72" t="s">
        <v>30</v>
      </c>
      <c r="E72">
        <v>643529.47</v>
      </c>
      <c r="F72">
        <v>388782.62</v>
      </c>
      <c r="G72">
        <v>372738.85</v>
      </c>
      <c r="H72">
        <v>568972.01</v>
      </c>
      <c r="I72">
        <v>478773.78</v>
      </c>
      <c r="J72">
        <v>481086.5</v>
      </c>
      <c r="K72">
        <v>477914.76</v>
      </c>
      <c r="L72">
        <v>481037.76</v>
      </c>
      <c r="M72">
        <v>494942.38</v>
      </c>
      <c r="N72">
        <v>644010.94999999995</v>
      </c>
      <c r="O72">
        <v>375798.4</v>
      </c>
      <c r="P72">
        <v>538405.32999999996</v>
      </c>
      <c r="Q72">
        <v>349108.03</v>
      </c>
      <c r="R72">
        <v>624527.80000000005</v>
      </c>
      <c r="S72">
        <v>858795.31</v>
      </c>
      <c r="T72">
        <v>556859.17000000004</v>
      </c>
      <c r="U72">
        <v>658163.01</v>
      </c>
      <c r="V72">
        <v>576243.91</v>
      </c>
      <c r="W72">
        <v>824029.54</v>
      </c>
      <c r="X72">
        <v>603727.56999999995</v>
      </c>
      <c r="Y72">
        <v>709014.42</v>
      </c>
      <c r="Z72">
        <v>1029576.92</v>
      </c>
      <c r="AA72">
        <v>754089.4</v>
      </c>
      <c r="AB72">
        <v>603533.88</v>
      </c>
      <c r="AC72">
        <v>902923.34</v>
      </c>
      <c r="AD72">
        <v>660801.68999999994</v>
      </c>
    </row>
    <row r="73" spans="1:30" x14ac:dyDescent="0.3">
      <c r="A73" t="s">
        <v>89</v>
      </c>
      <c r="B73" t="s">
        <v>43</v>
      </c>
      <c r="C73" t="s">
        <v>30</v>
      </c>
      <c r="E73">
        <v>-226417</v>
      </c>
    </row>
    <row r="74" spans="1:30" x14ac:dyDescent="0.3">
      <c r="A74" t="s">
        <v>89</v>
      </c>
      <c r="B74" t="s">
        <v>43</v>
      </c>
      <c r="C74" t="s">
        <v>123</v>
      </c>
      <c r="D74" t="s">
        <v>30</v>
      </c>
      <c r="E74">
        <v>-78814</v>
      </c>
    </row>
    <row r="75" spans="1:30" x14ac:dyDescent="0.3">
      <c r="A75" t="s">
        <v>89</v>
      </c>
      <c r="B75" t="s">
        <v>43</v>
      </c>
      <c r="C75" t="s">
        <v>124</v>
      </c>
      <c r="D75" t="s">
        <v>30</v>
      </c>
      <c r="E75">
        <v>-147603</v>
      </c>
    </row>
    <row r="76" spans="1:30" x14ac:dyDescent="0.3">
      <c r="A76" t="s">
        <v>89</v>
      </c>
      <c r="B76" t="s">
        <v>44</v>
      </c>
      <c r="C76" t="s">
        <v>30</v>
      </c>
      <c r="E76">
        <v>417112.47</v>
      </c>
      <c r="F76">
        <v>388782.62</v>
      </c>
      <c r="G76">
        <v>372738.85</v>
      </c>
      <c r="H76">
        <v>568972.01</v>
      </c>
      <c r="I76">
        <v>478773.78</v>
      </c>
      <c r="J76">
        <v>481086.5</v>
      </c>
      <c r="K76">
        <v>477914.76</v>
      </c>
      <c r="L76">
        <v>481037.76</v>
      </c>
      <c r="M76">
        <v>494942.38</v>
      </c>
      <c r="N76">
        <v>644010.94999999995</v>
      </c>
      <c r="O76">
        <v>375798.4</v>
      </c>
      <c r="P76">
        <v>538405.32999999996</v>
      </c>
      <c r="Q76">
        <v>349108.03</v>
      </c>
      <c r="R76">
        <v>624527.80000000005</v>
      </c>
      <c r="S76">
        <v>858795.31</v>
      </c>
      <c r="T76">
        <v>556859.17000000004</v>
      </c>
      <c r="U76">
        <v>658163.01</v>
      </c>
      <c r="V76">
        <v>576243.91</v>
      </c>
      <c r="W76">
        <v>824029.54</v>
      </c>
      <c r="X76">
        <v>603727.56999999995</v>
      </c>
      <c r="Y76">
        <v>709014.42</v>
      </c>
      <c r="Z76">
        <v>1029576.92</v>
      </c>
      <c r="AA76">
        <v>754089.4</v>
      </c>
      <c r="AB76">
        <v>603533.88</v>
      </c>
      <c r="AC76">
        <v>902923.34</v>
      </c>
      <c r="AD76">
        <v>660801.68999999994</v>
      </c>
    </row>
    <row r="77" spans="1:30" x14ac:dyDescent="0.3">
      <c r="A77" t="s">
        <v>89</v>
      </c>
      <c r="B77" t="s">
        <v>45</v>
      </c>
      <c r="C77" t="s">
        <v>30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</row>
    <row r="78" spans="1:30" x14ac:dyDescent="0.3">
      <c r="A78" t="s">
        <v>89</v>
      </c>
      <c r="B78" t="s">
        <v>46</v>
      </c>
      <c r="C78" t="s">
        <v>30</v>
      </c>
      <c r="E78">
        <v>417112.47</v>
      </c>
      <c r="F78">
        <v>388782.62</v>
      </c>
      <c r="G78">
        <v>372738.85</v>
      </c>
      <c r="H78">
        <v>568972.01</v>
      </c>
      <c r="I78">
        <v>478773.78</v>
      </c>
      <c r="J78">
        <v>481086.5</v>
      </c>
      <c r="K78">
        <v>477914.76</v>
      </c>
      <c r="L78">
        <v>481037.76</v>
      </c>
      <c r="M78">
        <v>494942.38</v>
      </c>
      <c r="N78">
        <v>644010.94999999995</v>
      </c>
      <c r="O78">
        <v>375798.4</v>
      </c>
      <c r="P78">
        <v>538405.32999999996</v>
      </c>
      <c r="Q78">
        <v>349108.03</v>
      </c>
      <c r="R78">
        <v>624527.80000000005</v>
      </c>
      <c r="S78">
        <v>858795.31</v>
      </c>
      <c r="T78">
        <v>556859.17000000004</v>
      </c>
      <c r="U78">
        <v>658163.01</v>
      </c>
      <c r="V78">
        <v>576243.91</v>
      </c>
      <c r="W78">
        <v>824029.54</v>
      </c>
      <c r="X78">
        <v>603727.56999999995</v>
      </c>
      <c r="Y78">
        <v>709014.42</v>
      </c>
      <c r="Z78">
        <v>1029576.92</v>
      </c>
      <c r="AA78">
        <v>754089.4</v>
      </c>
      <c r="AB78">
        <v>603533.88</v>
      </c>
      <c r="AC78">
        <v>902923.34</v>
      </c>
      <c r="AD78">
        <v>660801.68999999994</v>
      </c>
    </row>
    <row r="79" spans="1:30" x14ac:dyDescent="0.3">
      <c r="A79" t="s">
        <v>89</v>
      </c>
      <c r="B79" t="s">
        <v>47</v>
      </c>
      <c r="C79" t="s">
        <v>30</v>
      </c>
      <c r="E79">
        <v>-10403</v>
      </c>
      <c r="F79">
        <v>-10403</v>
      </c>
      <c r="G79">
        <v>-10403</v>
      </c>
      <c r="H79">
        <v>-10403</v>
      </c>
      <c r="I79">
        <v>-10403</v>
      </c>
      <c r="J79">
        <v>-10403</v>
      </c>
      <c r="K79">
        <v>-10403</v>
      </c>
      <c r="L79">
        <v>-10403</v>
      </c>
      <c r="M79">
        <v>-10403</v>
      </c>
      <c r="N79">
        <v>-10403</v>
      </c>
      <c r="O79">
        <v>-10403</v>
      </c>
      <c r="P79">
        <v>-10403</v>
      </c>
      <c r="Q79">
        <v>-10403</v>
      </c>
      <c r="R79">
        <v>-10403</v>
      </c>
      <c r="T79">
        <v>-20805</v>
      </c>
      <c r="U79">
        <v>-10403</v>
      </c>
      <c r="V79">
        <v>-10403</v>
      </c>
      <c r="W79">
        <v>-10403</v>
      </c>
      <c r="Y79">
        <v>-20805</v>
      </c>
      <c r="Z79">
        <v>-10403</v>
      </c>
      <c r="AA79">
        <v>-12503</v>
      </c>
      <c r="AB79">
        <v>-12503</v>
      </c>
      <c r="AC79">
        <v>-12728</v>
      </c>
      <c r="AD79">
        <v>-12727</v>
      </c>
    </row>
    <row r="80" spans="1:30" x14ac:dyDescent="0.3">
      <c r="A80" t="s">
        <v>89</v>
      </c>
      <c r="B80" t="s">
        <v>30</v>
      </c>
      <c r="C80" t="s">
        <v>30</v>
      </c>
      <c r="E80">
        <v>406709.47</v>
      </c>
      <c r="F80">
        <v>378379.62</v>
      </c>
      <c r="G80">
        <v>362335.85</v>
      </c>
      <c r="H80">
        <v>558569.01</v>
      </c>
      <c r="I80">
        <v>468370.78</v>
      </c>
      <c r="J80">
        <v>470683.5</v>
      </c>
      <c r="K80">
        <v>467511.76</v>
      </c>
      <c r="L80">
        <v>470634.76</v>
      </c>
      <c r="M80">
        <v>484539.38</v>
      </c>
      <c r="N80">
        <v>633607.94999999995</v>
      </c>
      <c r="O80">
        <v>365395.4</v>
      </c>
      <c r="P80">
        <v>528002.32999999996</v>
      </c>
      <c r="Q80">
        <v>338705.03</v>
      </c>
      <c r="R80">
        <v>614124.80000000005</v>
      </c>
      <c r="S80">
        <v>858795.31</v>
      </c>
      <c r="T80">
        <v>536054.17000000004</v>
      </c>
      <c r="U80">
        <v>647760.01</v>
      </c>
      <c r="V80">
        <v>565840.91</v>
      </c>
      <c r="W80">
        <v>813626.54</v>
      </c>
      <c r="X80">
        <v>603727.56999999995</v>
      </c>
      <c r="Y80">
        <v>688209.42</v>
      </c>
      <c r="Z80">
        <v>1019173.92</v>
      </c>
      <c r="AA80">
        <v>741586.4</v>
      </c>
      <c r="AB80">
        <v>591030.88</v>
      </c>
      <c r="AC80">
        <v>890195.34</v>
      </c>
      <c r="AD80">
        <v>648074.68999999994</v>
      </c>
    </row>
    <row r="81" spans="1:30" x14ac:dyDescent="0.3">
      <c r="A81" t="s">
        <v>89</v>
      </c>
      <c r="B81" t="s">
        <v>30</v>
      </c>
    </row>
    <row r="82" spans="1:30" x14ac:dyDescent="0.3">
      <c r="A82" t="s">
        <v>89</v>
      </c>
    </row>
    <row r="83" spans="1:30" x14ac:dyDescent="0.3">
      <c r="A83" t="s">
        <v>89</v>
      </c>
      <c r="B83" t="s">
        <v>131</v>
      </c>
    </row>
    <row r="84" spans="1:30" x14ac:dyDescent="0.3">
      <c r="A84" t="s">
        <v>90</v>
      </c>
      <c r="B84" t="s">
        <v>22</v>
      </c>
      <c r="E84">
        <v>202312</v>
      </c>
      <c r="F84">
        <v>202401</v>
      </c>
      <c r="G84">
        <v>202402</v>
      </c>
      <c r="H84">
        <v>202403</v>
      </c>
      <c r="I84">
        <v>202404</v>
      </c>
      <c r="J84">
        <v>202405</v>
      </c>
      <c r="K84">
        <v>202406</v>
      </c>
      <c r="L84">
        <v>202407</v>
      </c>
      <c r="M84">
        <v>202408</v>
      </c>
      <c r="N84">
        <v>202409</v>
      </c>
      <c r="O84">
        <v>202410</v>
      </c>
      <c r="P84">
        <v>202411</v>
      </c>
      <c r="Q84">
        <v>202412</v>
      </c>
      <c r="R84">
        <v>202501</v>
      </c>
      <c r="S84">
        <v>202502</v>
      </c>
      <c r="T84">
        <v>202503</v>
      </c>
      <c r="U84">
        <v>202504</v>
      </c>
      <c r="V84">
        <v>202505</v>
      </c>
      <c r="W84">
        <v>202506</v>
      </c>
      <c r="X84">
        <v>202507</v>
      </c>
      <c r="Y84">
        <v>202508</v>
      </c>
      <c r="Z84">
        <v>202509</v>
      </c>
      <c r="AA84">
        <v>202510</v>
      </c>
      <c r="AB84">
        <v>202511</v>
      </c>
      <c r="AC84">
        <v>202512</v>
      </c>
      <c r="AD84">
        <v>202601</v>
      </c>
    </row>
    <row r="85" spans="1:30" x14ac:dyDescent="0.3">
      <c r="A85" t="s">
        <v>90</v>
      </c>
      <c r="B85" t="s">
        <v>23</v>
      </c>
      <c r="E85" t="s">
        <v>24</v>
      </c>
      <c r="F85" t="s">
        <v>24</v>
      </c>
      <c r="G85" t="s">
        <v>24</v>
      </c>
      <c r="H85" t="s">
        <v>24</v>
      </c>
      <c r="I85" t="s">
        <v>24</v>
      </c>
      <c r="J85" t="s">
        <v>24</v>
      </c>
      <c r="K85" t="s">
        <v>24</v>
      </c>
      <c r="L85" t="s">
        <v>24</v>
      </c>
      <c r="M85" t="s">
        <v>24</v>
      </c>
      <c r="N85" t="s">
        <v>24</v>
      </c>
      <c r="O85" t="s">
        <v>24</v>
      </c>
      <c r="P85" t="s">
        <v>24</v>
      </c>
      <c r="Q85" t="s">
        <v>24</v>
      </c>
      <c r="R85" t="s">
        <v>24</v>
      </c>
      <c r="S85" t="s">
        <v>24</v>
      </c>
      <c r="T85" t="s">
        <v>24</v>
      </c>
      <c r="U85" t="s">
        <v>24</v>
      </c>
      <c r="V85" t="s">
        <v>24</v>
      </c>
      <c r="W85" t="s">
        <v>24</v>
      </c>
      <c r="X85" t="s">
        <v>24</v>
      </c>
      <c r="Y85" t="s">
        <v>24</v>
      </c>
      <c r="Z85" t="s">
        <v>24</v>
      </c>
      <c r="AA85" t="s">
        <v>24</v>
      </c>
      <c r="AB85" t="s">
        <v>24</v>
      </c>
      <c r="AC85" t="s">
        <v>24</v>
      </c>
      <c r="AD85" t="s">
        <v>24</v>
      </c>
    </row>
    <row r="86" spans="1:30" x14ac:dyDescent="0.3">
      <c r="A86" t="s">
        <v>90</v>
      </c>
      <c r="B86" t="s">
        <v>25</v>
      </c>
      <c r="C86" t="s">
        <v>26</v>
      </c>
      <c r="D86" t="s">
        <v>27</v>
      </c>
      <c r="E86" t="s">
        <v>28</v>
      </c>
      <c r="F86" t="s">
        <v>28</v>
      </c>
      <c r="G86" t="s">
        <v>28</v>
      </c>
      <c r="H86" t="s">
        <v>28</v>
      </c>
      <c r="I86" t="s">
        <v>28</v>
      </c>
      <c r="J86" t="s">
        <v>28</v>
      </c>
      <c r="K86" t="s">
        <v>28</v>
      </c>
      <c r="L86" t="s">
        <v>28</v>
      </c>
      <c r="M86" t="s">
        <v>28</v>
      </c>
      <c r="N86" t="s">
        <v>28</v>
      </c>
      <c r="O86" t="s">
        <v>28</v>
      </c>
      <c r="P86" t="s">
        <v>28</v>
      </c>
      <c r="Q86" t="s">
        <v>28</v>
      </c>
      <c r="R86" t="s">
        <v>28</v>
      </c>
      <c r="S86" t="s">
        <v>28</v>
      </c>
      <c r="T86" t="s">
        <v>28</v>
      </c>
      <c r="U86" t="s">
        <v>28</v>
      </c>
      <c r="V86" t="s">
        <v>28</v>
      </c>
      <c r="W86" t="s">
        <v>28</v>
      </c>
      <c r="X86" t="s">
        <v>28</v>
      </c>
      <c r="Y86" t="s">
        <v>28</v>
      </c>
      <c r="Z86" t="s">
        <v>28</v>
      </c>
      <c r="AA86" t="s">
        <v>28</v>
      </c>
      <c r="AB86" t="s">
        <v>28</v>
      </c>
      <c r="AC86" t="s">
        <v>28</v>
      </c>
      <c r="AD86" t="s">
        <v>28</v>
      </c>
    </row>
    <row r="87" spans="1:30" x14ac:dyDescent="0.3">
      <c r="A87" t="s">
        <v>90</v>
      </c>
      <c r="B87" t="s">
        <v>29</v>
      </c>
      <c r="C87" t="s">
        <v>30</v>
      </c>
      <c r="E87">
        <v>2509329.38</v>
      </c>
      <c r="F87">
        <v>2428049.98</v>
      </c>
      <c r="G87">
        <v>2442971.2999999998</v>
      </c>
      <c r="H87">
        <v>2487015.37</v>
      </c>
      <c r="I87">
        <v>2517287.0699999998</v>
      </c>
      <c r="J87">
        <v>2590609.77</v>
      </c>
      <c r="K87">
        <v>2483819.5299999998</v>
      </c>
      <c r="L87">
        <v>2406327.2000000002</v>
      </c>
      <c r="M87">
        <v>2509874.67</v>
      </c>
      <c r="N87">
        <v>2581995.02</v>
      </c>
      <c r="O87">
        <v>2607268.4700000002</v>
      </c>
      <c r="P87">
        <v>2681384.58</v>
      </c>
      <c r="Q87">
        <v>2557917.38</v>
      </c>
      <c r="R87">
        <v>2690098.04</v>
      </c>
      <c r="S87">
        <v>2633121.77</v>
      </c>
      <c r="T87">
        <v>2704302.14</v>
      </c>
      <c r="U87">
        <v>2613503.17</v>
      </c>
      <c r="V87">
        <v>2616857.91</v>
      </c>
      <c r="W87">
        <v>2779912.09</v>
      </c>
      <c r="X87">
        <v>2618728.89</v>
      </c>
      <c r="Y87">
        <v>2510375.56</v>
      </c>
      <c r="Z87">
        <v>2724550.01</v>
      </c>
      <c r="AA87">
        <v>2745547.55</v>
      </c>
      <c r="AB87">
        <v>2755020.62</v>
      </c>
      <c r="AC87">
        <v>2843766.14</v>
      </c>
      <c r="AD87">
        <v>2760524.67</v>
      </c>
    </row>
    <row r="88" spans="1:30" x14ac:dyDescent="0.3">
      <c r="A88" t="s">
        <v>90</v>
      </c>
      <c r="B88" t="s">
        <v>29</v>
      </c>
      <c r="C88" t="s">
        <v>31</v>
      </c>
      <c r="D88" t="s">
        <v>30</v>
      </c>
      <c r="E88">
        <v>2389170.38</v>
      </c>
      <c r="F88">
        <v>2310549.98</v>
      </c>
      <c r="G88">
        <v>2300667.2999999998</v>
      </c>
      <c r="H88">
        <v>2350487.87</v>
      </c>
      <c r="I88">
        <v>2382283.5699999998</v>
      </c>
      <c r="J88">
        <v>2344744.77</v>
      </c>
      <c r="K88">
        <v>2350345.0299999998</v>
      </c>
      <c r="L88">
        <v>2314369.2000000002</v>
      </c>
      <c r="M88">
        <v>2362473.67</v>
      </c>
      <c r="N88">
        <v>2352540.2599999998</v>
      </c>
      <c r="O88">
        <v>2382142.4700000002</v>
      </c>
      <c r="P88">
        <v>2457934.08</v>
      </c>
      <c r="Q88">
        <v>2351559.38</v>
      </c>
      <c r="R88">
        <v>2471080.04</v>
      </c>
      <c r="S88">
        <v>2470404.77</v>
      </c>
      <c r="T88">
        <v>2515974.64</v>
      </c>
      <c r="U88">
        <v>2484829.5099999998</v>
      </c>
      <c r="V88">
        <v>2485687.91</v>
      </c>
      <c r="W88">
        <v>2580232.09</v>
      </c>
      <c r="X88">
        <v>2529480.89</v>
      </c>
      <c r="Y88">
        <v>2469886.5499999998</v>
      </c>
      <c r="Z88">
        <v>2558073.5099999998</v>
      </c>
      <c r="AA88">
        <v>2599150.5499999998</v>
      </c>
      <c r="AB88">
        <v>2543353.12</v>
      </c>
      <c r="AC88">
        <v>2639565.31</v>
      </c>
      <c r="AD88">
        <v>2566319.25</v>
      </c>
    </row>
    <row r="89" spans="1:30" x14ac:dyDescent="0.3">
      <c r="A89" t="s">
        <v>90</v>
      </c>
      <c r="B89" t="s">
        <v>29</v>
      </c>
      <c r="C89" t="s">
        <v>31</v>
      </c>
      <c r="D89" t="s">
        <v>32</v>
      </c>
      <c r="E89">
        <v>2325318.9500000002</v>
      </c>
      <c r="F89">
        <v>2282442.62</v>
      </c>
      <c r="G89">
        <v>2278606.2999999998</v>
      </c>
      <c r="H89">
        <v>2326465.44</v>
      </c>
      <c r="I89">
        <v>2320123.37</v>
      </c>
      <c r="J89">
        <v>2310671.77</v>
      </c>
      <c r="K89">
        <v>2346140.15</v>
      </c>
      <c r="L89">
        <v>2292339.2000000002</v>
      </c>
      <c r="M89">
        <v>2337895.67</v>
      </c>
      <c r="N89">
        <v>2329807.2599999998</v>
      </c>
      <c r="O89">
        <v>2356163.86</v>
      </c>
      <c r="P89">
        <v>2428389.08</v>
      </c>
      <c r="Q89">
        <v>2340487.27</v>
      </c>
      <c r="R89">
        <v>2456969.13</v>
      </c>
      <c r="S89">
        <v>2456678.1800000002</v>
      </c>
      <c r="T89">
        <v>2469967.9500000002</v>
      </c>
      <c r="U89">
        <v>2480600.71</v>
      </c>
      <c r="V89">
        <v>2480600.71</v>
      </c>
      <c r="W89">
        <v>2562652.91</v>
      </c>
      <c r="X89">
        <v>2524475.4900000002</v>
      </c>
      <c r="Y89">
        <v>2467942.5499999998</v>
      </c>
      <c r="Z89">
        <v>2480744.0499999998</v>
      </c>
      <c r="AA89">
        <v>2557696.41</v>
      </c>
      <c r="AB89">
        <v>2537571.59</v>
      </c>
      <c r="AC89">
        <v>2552913.31</v>
      </c>
      <c r="AD89">
        <v>2513531.25</v>
      </c>
    </row>
    <row r="90" spans="1:30" x14ac:dyDescent="0.3">
      <c r="A90" t="s">
        <v>90</v>
      </c>
      <c r="B90" t="s">
        <v>29</v>
      </c>
      <c r="C90" t="s">
        <v>31</v>
      </c>
      <c r="D90" t="s">
        <v>33</v>
      </c>
      <c r="E90">
        <v>64501.43</v>
      </c>
      <c r="F90">
        <v>15773.36</v>
      </c>
      <c r="G90">
        <v>8350</v>
      </c>
      <c r="H90">
        <v>5414.43</v>
      </c>
      <c r="I90">
        <v>53992.2</v>
      </c>
      <c r="J90">
        <v>5390</v>
      </c>
      <c r="K90">
        <v>-0.12</v>
      </c>
      <c r="L90">
        <v>19145</v>
      </c>
      <c r="M90">
        <v>16280</v>
      </c>
      <c r="N90">
        <v>15200</v>
      </c>
      <c r="O90">
        <v>14578.61</v>
      </c>
      <c r="P90">
        <v>0</v>
      </c>
      <c r="Q90">
        <v>6516.11</v>
      </c>
      <c r="R90">
        <v>4865.3100000000004</v>
      </c>
      <c r="S90">
        <v>5849.79</v>
      </c>
      <c r="T90">
        <v>39035.89</v>
      </c>
      <c r="W90">
        <v>14863.98</v>
      </c>
      <c r="Z90">
        <v>45394.46</v>
      </c>
      <c r="AA90">
        <v>36582.14</v>
      </c>
      <c r="AB90">
        <v>880.53</v>
      </c>
    </row>
    <row r="91" spans="1:30" x14ac:dyDescent="0.3">
      <c r="A91" t="s">
        <v>90</v>
      </c>
      <c r="B91" t="s">
        <v>29</v>
      </c>
      <c r="C91" t="s">
        <v>31</v>
      </c>
      <c r="D91" t="s">
        <v>34</v>
      </c>
      <c r="E91">
        <v>-650</v>
      </c>
      <c r="F91">
        <v>12334</v>
      </c>
      <c r="G91">
        <v>13711</v>
      </c>
      <c r="H91">
        <v>18608</v>
      </c>
      <c r="I91">
        <v>8168</v>
      </c>
      <c r="J91">
        <v>28683</v>
      </c>
      <c r="K91">
        <v>4205</v>
      </c>
      <c r="L91">
        <v>2885</v>
      </c>
      <c r="M91">
        <v>8298</v>
      </c>
      <c r="N91">
        <v>7533</v>
      </c>
      <c r="O91">
        <v>11400</v>
      </c>
      <c r="P91">
        <v>29545</v>
      </c>
      <c r="Q91">
        <v>4556</v>
      </c>
      <c r="R91">
        <v>9245.6</v>
      </c>
      <c r="S91">
        <v>7876.8</v>
      </c>
      <c r="T91">
        <v>6970.8</v>
      </c>
      <c r="U91">
        <v>4228.8</v>
      </c>
      <c r="V91">
        <v>5087.2</v>
      </c>
      <c r="W91">
        <v>2715.2</v>
      </c>
      <c r="X91">
        <v>5005.3999999999996</v>
      </c>
      <c r="Y91">
        <v>1944</v>
      </c>
      <c r="Z91">
        <v>31935</v>
      </c>
      <c r="AA91">
        <v>4872</v>
      </c>
      <c r="AB91">
        <v>4901</v>
      </c>
      <c r="AC91">
        <v>86652</v>
      </c>
      <c r="AD91">
        <v>52788</v>
      </c>
    </row>
    <row r="92" spans="1:30" x14ac:dyDescent="0.3">
      <c r="A92" t="s">
        <v>90</v>
      </c>
      <c r="B92" t="s">
        <v>29</v>
      </c>
      <c r="C92" t="s">
        <v>35</v>
      </c>
      <c r="D92" t="s">
        <v>30</v>
      </c>
      <c r="E92">
        <v>120159</v>
      </c>
      <c r="F92">
        <v>117500</v>
      </c>
      <c r="G92">
        <v>142304</v>
      </c>
      <c r="H92">
        <v>136527.5</v>
      </c>
      <c r="I92">
        <v>135003.5</v>
      </c>
      <c r="J92">
        <v>245865</v>
      </c>
      <c r="K92">
        <v>133474.5</v>
      </c>
      <c r="L92">
        <v>91958</v>
      </c>
      <c r="M92">
        <v>147401</v>
      </c>
      <c r="N92">
        <v>229454.76</v>
      </c>
      <c r="O92">
        <v>225126</v>
      </c>
      <c r="P92">
        <v>223450.5</v>
      </c>
      <c r="Q92">
        <v>206358</v>
      </c>
      <c r="R92">
        <v>219018</v>
      </c>
      <c r="S92">
        <v>162717</v>
      </c>
      <c r="T92">
        <v>188327.5</v>
      </c>
      <c r="U92">
        <v>128673.66</v>
      </c>
      <c r="V92">
        <v>131170</v>
      </c>
      <c r="W92">
        <v>199680</v>
      </c>
      <c r="X92">
        <v>89248</v>
      </c>
      <c r="Y92">
        <v>40489.01</v>
      </c>
      <c r="Z92">
        <v>166476.5</v>
      </c>
      <c r="AA92">
        <v>146397</v>
      </c>
      <c r="AB92">
        <v>211667.5</v>
      </c>
      <c r="AC92">
        <v>204200.83</v>
      </c>
      <c r="AD92">
        <v>194205.42</v>
      </c>
    </row>
    <row r="93" spans="1:30" x14ac:dyDescent="0.3">
      <c r="A93" t="s">
        <v>90</v>
      </c>
      <c r="B93" t="s">
        <v>36</v>
      </c>
      <c r="C93" t="s">
        <v>30</v>
      </c>
      <c r="E93">
        <v>-1928158.67</v>
      </c>
      <c r="F93">
        <v>-1879854.27</v>
      </c>
      <c r="G93">
        <v>-1815907.88</v>
      </c>
      <c r="H93">
        <v>-1880134.08</v>
      </c>
      <c r="I93">
        <v>-1931309.05</v>
      </c>
      <c r="J93">
        <v>-1996617.23</v>
      </c>
      <c r="K93">
        <v>-1941100.5</v>
      </c>
      <c r="L93">
        <v>-1944268.42</v>
      </c>
      <c r="M93">
        <v>-2027362.13</v>
      </c>
      <c r="N93">
        <v>-1951792.55</v>
      </c>
      <c r="O93">
        <v>-2170162.84</v>
      </c>
      <c r="P93">
        <v>-2083598.12</v>
      </c>
      <c r="Q93">
        <v>-1936260.92</v>
      </c>
      <c r="R93">
        <v>-1905764.16</v>
      </c>
      <c r="S93">
        <v>-1805833.81</v>
      </c>
      <c r="T93">
        <v>-1790095.35</v>
      </c>
      <c r="U93">
        <v>-1866283.6</v>
      </c>
      <c r="V93">
        <v>-1857217.94</v>
      </c>
      <c r="W93">
        <v>-1935722.49</v>
      </c>
      <c r="X93">
        <v>-1803460.63</v>
      </c>
      <c r="Y93">
        <v>-1876079.7</v>
      </c>
      <c r="Z93">
        <v>-1751690.03</v>
      </c>
      <c r="AA93">
        <v>-1902350.36</v>
      </c>
      <c r="AB93">
        <v>-2023748.75</v>
      </c>
      <c r="AC93">
        <v>-1979124.46</v>
      </c>
      <c r="AD93">
        <v>-2095923.78</v>
      </c>
    </row>
    <row r="94" spans="1:30" x14ac:dyDescent="0.3">
      <c r="A94" t="s">
        <v>90</v>
      </c>
      <c r="B94" t="s">
        <v>36</v>
      </c>
      <c r="C94" t="s">
        <v>18</v>
      </c>
      <c r="D94" t="s">
        <v>30</v>
      </c>
      <c r="E94">
        <v>-1280079.02</v>
      </c>
      <c r="F94">
        <v>-1202898.6100000001</v>
      </c>
      <c r="G94">
        <v>-1213219.9099999999</v>
      </c>
      <c r="H94">
        <v>-1261114.3500000001</v>
      </c>
      <c r="I94">
        <v>-1327154.52</v>
      </c>
      <c r="J94">
        <v>-1337064.51</v>
      </c>
      <c r="K94">
        <v>-1396818.18</v>
      </c>
      <c r="L94">
        <v>-1413507.79</v>
      </c>
      <c r="M94">
        <v>-1402524.45</v>
      </c>
      <c r="N94">
        <v>-1363992.99</v>
      </c>
      <c r="O94">
        <v>-1466002.48</v>
      </c>
      <c r="P94">
        <v>-1374774.81</v>
      </c>
      <c r="Q94">
        <v>-1425820.02</v>
      </c>
      <c r="R94">
        <v>-1398695.58</v>
      </c>
      <c r="S94">
        <v>-1251826.6100000001</v>
      </c>
      <c r="T94">
        <v>-1244887.1200000001</v>
      </c>
      <c r="U94">
        <v>-1304324.95</v>
      </c>
      <c r="V94">
        <v>-1311728.1000000001</v>
      </c>
      <c r="W94">
        <v>-1325681.3799999999</v>
      </c>
      <c r="X94">
        <v>-1321166.99</v>
      </c>
      <c r="Y94">
        <v>-1276928.98</v>
      </c>
      <c r="Z94">
        <v>-1225370.7</v>
      </c>
      <c r="AA94">
        <v>-1264317.8400000001</v>
      </c>
      <c r="AB94">
        <v>-1454821.18</v>
      </c>
      <c r="AC94">
        <v>-1366290.61</v>
      </c>
      <c r="AD94">
        <v>-1551672.58</v>
      </c>
    </row>
    <row r="95" spans="1:30" x14ac:dyDescent="0.3">
      <c r="A95" t="s">
        <v>90</v>
      </c>
      <c r="B95" t="s">
        <v>36</v>
      </c>
      <c r="C95" t="s">
        <v>37</v>
      </c>
      <c r="D95" t="s">
        <v>30</v>
      </c>
      <c r="E95">
        <v>-648079.65</v>
      </c>
      <c r="F95">
        <v>-676955.66</v>
      </c>
      <c r="G95">
        <v>-602687.97</v>
      </c>
      <c r="H95">
        <v>-619019.73</v>
      </c>
      <c r="I95">
        <v>-604154.53</v>
      </c>
      <c r="J95">
        <v>-659552.72</v>
      </c>
      <c r="K95">
        <v>-544282.31999999995</v>
      </c>
      <c r="L95">
        <v>-530760.63</v>
      </c>
      <c r="M95">
        <v>-624837.68000000005</v>
      </c>
      <c r="N95">
        <v>-587799.56000000006</v>
      </c>
      <c r="O95">
        <v>-704160.36</v>
      </c>
      <c r="P95">
        <v>-708823.31</v>
      </c>
      <c r="Q95">
        <v>-510440.9</v>
      </c>
      <c r="R95">
        <v>-507068.58</v>
      </c>
      <c r="S95">
        <v>-554007.19999999995</v>
      </c>
      <c r="T95">
        <v>-545208.23</v>
      </c>
      <c r="U95">
        <v>-561958.65</v>
      </c>
      <c r="V95">
        <v>-545489.84</v>
      </c>
      <c r="W95">
        <v>-610041.11</v>
      </c>
      <c r="X95">
        <v>-482293.64</v>
      </c>
      <c r="Y95">
        <v>-599150.72</v>
      </c>
      <c r="Z95">
        <v>-526319.32999999996</v>
      </c>
      <c r="AA95">
        <v>-638032.52</v>
      </c>
      <c r="AB95">
        <v>-568927.56999999995</v>
      </c>
      <c r="AC95">
        <v>-612833.85</v>
      </c>
      <c r="AD95">
        <v>-544251.19999999995</v>
      </c>
    </row>
    <row r="96" spans="1:30" x14ac:dyDescent="0.3">
      <c r="A96" t="s">
        <v>90</v>
      </c>
      <c r="B96" t="s">
        <v>38</v>
      </c>
      <c r="C96" t="s">
        <v>30</v>
      </c>
      <c r="E96">
        <v>581170.71</v>
      </c>
      <c r="F96">
        <v>548195.71</v>
      </c>
      <c r="G96">
        <v>627063.42000000004</v>
      </c>
      <c r="H96">
        <v>606881.29</v>
      </c>
      <c r="I96">
        <v>585978.02</v>
      </c>
      <c r="J96">
        <v>593992.54</v>
      </c>
      <c r="K96">
        <v>542719.03</v>
      </c>
      <c r="L96">
        <v>462058.78</v>
      </c>
      <c r="M96">
        <v>482512.54</v>
      </c>
      <c r="N96">
        <v>630202.47</v>
      </c>
      <c r="O96">
        <v>437105.63</v>
      </c>
      <c r="P96">
        <v>597786.46</v>
      </c>
      <c r="Q96">
        <v>621656.46</v>
      </c>
      <c r="R96">
        <v>784333.88</v>
      </c>
      <c r="S96">
        <v>827287.96</v>
      </c>
      <c r="T96">
        <v>914206.79</v>
      </c>
      <c r="U96">
        <v>747219.57</v>
      </c>
      <c r="V96">
        <v>759639.97</v>
      </c>
      <c r="W96">
        <v>844189.6</v>
      </c>
      <c r="X96">
        <v>815268.26</v>
      </c>
      <c r="Y96">
        <v>634295.86</v>
      </c>
      <c r="Z96">
        <v>972859.98</v>
      </c>
      <c r="AA96">
        <v>843197.19</v>
      </c>
      <c r="AB96">
        <v>731271.87</v>
      </c>
      <c r="AC96">
        <v>864641.68</v>
      </c>
      <c r="AD96">
        <v>664600.89</v>
      </c>
    </row>
    <row r="97" spans="1:30" x14ac:dyDescent="0.3">
      <c r="A97" t="s">
        <v>90</v>
      </c>
      <c r="B97" t="s">
        <v>39</v>
      </c>
      <c r="C97" t="s">
        <v>30</v>
      </c>
      <c r="E97">
        <v>-107009.57</v>
      </c>
      <c r="F97">
        <v>-199286.76</v>
      </c>
      <c r="G97">
        <v>-192813.21</v>
      </c>
      <c r="H97">
        <v>-201269.65</v>
      </c>
      <c r="I97">
        <v>-209258.95</v>
      </c>
      <c r="J97">
        <v>-198384.04</v>
      </c>
      <c r="K97">
        <v>-219485.32</v>
      </c>
      <c r="L97">
        <v>-190120.07</v>
      </c>
      <c r="M97">
        <v>-194821.16</v>
      </c>
      <c r="N97">
        <v>-202952.56</v>
      </c>
      <c r="O97">
        <v>-205092.61</v>
      </c>
      <c r="P97">
        <v>-206098.19</v>
      </c>
      <c r="Q97">
        <v>-213063.7</v>
      </c>
      <c r="R97">
        <v>-203136.35</v>
      </c>
      <c r="S97">
        <v>-219000.94</v>
      </c>
      <c r="T97">
        <v>-222518.64</v>
      </c>
      <c r="U97">
        <v>-223189.27</v>
      </c>
      <c r="V97">
        <v>-231286.36</v>
      </c>
      <c r="W97">
        <v>-223024.89</v>
      </c>
      <c r="X97">
        <v>-211117.76</v>
      </c>
      <c r="Y97">
        <v>-223493.27</v>
      </c>
      <c r="Z97">
        <v>-268035.07</v>
      </c>
      <c r="AA97">
        <v>-230644.74</v>
      </c>
      <c r="AB97">
        <v>-232881.95</v>
      </c>
      <c r="AC97">
        <v>-264759.15000000002</v>
      </c>
      <c r="AD97">
        <v>-249889.73</v>
      </c>
    </row>
    <row r="98" spans="1:30" x14ac:dyDescent="0.3">
      <c r="A98" t="s">
        <v>90</v>
      </c>
      <c r="B98" t="s">
        <v>39</v>
      </c>
      <c r="C98" t="s">
        <v>40</v>
      </c>
      <c r="D98" t="s">
        <v>30</v>
      </c>
      <c r="E98">
        <v>-114114.57</v>
      </c>
      <c r="F98">
        <v>-208286.76</v>
      </c>
      <c r="G98">
        <v>-201813.21</v>
      </c>
      <c r="H98">
        <v>-210269.65</v>
      </c>
      <c r="I98">
        <v>-211086.95</v>
      </c>
      <c r="J98">
        <v>-207384.04</v>
      </c>
      <c r="K98">
        <v>-228485.32</v>
      </c>
      <c r="L98">
        <v>-199120.07</v>
      </c>
      <c r="M98">
        <v>-203821.16</v>
      </c>
      <c r="N98">
        <v>-210967.35</v>
      </c>
      <c r="O98">
        <v>-213106.55</v>
      </c>
      <c r="P98">
        <v>-214112.13</v>
      </c>
      <c r="Q98">
        <v>-221077.64</v>
      </c>
      <c r="R98">
        <v>-211350.29</v>
      </c>
      <c r="S98">
        <v>-227412.09</v>
      </c>
      <c r="T98">
        <v>-230535.37</v>
      </c>
      <c r="U98">
        <v>-231403.21</v>
      </c>
      <c r="V98">
        <v>-239500.3</v>
      </c>
      <c r="W98">
        <v>-231238.83</v>
      </c>
      <c r="X98">
        <v>-219331.7</v>
      </c>
      <c r="Y98">
        <v>-231707.21</v>
      </c>
      <c r="Z98">
        <v>-276249.01</v>
      </c>
      <c r="AA98">
        <v>-238858.68</v>
      </c>
      <c r="AB98">
        <v>-241095.89</v>
      </c>
      <c r="AC98">
        <v>-272973.09000000003</v>
      </c>
      <c r="AD98">
        <v>-257897.25</v>
      </c>
    </row>
    <row r="99" spans="1:30" x14ac:dyDescent="0.3">
      <c r="A99" t="s">
        <v>90</v>
      </c>
      <c r="B99" t="s">
        <v>39</v>
      </c>
      <c r="C99" t="s">
        <v>41</v>
      </c>
      <c r="D99" t="s">
        <v>30</v>
      </c>
      <c r="E99">
        <v>7105</v>
      </c>
      <c r="F99">
        <v>9000</v>
      </c>
      <c r="G99">
        <v>9000</v>
      </c>
      <c r="H99">
        <v>9000</v>
      </c>
      <c r="I99">
        <v>1828</v>
      </c>
      <c r="J99">
        <v>9000</v>
      </c>
      <c r="K99">
        <v>9000</v>
      </c>
      <c r="L99">
        <v>9000</v>
      </c>
      <c r="M99">
        <v>9000</v>
      </c>
      <c r="N99">
        <v>8014.79</v>
      </c>
      <c r="O99">
        <v>8013.94</v>
      </c>
      <c r="P99">
        <v>8013.94</v>
      </c>
      <c r="Q99">
        <v>8013.94</v>
      </c>
      <c r="R99">
        <v>8213.94</v>
      </c>
      <c r="S99">
        <v>8411.15</v>
      </c>
      <c r="T99">
        <v>8016.73</v>
      </c>
      <c r="U99">
        <v>8213.94</v>
      </c>
      <c r="V99">
        <v>8213.94</v>
      </c>
      <c r="W99">
        <v>8213.94</v>
      </c>
      <c r="X99">
        <v>8213.94</v>
      </c>
      <c r="Y99">
        <v>8213.94</v>
      </c>
      <c r="Z99">
        <v>8213.94</v>
      </c>
      <c r="AA99">
        <v>8213.94</v>
      </c>
      <c r="AB99">
        <v>8213.94</v>
      </c>
      <c r="AC99">
        <v>8213.94</v>
      </c>
      <c r="AD99">
        <v>8007.52</v>
      </c>
    </row>
    <row r="100" spans="1:30" x14ac:dyDescent="0.3">
      <c r="A100" t="s">
        <v>90</v>
      </c>
      <c r="B100" t="s">
        <v>42</v>
      </c>
      <c r="C100" t="s">
        <v>30</v>
      </c>
      <c r="E100">
        <v>474161.14</v>
      </c>
      <c r="F100">
        <v>348908.95</v>
      </c>
      <c r="G100">
        <v>434250.21</v>
      </c>
      <c r="H100">
        <v>405611.64</v>
      </c>
      <c r="I100">
        <v>376719.07</v>
      </c>
      <c r="J100">
        <v>395608.5</v>
      </c>
      <c r="K100">
        <v>323233.71000000002</v>
      </c>
      <c r="L100">
        <v>271938.71000000002</v>
      </c>
      <c r="M100">
        <v>287691.38</v>
      </c>
      <c r="N100">
        <v>427249.91</v>
      </c>
      <c r="O100">
        <v>232013.02</v>
      </c>
      <c r="P100">
        <v>391688.27</v>
      </c>
      <c r="Q100">
        <v>408592.76</v>
      </c>
      <c r="R100">
        <v>581197.53</v>
      </c>
      <c r="S100">
        <v>608287.02</v>
      </c>
      <c r="T100">
        <v>691688.15</v>
      </c>
      <c r="U100">
        <v>524030.3</v>
      </c>
      <c r="V100">
        <v>528353.61</v>
      </c>
      <c r="W100">
        <v>621164.71</v>
      </c>
      <c r="X100">
        <v>604150.5</v>
      </c>
      <c r="Y100">
        <v>410802.59</v>
      </c>
      <c r="Z100">
        <v>704824.91</v>
      </c>
      <c r="AA100">
        <v>612552.44999999995</v>
      </c>
      <c r="AB100">
        <v>498389.92</v>
      </c>
      <c r="AC100">
        <v>599882.53</v>
      </c>
      <c r="AD100">
        <v>414711.16</v>
      </c>
    </row>
    <row r="101" spans="1:30" x14ac:dyDescent="0.3">
      <c r="A101" t="s">
        <v>90</v>
      </c>
      <c r="B101" t="s">
        <v>43</v>
      </c>
      <c r="C101" t="s">
        <v>30</v>
      </c>
      <c r="E101">
        <v>-201654</v>
      </c>
    </row>
    <row r="102" spans="1:30" x14ac:dyDescent="0.3">
      <c r="A102" t="s">
        <v>90</v>
      </c>
      <c r="B102" t="s">
        <v>43</v>
      </c>
      <c r="C102" t="s">
        <v>123</v>
      </c>
      <c r="D102" t="s">
        <v>30</v>
      </c>
      <c r="E102">
        <v>-66237</v>
      </c>
    </row>
    <row r="103" spans="1:30" x14ac:dyDescent="0.3">
      <c r="A103" t="s">
        <v>90</v>
      </c>
      <c r="B103" t="s">
        <v>43</v>
      </c>
      <c r="C103" t="s">
        <v>124</v>
      </c>
      <c r="D103" t="s">
        <v>30</v>
      </c>
      <c r="E103">
        <v>-135417</v>
      </c>
    </row>
    <row r="104" spans="1:30" x14ac:dyDescent="0.3">
      <c r="A104" t="s">
        <v>90</v>
      </c>
      <c r="B104" t="s">
        <v>44</v>
      </c>
      <c r="C104" t="s">
        <v>30</v>
      </c>
      <c r="E104">
        <v>272507.14</v>
      </c>
      <c r="F104">
        <v>348908.95</v>
      </c>
      <c r="G104">
        <v>434250.21</v>
      </c>
      <c r="H104">
        <v>405611.64</v>
      </c>
      <c r="I104">
        <v>376719.07</v>
      </c>
      <c r="J104">
        <v>395608.5</v>
      </c>
      <c r="K104">
        <v>323233.71000000002</v>
      </c>
      <c r="L104">
        <v>271938.71000000002</v>
      </c>
      <c r="M104">
        <v>287691.38</v>
      </c>
      <c r="N104">
        <v>427249.91</v>
      </c>
      <c r="O104">
        <v>232013.02</v>
      </c>
      <c r="P104">
        <v>391688.27</v>
      </c>
      <c r="Q104">
        <v>408592.76</v>
      </c>
      <c r="R104">
        <v>581197.53</v>
      </c>
      <c r="S104">
        <v>608287.02</v>
      </c>
      <c r="T104">
        <v>691688.15</v>
      </c>
      <c r="U104">
        <v>524030.3</v>
      </c>
      <c r="V104">
        <v>528353.61</v>
      </c>
      <c r="W104">
        <v>621164.71</v>
      </c>
      <c r="X104">
        <v>604150.5</v>
      </c>
      <c r="Y104">
        <v>410802.59</v>
      </c>
      <c r="Z104">
        <v>704824.91</v>
      </c>
      <c r="AA104">
        <v>612552.44999999995</v>
      </c>
      <c r="AB104">
        <v>498389.92</v>
      </c>
      <c r="AC104">
        <v>599882.53</v>
      </c>
      <c r="AD104">
        <v>414711.16</v>
      </c>
    </row>
    <row r="105" spans="1:30" x14ac:dyDescent="0.3">
      <c r="A105" t="s">
        <v>90</v>
      </c>
      <c r="B105" t="s">
        <v>45</v>
      </c>
      <c r="C105" t="s">
        <v>30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</row>
    <row r="106" spans="1:30" x14ac:dyDescent="0.3">
      <c r="A106" t="s">
        <v>90</v>
      </c>
      <c r="B106" t="s">
        <v>46</v>
      </c>
      <c r="C106" t="s">
        <v>30</v>
      </c>
      <c r="E106">
        <v>272507.14</v>
      </c>
      <c r="F106">
        <v>348908.95</v>
      </c>
      <c r="G106">
        <v>434250.21</v>
      </c>
      <c r="H106">
        <v>405611.64</v>
      </c>
      <c r="I106">
        <v>376719.07</v>
      </c>
      <c r="J106">
        <v>395608.5</v>
      </c>
      <c r="K106">
        <v>323233.71000000002</v>
      </c>
      <c r="L106">
        <v>271938.71000000002</v>
      </c>
      <c r="M106">
        <v>287691.38</v>
      </c>
      <c r="N106">
        <v>427249.91</v>
      </c>
      <c r="O106">
        <v>232013.02</v>
      </c>
      <c r="P106">
        <v>391688.27</v>
      </c>
      <c r="Q106">
        <v>408592.76</v>
      </c>
      <c r="R106">
        <v>581197.53</v>
      </c>
      <c r="S106">
        <v>608287.02</v>
      </c>
      <c r="T106">
        <v>691688.15</v>
      </c>
      <c r="U106">
        <v>524030.3</v>
      </c>
      <c r="V106">
        <v>528353.61</v>
      </c>
      <c r="W106">
        <v>621164.71</v>
      </c>
      <c r="X106">
        <v>604150.5</v>
      </c>
      <c r="Y106">
        <v>410802.59</v>
      </c>
      <c r="Z106">
        <v>704824.91</v>
      </c>
      <c r="AA106">
        <v>612552.44999999995</v>
      </c>
      <c r="AB106">
        <v>498389.92</v>
      </c>
      <c r="AC106">
        <v>599882.53</v>
      </c>
      <c r="AD106">
        <v>414711.16</v>
      </c>
    </row>
    <row r="107" spans="1:30" x14ac:dyDescent="0.3">
      <c r="A107" t="s">
        <v>90</v>
      </c>
      <c r="B107" t="s">
        <v>47</v>
      </c>
      <c r="C107" t="s">
        <v>30</v>
      </c>
      <c r="E107">
        <v>-188377</v>
      </c>
      <c r="F107">
        <v>-19623</v>
      </c>
      <c r="G107">
        <v>-19623</v>
      </c>
      <c r="H107">
        <v>-19623</v>
      </c>
      <c r="I107">
        <v>-19623</v>
      </c>
      <c r="J107">
        <v>-19623</v>
      </c>
      <c r="K107">
        <v>-19623</v>
      </c>
      <c r="L107">
        <v>-19623</v>
      </c>
      <c r="M107">
        <v>-19623</v>
      </c>
      <c r="N107">
        <v>-19623</v>
      </c>
      <c r="O107">
        <v>-19624</v>
      </c>
      <c r="P107">
        <v>-19623</v>
      </c>
      <c r="Q107">
        <v>-24581</v>
      </c>
      <c r="R107">
        <v>-20244</v>
      </c>
      <c r="T107">
        <v>-40486</v>
      </c>
      <c r="U107">
        <v>-20244</v>
      </c>
      <c r="V107">
        <v>-20244</v>
      </c>
      <c r="W107">
        <v>-20244</v>
      </c>
      <c r="Y107">
        <v>-40486</v>
      </c>
      <c r="Z107">
        <v>-20244</v>
      </c>
      <c r="AA107">
        <v>-20244</v>
      </c>
      <c r="AB107">
        <v>-20244</v>
      </c>
      <c r="AC107">
        <v>-20243</v>
      </c>
      <c r="AD107">
        <v>-20244</v>
      </c>
    </row>
    <row r="108" spans="1:30" x14ac:dyDescent="0.3">
      <c r="A108" t="s">
        <v>90</v>
      </c>
      <c r="B108" t="s">
        <v>30</v>
      </c>
      <c r="C108" t="s">
        <v>30</v>
      </c>
      <c r="E108">
        <v>84130.14</v>
      </c>
      <c r="F108">
        <v>329285.95</v>
      </c>
      <c r="G108">
        <v>414627.21</v>
      </c>
      <c r="H108">
        <v>385988.64</v>
      </c>
      <c r="I108">
        <v>357096.07</v>
      </c>
      <c r="J108">
        <v>375985.5</v>
      </c>
      <c r="K108">
        <v>303610.71000000002</v>
      </c>
      <c r="L108">
        <v>252315.71</v>
      </c>
      <c r="M108">
        <v>268068.38</v>
      </c>
      <c r="N108">
        <v>407626.91</v>
      </c>
      <c r="O108">
        <v>212389.02</v>
      </c>
      <c r="P108">
        <v>372065.27</v>
      </c>
      <c r="Q108">
        <v>384011.76</v>
      </c>
      <c r="R108">
        <v>560953.53</v>
      </c>
      <c r="S108">
        <v>608287.02</v>
      </c>
      <c r="T108">
        <v>651202.15</v>
      </c>
      <c r="U108">
        <v>503786.3</v>
      </c>
      <c r="V108">
        <v>508109.61</v>
      </c>
      <c r="W108">
        <v>600920.71</v>
      </c>
      <c r="X108">
        <v>604150.5</v>
      </c>
      <c r="Y108">
        <v>370316.59</v>
      </c>
      <c r="Z108">
        <v>684580.91</v>
      </c>
      <c r="AA108">
        <v>592308.44999999995</v>
      </c>
      <c r="AB108">
        <v>478145.92</v>
      </c>
      <c r="AC108">
        <v>579639.53</v>
      </c>
      <c r="AD108">
        <v>394467.16</v>
      </c>
    </row>
    <row r="109" spans="1:30" x14ac:dyDescent="0.3">
      <c r="A109" t="s">
        <v>90</v>
      </c>
      <c r="B109" t="s">
        <v>30</v>
      </c>
    </row>
    <row r="110" spans="1:30" x14ac:dyDescent="0.3">
      <c r="A110" t="s">
        <v>90</v>
      </c>
    </row>
    <row r="111" spans="1:30" x14ac:dyDescent="0.3">
      <c r="A111" t="s">
        <v>90</v>
      </c>
      <c r="B111" t="s">
        <v>132</v>
      </c>
    </row>
    <row r="112" spans="1:30" x14ac:dyDescent="0.3">
      <c r="A112" t="s">
        <v>91</v>
      </c>
      <c r="B112" t="s">
        <v>22</v>
      </c>
      <c r="E112">
        <v>202312</v>
      </c>
      <c r="F112">
        <v>202401</v>
      </c>
      <c r="G112">
        <v>202402</v>
      </c>
      <c r="H112">
        <v>202403</v>
      </c>
      <c r="I112">
        <v>202404</v>
      </c>
      <c r="J112">
        <v>202405</v>
      </c>
      <c r="K112">
        <v>202406</v>
      </c>
      <c r="L112">
        <v>202407</v>
      </c>
      <c r="M112">
        <v>202408</v>
      </c>
      <c r="N112">
        <v>202409</v>
      </c>
      <c r="O112">
        <v>202410</v>
      </c>
      <c r="P112">
        <v>202411</v>
      </c>
      <c r="Q112">
        <v>202412</v>
      </c>
      <c r="R112">
        <v>202501</v>
      </c>
      <c r="S112">
        <v>202502</v>
      </c>
      <c r="T112">
        <v>202503</v>
      </c>
      <c r="U112">
        <v>202504</v>
      </c>
      <c r="V112">
        <v>202505</v>
      </c>
      <c r="W112">
        <v>202506</v>
      </c>
      <c r="X112">
        <v>202507</v>
      </c>
      <c r="Y112">
        <v>202508</v>
      </c>
      <c r="Z112">
        <v>202509</v>
      </c>
      <c r="AA112">
        <v>202510</v>
      </c>
      <c r="AB112">
        <v>202511</v>
      </c>
      <c r="AC112">
        <v>202512</v>
      </c>
      <c r="AD112">
        <v>202601</v>
      </c>
    </row>
    <row r="113" spans="1:30" x14ac:dyDescent="0.3">
      <c r="A113" t="s">
        <v>91</v>
      </c>
      <c r="B113" t="s">
        <v>23</v>
      </c>
      <c r="E113" t="s">
        <v>24</v>
      </c>
      <c r="F113" t="s">
        <v>24</v>
      </c>
      <c r="G113" t="s">
        <v>24</v>
      </c>
      <c r="H113" t="s">
        <v>24</v>
      </c>
      <c r="I113" t="s">
        <v>24</v>
      </c>
      <c r="J113" t="s">
        <v>24</v>
      </c>
      <c r="K113" t="s">
        <v>24</v>
      </c>
      <c r="L113" t="s">
        <v>24</v>
      </c>
      <c r="M113" t="s">
        <v>24</v>
      </c>
      <c r="N113" t="s">
        <v>24</v>
      </c>
      <c r="O113" t="s">
        <v>24</v>
      </c>
      <c r="P113" t="s">
        <v>24</v>
      </c>
      <c r="Q113" t="s">
        <v>24</v>
      </c>
      <c r="R113" t="s">
        <v>24</v>
      </c>
      <c r="S113" t="s">
        <v>24</v>
      </c>
      <c r="T113" t="s">
        <v>24</v>
      </c>
      <c r="U113" t="s">
        <v>24</v>
      </c>
      <c r="V113" t="s">
        <v>24</v>
      </c>
      <c r="W113" t="s">
        <v>24</v>
      </c>
      <c r="X113" t="s">
        <v>24</v>
      </c>
      <c r="Y113" t="s">
        <v>24</v>
      </c>
      <c r="Z113" t="s">
        <v>24</v>
      </c>
      <c r="AA113" t="s">
        <v>24</v>
      </c>
      <c r="AB113" t="s">
        <v>24</v>
      </c>
      <c r="AC113" t="s">
        <v>24</v>
      </c>
      <c r="AD113" t="s">
        <v>24</v>
      </c>
    </row>
    <row r="114" spans="1:30" x14ac:dyDescent="0.3">
      <c r="A114" t="s">
        <v>91</v>
      </c>
      <c r="B114" t="s">
        <v>25</v>
      </c>
      <c r="C114" t="s">
        <v>26</v>
      </c>
      <c r="D114" t="s">
        <v>27</v>
      </c>
      <c r="E114" t="s">
        <v>28</v>
      </c>
      <c r="F114" t="s">
        <v>28</v>
      </c>
      <c r="G114" t="s">
        <v>28</v>
      </c>
      <c r="H114" t="s">
        <v>28</v>
      </c>
      <c r="I114" t="s">
        <v>28</v>
      </c>
      <c r="J114" t="s">
        <v>28</v>
      </c>
      <c r="K114" t="s">
        <v>28</v>
      </c>
      <c r="L114" t="s">
        <v>28</v>
      </c>
      <c r="M114" t="s">
        <v>28</v>
      </c>
      <c r="N114" t="s">
        <v>28</v>
      </c>
      <c r="O114" t="s">
        <v>28</v>
      </c>
      <c r="P114" t="s">
        <v>28</v>
      </c>
      <c r="Q114" t="s">
        <v>28</v>
      </c>
      <c r="R114" t="s">
        <v>28</v>
      </c>
      <c r="S114" t="s">
        <v>28</v>
      </c>
      <c r="T114" t="s">
        <v>28</v>
      </c>
      <c r="U114" t="s">
        <v>28</v>
      </c>
      <c r="V114" t="s">
        <v>28</v>
      </c>
      <c r="W114" t="s">
        <v>28</v>
      </c>
      <c r="X114" t="s">
        <v>28</v>
      </c>
      <c r="Y114" t="s">
        <v>28</v>
      </c>
      <c r="Z114" t="s">
        <v>28</v>
      </c>
      <c r="AA114" t="s">
        <v>28</v>
      </c>
      <c r="AB114" t="s">
        <v>28</v>
      </c>
      <c r="AC114" t="s">
        <v>28</v>
      </c>
      <c r="AD114" t="s">
        <v>28</v>
      </c>
    </row>
    <row r="115" spans="1:30" x14ac:dyDescent="0.3">
      <c r="A115" t="s">
        <v>91</v>
      </c>
      <c r="B115" t="s">
        <v>29</v>
      </c>
      <c r="C115" t="s">
        <v>30</v>
      </c>
      <c r="E115">
        <v>2401123.2400000002</v>
      </c>
      <c r="F115">
        <v>2270069.52</v>
      </c>
      <c r="G115">
        <v>2210613.66</v>
      </c>
      <c r="H115">
        <v>2126082.5099999998</v>
      </c>
      <c r="I115">
        <v>2187241.1800000002</v>
      </c>
      <c r="J115">
        <v>2151328.14</v>
      </c>
      <c r="K115">
        <v>2055434.78</v>
      </c>
      <c r="L115">
        <v>1980240.08</v>
      </c>
      <c r="M115">
        <v>2181852.5499999998</v>
      </c>
      <c r="N115">
        <v>2196997.7200000002</v>
      </c>
      <c r="O115">
        <v>2342904.2799999998</v>
      </c>
      <c r="P115">
        <v>2414532.19</v>
      </c>
      <c r="Q115">
        <v>2393857.6</v>
      </c>
      <c r="R115">
        <v>2557421.29</v>
      </c>
      <c r="S115">
        <v>2292299.13</v>
      </c>
      <c r="T115">
        <v>2314132.81</v>
      </c>
      <c r="U115">
        <v>2273078.6800000002</v>
      </c>
      <c r="V115">
        <v>2275862.58</v>
      </c>
      <c r="W115">
        <v>2254350.36</v>
      </c>
      <c r="X115">
        <v>2143092.5099999998</v>
      </c>
      <c r="Y115">
        <v>2208494.1800000002</v>
      </c>
      <c r="Z115">
        <v>2252587.17</v>
      </c>
      <c r="AA115">
        <v>2196411.92</v>
      </c>
      <c r="AB115">
        <v>2223257.44</v>
      </c>
      <c r="AC115">
        <v>2269959.14</v>
      </c>
      <c r="AD115">
        <v>2360731.4700000002</v>
      </c>
    </row>
    <row r="116" spans="1:30" x14ac:dyDescent="0.3">
      <c r="A116" t="s">
        <v>91</v>
      </c>
      <c r="B116" t="s">
        <v>29</v>
      </c>
      <c r="C116" t="s">
        <v>31</v>
      </c>
      <c r="D116" t="s">
        <v>30</v>
      </c>
      <c r="E116">
        <v>2170483.2400000002</v>
      </c>
      <c r="F116">
        <v>1996879.52</v>
      </c>
      <c r="G116">
        <v>1965912.16</v>
      </c>
      <c r="H116">
        <v>2069024.51</v>
      </c>
      <c r="I116">
        <v>1968120.18</v>
      </c>
      <c r="J116">
        <v>1931868.14</v>
      </c>
      <c r="K116">
        <v>1879356.78</v>
      </c>
      <c r="L116">
        <v>1838750.08</v>
      </c>
      <c r="M116">
        <v>1932614.55</v>
      </c>
      <c r="N116">
        <v>1942944.37</v>
      </c>
      <c r="O116">
        <v>2005752.28</v>
      </c>
      <c r="P116">
        <v>2087649.69</v>
      </c>
      <c r="Q116">
        <v>2118681.2599999998</v>
      </c>
      <c r="R116">
        <v>2239633.79</v>
      </c>
      <c r="S116">
        <v>2166646.13</v>
      </c>
      <c r="T116">
        <v>2200102.81</v>
      </c>
      <c r="U116">
        <v>2178476.66</v>
      </c>
      <c r="V116">
        <v>2167452.08</v>
      </c>
      <c r="W116">
        <v>2171016.36</v>
      </c>
      <c r="X116">
        <v>2052082.51</v>
      </c>
      <c r="Y116">
        <v>2124184.0699999998</v>
      </c>
      <c r="Z116">
        <v>2164601.41</v>
      </c>
      <c r="AA116">
        <v>2100146.92</v>
      </c>
      <c r="AB116">
        <v>2090753.94</v>
      </c>
      <c r="AC116">
        <v>2133098.64</v>
      </c>
      <c r="AD116">
        <v>2235901.2599999998</v>
      </c>
    </row>
    <row r="117" spans="1:30" x14ac:dyDescent="0.3">
      <c r="A117" t="s">
        <v>91</v>
      </c>
      <c r="B117" t="s">
        <v>29</v>
      </c>
      <c r="C117" t="s">
        <v>31</v>
      </c>
      <c r="D117" t="s">
        <v>32</v>
      </c>
      <c r="E117">
        <v>1998668.75</v>
      </c>
      <c r="F117">
        <v>1864722.02</v>
      </c>
      <c r="G117">
        <v>1850045.16</v>
      </c>
      <c r="H117">
        <v>1972615.28</v>
      </c>
      <c r="I117">
        <v>1825405.46</v>
      </c>
      <c r="J117">
        <v>1845145.14</v>
      </c>
      <c r="K117">
        <v>1827670.25</v>
      </c>
      <c r="L117">
        <v>1831896.08</v>
      </c>
      <c r="M117">
        <v>1837518.55</v>
      </c>
      <c r="N117">
        <v>1856631.37</v>
      </c>
      <c r="O117">
        <v>1886023.95</v>
      </c>
      <c r="P117">
        <v>2006386.69</v>
      </c>
      <c r="Q117">
        <v>2032924.28</v>
      </c>
      <c r="R117">
        <v>2130161.7200000002</v>
      </c>
      <c r="S117">
        <v>2076569.01</v>
      </c>
      <c r="T117">
        <v>2072817.3</v>
      </c>
      <c r="U117">
        <v>2076965.18</v>
      </c>
      <c r="V117">
        <v>2076965.18</v>
      </c>
      <c r="W117">
        <v>2082291.76</v>
      </c>
      <c r="X117">
        <v>2047847.31</v>
      </c>
      <c r="Y117">
        <v>2042948.07</v>
      </c>
      <c r="Z117">
        <v>2012270.2</v>
      </c>
      <c r="AA117">
        <v>2002629.91</v>
      </c>
      <c r="AB117">
        <v>1994818.75</v>
      </c>
      <c r="AC117">
        <v>2066504.64</v>
      </c>
      <c r="AD117">
        <v>2142985.2599999998</v>
      </c>
    </row>
    <row r="118" spans="1:30" x14ac:dyDescent="0.3">
      <c r="A118" t="s">
        <v>91</v>
      </c>
      <c r="B118" t="s">
        <v>29</v>
      </c>
      <c r="C118" t="s">
        <v>31</v>
      </c>
      <c r="D118" t="s">
        <v>33</v>
      </c>
      <c r="E118">
        <v>57175.49</v>
      </c>
      <c r="F118">
        <v>31390.5</v>
      </c>
      <c r="G118">
        <v>12260</v>
      </c>
      <c r="H118">
        <v>2899.23</v>
      </c>
      <c r="I118">
        <v>58597.72</v>
      </c>
      <c r="J118">
        <v>6475</v>
      </c>
      <c r="K118">
        <v>742.53</v>
      </c>
      <c r="L118">
        <v>4710</v>
      </c>
      <c r="M118">
        <v>24380</v>
      </c>
      <c r="N118">
        <v>4920</v>
      </c>
      <c r="O118">
        <v>14084.33</v>
      </c>
      <c r="P118">
        <v>18445</v>
      </c>
      <c r="Q118">
        <v>10413.98</v>
      </c>
      <c r="R118">
        <v>16153.47</v>
      </c>
      <c r="S118">
        <v>2487.12</v>
      </c>
      <c r="T118">
        <v>35781.31</v>
      </c>
      <c r="U118">
        <v>12468.48</v>
      </c>
      <c r="V118">
        <v>3806.7</v>
      </c>
      <c r="Z118">
        <v>74528.210000000006</v>
      </c>
      <c r="AA118">
        <v>7357.01</v>
      </c>
      <c r="AB118">
        <v>22504.19</v>
      </c>
      <c r="AD118">
        <v>9460</v>
      </c>
    </row>
    <row r="119" spans="1:30" x14ac:dyDescent="0.3">
      <c r="A119" t="s">
        <v>91</v>
      </c>
      <c r="B119" t="s">
        <v>29</v>
      </c>
      <c r="C119" t="s">
        <v>31</v>
      </c>
      <c r="D119" t="s">
        <v>34</v>
      </c>
      <c r="E119">
        <v>114639</v>
      </c>
      <c r="F119">
        <v>100767</v>
      </c>
      <c r="G119">
        <v>103607</v>
      </c>
      <c r="H119">
        <v>93510</v>
      </c>
      <c r="I119">
        <v>84117</v>
      </c>
      <c r="J119">
        <v>80248</v>
      </c>
      <c r="K119">
        <v>50944</v>
      </c>
      <c r="L119">
        <v>2144</v>
      </c>
      <c r="M119">
        <v>70716</v>
      </c>
      <c r="N119">
        <v>81393</v>
      </c>
      <c r="O119">
        <v>105644</v>
      </c>
      <c r="P119">
        <v>62818</v>
      </c>
      <c r="Q119">
        <v>75343</v>
      </c>
      <c r="R119">
        <v>93318.6</v>
      </c>
      <c r="S119">
        <v>87590</v>
      </c>
      <c r="T119">
        <v>91504.2</v>
      </c>
      <c r="U119">
        <v>89043</v>
      </c>
      <c r="V119">
        <v>86680.2</v>
      </c>
      <c r="W119">
        <v>88724.6</v>
      </c>
      <c r="X119">
        <v>4235.2</v>
      </c>
      <c r="Y119">
        <v>81236</v>
      </c>
      <c r="Z119">
        <v>77803</v>
      </c>
      <c r="AA119">
        <v>90160</v>
      </c>
      <c r="AB119">
        <v>73431</v>
      </c>
      <c r="AC119">
        <v>66594</v>
      </c>
      <c r="AD119">
        <v>83456</v>
      </c>
    </row>
    <row r="120" spans="1:30" x14ac:dyDescent="0.3">
      <c r="A120" t="s">
        <v>91</v>
      </c>
      <c r="B120" t="s">
        <v>29</v>
      </c>
      <c r="C120" t="s">
        <v>35</v>
      </c>
      <c r="D120" t="s">
        <v>30</v>
      </c>
      <c r="E120">
        <v>230640</v>
      </c>
      <c r="F120">
        <v>273190</v>
      </c>
      <c r="G120">
        <v>244701.5</v>
      </c>
      <c r="H120">
        <v>57058</v>
      </c>
      <c r="I120">
        <v>219121</v>
      </c>
      <c r="J120">
        <v>219460</v>
      </c>
      <c r="K120">
        <v>176078</v>
      </c>
      <c r="L120">
        <v>141490</v>
      </c>
      <c r="M120">
        <v>249238</v>
      </c>
      <c r="N120">
        <v>254053.35</v>
      </c>
      <c r="O120">
        <v>337152</v>
      </c>
      <c r="P120">
        <v>326882.5</v>
      </c>
      <c r="Q120">
        <v>275176.34000000003</v>
      </c>
      <c r="R120">
        <v>317787.5</v>
      </c>
      <c r="S120">
        <v>125653</v>
      </c>
      <c r="T120">
        <v>114030</v>
      </c>
      <c r="U120">
        <v>94602.02</v>
      </c>
      <c r="V120">
        <v>108410.5</v>
      </c>
      <c r="W120">
        <v>83334</v>
      </c>
      <c r="X120">
        <v>91010</v>
      </c>
      <c r="Y120">
        <v>84310.11</v>
      </c>
      <c r="Z120">
        <v>87985.76</v>
      </c>
      <c r="AA120">
        <v>96265</v>
      </c>
      <c r="AB120">
        <v>132503.5</v>
      </c>
      <c r="AC120">
        <v>136860.5</v>
      </c>
      <c r="AD120">
        <v>124830.21</v>
      </c>
    </row>
    <row r="121" spans="1:30" x14ac:dyDescent="0.3">
      <c r="A121" t="s">
        <v>91</v>
      </c>
      <c r="B121" t="s">
        <v>36</v>
      </c>
      <c r="C121" t="s">
        <v>30</v>
      </c>
      <c r="E121">
        <v>-1440197.67</v>
      </c>
      <c r="F121">
        <v>-1648616.07</v>
      </c>
      <c r="G121">
        <v>-1604567.76</v>
      </c>
      <c r="H121">
        <v>-1503155.64</v>
      </c>
      <c r="I121">
        <v>-1615326.25</v>
      </c>
      <c r="J121">
        <v>-1611230.01</v>
      </c>
      <c r="K121">
        <v>-1662064.57</v>
      </c>
      <c r="L121">
        <v>-1588236.1</v>
      </c>
      <c r="M121">
        <v>-1879178.27</v>
      </c>
      <c r="N121">
        <v>-1840976.58</v>
      </c>
      <c r="O121">
        <v>-1963955.41</v>
      </c>
      <c r="P121">
        <v>-2039905.07</v>
      </c>
      <c r="Q121">
        <v>-1892301.74</v>
      </c>
      <c r="R121">
        <v>-1860273.85</v>
      </c>
      <c r="S121">
        <v>-1724742.83</v>
      </c>
      <c r="T121">
        <v>-1720816.84</v>
      </c>
      <c r="U121">
        <v>-1659256.4</v>
      </c>
      <c r="V121">
        <v>-1778733.1</v>
      </c>
      <c r="W121">
        <v>-1798991.93</v>
      </c>
      <c r="X121">
        <v>-1574730.16</v>
      </c>
      <c r="Y121">
        <v>-1779223.4</v>
      </c>
      <c r="Z121">
        <v>-1882549.47</v>
      </c>
      <c r="AA121">
        <v>-1868972.86</v>
      </c>
      <c r="AB121">
        <v>-1699486.97</v>
      </c>
      <c r="AC121">
        <v>-1750319.11</v>
      </c>
      <c r="AD121">
        <v>-1595303.77</v>
      </c>
    </row>
    <row r="122" spans="1:30" x14ac:dyDescent="0.3">
      <c r="A122" t="s">
        <v>91</v>
      </c>
      <c r="B122" t="s">
        <v>36</v>
      </c>
      <c r="C122" t="s">
        <v>18</v>
      </c>
      <c r="D122" t="s">
        <v>30</v>
      </c>
      <c r="E122">
        <v>-1014459.89</v>
      </c>
      <c r="F122">
        <v>-1211121.8799999999</v>
      </c>
      <c r="G122">
        <v>-1195215.8400000001</v>
      </c>
      <c r="H122">
        <v>-1054294.95</v>
      </c>
      <c r="I122">
        <v>-1172261.52</v>
      </c>
      <c r="J122">
        <v>-1137780.6299999999</v>
      </c>
      <c r="K122">
        <v>-1191249.71</v>
      </c>
      <c r="L122">
        <v>-1244106.98</v>
      </c>
      <c r="M122">
        <v>-1311940.1499999999</v>
      </c>
      <c r="N122">
        <v>-1383202.17</v>
      </c>
      <c r="O122">
        <v>-1498894.64</v>
      </c>
      <c r="P122">
        <v>-1562700.03</v>
      </c>
      <c r="Q122">
        <v>-1444356.33</v>
      </c>
      <c r="R122">
        <v>-1421815.54</v>
      </c>
      <c r="S122">
        <v>-1230688.6399999999</v>
      </c>
      <c r="T122">
        <v>-1256672.03</v>
      </c>
      <c r="U122">
        <v>-1154777.1200000001</v>
      </c>
      <c r="V122">
        <v>-1264303.58</v>
      </c>
      <c r="W122">
        <v>-1265934.1399999999</v>
      </c>
      <c r="X122">
        <v>-1188377.45</v>
      </c>
      <c r="Y122">
        <v>-1266319.43</v>
      </c>
      <c r="Z122">
        <v>-1250761.46</v>
      </c>
      <c r="AA122">
        <v>-1317455.3500000001</v>
      </c>
      <c r="AB122">
        <v>-1271302.29</v>
      </c>
      <c r="AC122">
        <v>-1250000.17</v>
      </c>
      <c r="AD122">
        <v>-1174632.1000000001</v>
      </c>
    </row>
    <row r="123" spans="1:30" x14ac:dyDescent="0.3">
      <c r="A123" t="s">
        <v>91</v>
      </c>
      <c r="B123" t="s">
        <v>36</v>
      </c>
      <c r="C123" t="s">
        <v>37</v>
      </c>
      <c r="D123" t="s">
        <v>30</v>
      </c>
      <c r="E123">
        <v>-425737.78</v>
      </c>
      <c r="F123">
        <v>-437494.19</v>
      </c>
      <c r="G123">
        <v>-409351.92</v>
      </c>
      <c r="H123">
        <v>-448860.69</v>
      </c>
      <c r="I123">
        <v>-443064.73</v>
      </c>
      <c r="J123">
        <v>-473449.38</v>
      </c>
      <c r="K123">
        <v>-470814.86</v>
      </c>
      <c r="L123">
        <v>-344129.12</v>
      </c>
      <c r="M123">
        <v>-567238.12</v>
      </c>
      <c r="N123">
        <v>-457774.41</v>
      </c>
      <c r="O123">
        <v>-465060.77</v>
      </c>
      <c r="P123">
        <v>-477205.04</v>
      </c>
      <c r="Q123">
        <v>-447945.41</v>
      </c>
      <c r="R123">
        <v>-438458.31</v>
      </c>
      <c r="S123">
        <v>-494054.19</v>
      </c>
      <c r="T123">
        <v>-464144.81</v>
      </c>
      <c r="U123">
        <v>-504479.28</v>
      </c>
      <c r="V123">
        <v>-514429.52</v>
      </c>
      <c r="W123">
        <v>-533057.79</v>
      </c>
      <c r="X123">
        <v>-386352.71</v>
      </c>
      <c r="Y123">
        <v>-512903.97</v>
      </c>
      <c r="Z123">
        <v>-631788.01</v>
      </c>
      <c r="AA123">
        <v>-551517.51</v>
      </c>
      <c r="AB123">
        <v>-428184.68</v>
      </c>
      <c r="AC123">
        <v>-500318.94</v>
      </c>
      <c r="AD123">
        <v>-420671.67</v>
      </c>
    </row>
    <row r="124" spans="1:30" x14ac:dyDescent="0.3">
      <c r="A124" t="s">
        <v>91</v>
      </c>
      <c r="B124" t="s">
        <v>38</v>
      </c>
      <c r="C124" t="s">
        <v>30</v>
      </c>
      <c r="E124">
        <v>960925.57</v>
      </c>
      <c r="F124">
        <v>621453.44999999995</v>
      </c>
      <c r="G124">
        <v>606045.9</v>
      </c>
      <c r="H124">
        <v>622926.87</v>
      </c>
      <c r="I124">
        <v>571914.93000000005</v>
      </c>
      <c r="J124">
        <v>540098.13</v>
      </c>
      <c r="K124">
        <v>393370.21</v>
      </c>
      <c r="L124">
        <v>392003.98</v>
      </c>
      <c r="M124">
        <v>302674.28000000003</v>
      </c>
      <c r="N124">
        <v>356021.14</v>
      </c>
      <c r="O124">
        <v>378948.87</v>
      </c>
      <c r="P124">
        <v>374627.12</v>
      </c>
      <c r="Q124">
        <v>501555.86</v>
      </c>
      <c r="R124">
        <v>697147.44</v>
      </c>
      <c r="S124">
        <v>567556.30000000005</v>
      </c>
      <c r="T124">
        <v>593315.97</v>
      </c>
      <c r="U124">
        <v>613822.28</v>
      </c>
      <c r="V124">
        <v>497129.48</v>
      </c>
      <c r="W124">
        <v>455358.43</v>
      </c>
      <c r="X124">
        <v>568362.35</v>
      </c>
      <c r="Y124">
        <v>429270.78</v>
      </c>
      <c r="Z124">
        <v>370037.7</v>
      </c>
      <c r="AA124">
        <v>327439.06</v>
      </c>
      <c r="AB124">
        <v>523770.47</v>
      </c>
      <c r="AC124">
        <v>519640.03</v>
      </c>
      <c r="AD124">
        <v>765427.7</v>
      </c>
    </row>
    <row r="125" spans="1:30" x14ac:dyDescent="0.3">
      <c r="A125" t="s">
        <v>91</v>
      </c>
      <c r="B125" t="s">
        <v>39</v>
      </c>
      <c r="C125" t="s">
        <v>30</v>
      </c>
      <c r="E125">
        <v>-104596.62</v>
      </c>
      <c r="F125">
        <v>-172437.16</v>
      </c>
      <c r="G125">
        <v>-187752.88</v>
      </c>
      <c r="H125">
        <v>-194679.86</v>
      </c>
      <c r="I125">
        <v>-193104.06</v>
      </c>
      <c r="J125">
        <v>-191487.52</v>
      </c>
      <c r="K125">
        <v>-191235.18</v>
      </c>
      <c r="L125">
        <v>-192187.59</v>
      </c>
      <c r="M125">
        <v>-191085.02</v>
      </c>
      <c r="N125">
        <v>-202117.79</v>
      </c>
      <c r="O125">
        <v>-213060.6</v>
      </c>
      <c r="P125">
        <v>-208044.11</v>
      </c>
      <c r="Q125">
        <v>-220367.08</v>
      </c>
      <c r="R125">
        <v>-197796.88</v>
      </c>
      <c r="S125">
        <v>-233432.2</v>
      </c>
      <c r="T125">
        <v>-222647.35</v>
      </c>
      <c r="U125">
        <v>-213161.57</v>
      </c>
      <c r="V125">
        <v>-215758.19</v>
      </c>
      <c r="W125">
        <v>-214989.96</v>
      </c>
      <c r="X125">
        <v>-212711.99</v>
      </c>
      <c r="Y125">
        <v>-216661.48</v>
      </c>
      <c r="Z125">
        <v>-237014.19</v>
      </c>
      <c r="AA125">
        <v>-165986.60999999999</v>
      </c>
      <c r="AB125">
        <v>-261577.01</v>
      </c>
      <c r="AC125">
        <v>-258961.08</v>
      </c>
      <c r="AD125">
        <v>-228350.37</v>
      </c>
    </row>
    <row r="126" spans="1:30" x14ac:dyDescent="0.3">
      <c r="A126" t="s">
        <v>91</v>
      </c>
      <c r="B126" t="s">
        <v>39</v>
      </c>
      <c r="C126" t="s">
        <v>40</v>
      </c>
      <c r="D126" t="s">
        <v>30</v>
      </c>
      <c r="E126">
        <v>-103096.62</v>
      </c>
      <c r="F126">
        <v>-172437.16</v>
      </c>
      <c r="G126">
        <v>-187166.63</v>
      </c>
      <c r="H126">
        <v>-194093.61</v>
      </c>
      <c r="I126">
        <v>-192517.81</v>
      </c>
      <c r="J126">
        <v>-190901.27</v>
      </c>
      <c r="K126">
        <v>-190648.93</v>
      </c>
      <c r="L126">
        <v>-187296.34</v>
      </c>
      <c r="M126">
        <v>-183885.02</v>
      </c>
      <c r="N126">
        <v>-186562.79</v>
      </c>
      <c r="O126">
        <v>-204885.6</v>
      </c>
      <c r="P126">
        <v>-201324.11</v>
      </c>
      <c r="Q126">
        <v>-208802.08</v>
      </c>
      <c r="R126">
        <v>-196796.88</v>
      </c>
      <c r="S126">
        <v>-217387.2</v>
      </c>
      <c r="T126">
        <v>-215197.35</v>
      </c>
      <c r="U126">
        <v>-206731.57</v>
      </c>
      <c r="V126">
        <v>-208758.19</v>
      </c>
      <c r="W126">
        <v>-207869.96</v>
      </c>
      <c r="X126">
        <v>-204301.99</v>
      </c>
      <c r="Y126">
        <v>-209241.48</v>
      </c>
      <c r="Z126">
        <v>-236014.19</v>
      </c>
      <c r="AA126">
        <v>-156821.60999999999</v>
      </c>
      <c r="AB126">
        <v>-254862.01</v>
      </c>
      <c r="AC126">
        <v>-251616.08</v>
      </c>
      <c r="AD126">
        <v>-221875.16</v>
      </c>
    </row>
    <row r="127" spans="1:30" x14ac:dyDescent="0.3">
      <c r="A127" t="s">
        <v>91</v>
      </c>
      <c r="B127" t="s">
        <v>39</v>
      </c>
      <c r="C127" t="s">
        <v>41</v>
      </c>
      <c r="D127" t="s">
        <v>30</v>
      </c>
      <c r="E127">
        <v>-1500</v>
      </c>
      <c r="G127">
        <v>-586.25</v>
      </c>
      <c r="H127">
        <v>-586.25</v>
      </c>
      <c r="I127">
        <v>-586.25</v>
      </c>
      <c r="J127">
        <v>-586.25</v>
      </c>
      <c r="K127">
        <v>-586.25</v>
      </c>
      <c r="L127">
        <v>-4891.25</v>
      </c>
      <c r="M127">
        <v>-7200</v>
      </c>
      <c r="N127">
        <v>-15555</v>
      </c>
      <c r="O127">
        <v>-8175</v>
      </c>
      <c r="P127">
        <v>-6720</v>
      </c>
      <c r="Q127">
        <v>-11565</v>
      </c>
      <c r="R127">
        <v>-1000</v>
      </c>
      <c r="S127">
        <v>-16045</v>
      </c>
      <c r="T127">
        <v>-7450</v>
      </c>
      <c r="U127">
        <v>-6430</v>
      </c>
      <c r="V127">
        <v>-7000</v>
      </c>
      <c r="W127">
        <v>-7120</v>
      </c>
      <c r="X127">
        <v>-8410</v>
      </c>
      <c r="Y127">
        <v>-7420</v>
      </c>
      <c r="Z127">
        <v>-1000</v>
      </c>
      <c r="AA127">
        <v>-9165</v>
      </c>
      <c r="AB127">
        <v>-6715</v>
      </c>
      <c r="AC127">
        <v>-7345</v>
      </c>
      <c r="AD127">
        <v>-6475.21</v>
      </c>
    </row>
    <row r="128" spans="1:30" x14ac:dyDescent="0.3">
      <c r="A128" t="s">
        <v>91</v>
      </c>
      <c r="B128" t="s">
        <v>42</v>
      </c>
      <c r="C128" t="s">
        <v>30</v>
      </c>
      <c r="E128">
        <v>856328.95</v>
      </c>
      <c r="F128">
        <v>449016.29</v>
      </c>
      <c r="G128">
        <v>418293.02</v>
      </c>
      <c r="H128">
        <v>428247.01</v>
      </c>
      <c r="I128">
        <v>378810.87</v>
      </c>
      <c r="J128">
        <v>348610.61</v>
      </c>
      <c r="K128">
        <v>202135.03</v>
      </c>
      <c r="L128">
        <v>199816.39</v>
      </c>
      <c r="M128">
        <v>111589.26</v>
      </c>
      <c r="N128">
        <v>153903.35</v>
      </c>
      <c r="O128">
        <v>165888.26999999999</v>
      </c>
      <c r="P128">
        <v>166583.01</v>
      </c>
      <c r="Q128">
        <v>281188.78000000003</v>
      </c>
      <c r="R128">
        <v>499350.56</v>
      </c>
      <c r="S128">
        <v>334124.09999999998</v>
      </c>
      <c r="T128">
        <v>370668.62</v>
      </c>
      <c r="U128">
        <v>400660.71</v>
      </c>
      <c r="V128">
        <v>281371.28999999998</v>
      </c>
      <c r="W128">
        <v>240368.47</v>
      </c>
      <c r="X128">
        <v>355650.36</v>
      </c>
      <c r="Y128">
        <v>212609.3</v>
      </c>
      <c r="Z128">
        <v>133023.51</v>
      </c>
      <c r="AA128">
        <v>161452.45000000001</v>
      </c>
      <c r="AB128">
        <v>262193.46000000002</v>
      </c>
      <c r="AC128">
        <v>260678.95</v>
      </c>
      <c r="AD128">
        <v>537077.32999999996</v>
      </c>
    </row>
    <row r="129" spans="1:30" x14ac:dyDescent="0.3">
      <c r="A129" t="s">
        <v>91</v>
      </c>
      <c r="B129" t="s">
        <v>43</v>
      </c>
      <c r="C129" t="s">
        <v>30</v>
      </c>
      <c r="E129">
        <v>-156309</v>
      </c>
    </row>
    <row r="130" spans="1:30" x14ac:dyDescent="0.3">
      <c r="A130" t="s">
        <v>91</v>
      </c>
      <c r="B130" t="s">
        <v>43</v>
      </c>
      <c r="C130" t="s">
        <v>123</v>
      </c>
      <c r="D130" t="s">
        <v>30</v>
      </c>
      <c r="E130">
        <v>-56034</v>
      </c>
    </row>
    <row r="131" spans="1:30" x14ac:dyDescent="0.3">
      <c r="A131" t="s">
        <v>91</v>
      </c>
      <c r="B131" t="s">
        <v>43</v>
      </c>
      <c r="C131" t="s">
        <v>124</v>
      </c>
      <c r="D131" t="s">
        <v>30</v>
      </c>
      <c r="E131">
        <v>-100275</v>
      </c>
    </row>
    <row r="132" spans="1:30" x14ac:dyDescent="0.3">
      <c r="A132" t="s">
        <v>91</v>
      </c>
      <c r="B132" t="s">
        <v>44</v>
      </c>
      <c r="C132" t="s">
        <v>30</v>
      </c>
      <c r="E132">
        <v>700019.95</v>
      </c>
      <c r="F132">
        <v>449016.29</v>
      </c>
      <c r="G132">
        <v>418293.02</v>
      </c>
      <c r="H132">
        <v>428247.01</v>
      </c>
      <c r="I132">
        <v>378810.87</v>
      </c>
      <c r="J132">
        <v>348610.61</v>
      </c>
      <c r="K132">
        <v>202135.03</v>
      </c>
      <c r="L132">
        <v>199816.39</v>
      </c>
      <c r="M132">
        <v>111589.26</v>
      </c>
      <c r="N132">
        <v>153903.35</v>
      </c>
      <c r="O132">
        <v>165888.26999999999</v>
      </c>
      <c r="P132">
        <v>166583.01</v>
      </c>
      <c r="Q132">
        <v>281188.78000000003</v>
      </c>
      <c r="R132">
        <v>499350.56</v>
      </c>
      <c r="S132">
        <v>334124.09999999998</v>
      </c>
      <c r="T132">
        <v>370668.62</v>
      </c>
      <c r="U132">
        <v>400660.71</v>
      </c>
      <c r="V132">
        <v>281371.28999999998</v>
      </c>
      <c r="W132">
        <v>240368.47</v>
      </c>
      <c r="X132">
        <v>355650.36</v>
      </c>
      <c r="Y132">
        <v>212609.3</v>
      </c>
      <c r="Z132">
        <v>133023.51</v>
      </c>
      <c r="AA132">
        <v>161452.45000000001</v>
      </c>
      <c r="AB132">
        <v>262193.46000000002</v>
      </c>
      <c r="AC132">
        <v>260678.95</v>
      </c>
      <c r="AD132">
        <v>537077.32999999996</v>
      </c>
    </row>
    <row r="133" spans="1:30" x14ac:dyDescent="0.3">
      <c r="A133" t="s">
        <v>91</v>
      </c>
      <c r="B133" t="s">
        <v>45</v>
      </c>
      <c r="C133" t="s">
        <v>30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</row>
    <row r="134" spans="1:30" x14ac:dyDescent="0.3">
      <c r="A134" t="s">
        <v>91</v>
      </c>
      <c r="B134" t="s">
        <v>46</v>
      </c>
      <c r="C134" t="s">
        <v>30</v>
      </c>
      <c r="E134">
        <v>700019.95</v>
      </c>
      <c r="F134">
        <v>449016.29</v>
      </c>
      <c r="G134">
        <v>418293.02</v>
      </c>
      <c r="H134">
        <v>428247.01</v>
      </c>
      <c r="I134">
        <v>378810.87</v>
      </c>
      <c r="J134">
        <v>348610.61</v>
      </c>
      <c r="K134">
        <v>202135.03</v>
      </c>
      <c r="L134">
        <v>199816.39</v>
      </c>
      <c r="M134">
        <v>111589.26</v>
      </c>
      <c r="N134">
        <v>153903.35</v>
      </c>
      <c r="O134">
        <v>165888.26999999999</v>
      </c>
      <c r="P134">
        <v>166583.01</v>
      </c>
      <c r="Q134">
        <v>281188.78000000003</v>
      </c>
      <c r="R134">
        <v>499350.56</v>
      </c>
      <c r="S134">
        <v>334124.09999999998</v>
      </c>
      <c r="T134">
        <v>370668.62</v>
      </c>
      <c r="U134">
        <v>400660.71</v>
      </c>
      <c r="V134">
        <v>281371.28999999998</v>
      </c>
      <c r="W134">
        <v>240368.47</v>
      </c>
      <c r="X134">
        <v>355650.36</v>
      </c>
      <c r="Y134">
        <v>212609.3</v>
      </c>
      <c r="Z134">
        <v>133023.51</v>
      </c>
      <c r="AA134">
        <v>161452.45000000001</v>
      </c>
      <c r="AB134">
        <v>262193.46000000002</v>
      </c>
      <c r="AC134">
        <v>260678.95</v>
      </c>
      <c r="AD134">
        <v>537077.32999999996</v>
      </c>
    </row>
    <row r="135" spans="1:30" x14ac:dyDescent="0.3">
      <c r="A135" t="s">
        <v>91</v>
      </c>
      <c r="B135" t="s">
        <v>30</v>
      </c>
      <c r="C135" t="s">
        <v>30</v>
      </c>
      <c r="E135">
        <v>700019.95</v>
      </c>
      <c r="F135">
        <v>449016.29</v>
      </c>
      <c r="G135">
        <v>418293.02</v>
      </c>
      <c r="H135">
        <v>428247.01</v>
      </c>
      <c r="I135">
        <v>378810.87</v>
      </c>
      <c r="J135">
        <v>348610.61</v>
      </c>
      <c r="K135">
        <v>202135.03</v>
      </c>
      <c r="L135">
        <v>199816.39</v>
      </c>
      <c r="M135">
        <v>111589.26</v>
      </c>
      <c r="N135">
        <v>153903.35</v>
      </c>
      <c r="O135">
        <v>165888.26999999999</v>
      </c>
      <c r="P135">
        <v>166583.01</v>
      </c>
      <c r="Q135">
        <v>281188.78000000003</v>
      </c>
      <c r="R135">
        <v>499350.56</v>
      </c>
      <c r="S135">
        <v>334124.09999999998</v>
      </c>
      <c r="T135">
        <v>370668.62</v>
      </c>
      <c r="U135">
        <v>400660.71</v>
      </c>
      <c r="V135">
        <v>281371.28999999998</v>
      </c>
      <c r="W135">
        <v>240368.47</v>
      </c>
      <c r="X135">
        <v>355650.36</v>
      </c>
      <c r="Y135">
        <v>212609.3</v>
      </c>
      <c r="Z135">
        <v>133023.51</v>
      </c>
      <c r="AA135">
        <v>161452.45000000001</v>
      </c>
      <c r="AB135">
        <v>262193.46000000002</v>
      </c>
      <c r="AC135">
        <v>260678.95</v>
      </c>
      <c r="AD135">
        <v>537077.32999999996</v>
      </c>
    </row>
    <row r="136" spans="1:30" x14ac:dyDescent="0.3">
      <c r="A136" t="s">
        <v>91</v>
      </c>
      <c r="B136" t="s">
        <v>30</v>
      </c>
    </row>
    <row r="137" spans="1:30" x14ac:dyDescent="0.3">
      <c r="A137" t="s">
        <v>91</v>
      </c>
    </row>
    <row r="138" spans="1:30" x14ac:dyDescent="0.3">
      <c r="A138" t="s">
        <v>91</v>
      </c>
      <c r="B138" t="s">
        <v>133</v>
      </c>
    </row>
    <row r="139" spans="1:30" x14ac:dyDescent="0.3">
      <c r="A139" t="s">
        <v>92</v>
      </c>
      <c r="B139" t="s">
        <v>22</v>
      </c>
      <c r="E139">
        <v>202312</v>
      </c>
      <c r="F139">
        <v>202401</v>
      </c>
      <c r="G139">
        <v>202402</v>
      </c>
      <c r="H139">
        <v>202403</v>
      </c>
      <c r="I139">
        <v>202404</v>
      </c>
      <c r="J139">
        <v>202405</v>
      </c>
      <c r="K139">
        <v>202406</v>
      </c>
      <c r="L139">
        <v>202407</v>
      </c>
      <c r="M139">
        <v>202408</v>
      </c>
      <c r="N139">
        <v>202409</v>
      </c>
      <c r="O139">
        <v>202410</v>
      </c>
      <c r="P139">
        <v>202411</v>
      </c>
      <c r="Q139">
        <v>202412</v>
      </c>
      <c r="R139">
        <v>202501</v>
      </c>
      <c r="S139">
        <v>202502</v>
      </c>
      <c r="T139">
        <v>202503</v>
      </c>
      <c r="U139">
        <v>202504</v>
      </c>
      <c r="V139">
        <v>202505</v>
      </c>
      <c r="W139">
        <v>202506</v>
      </c>
      <c r="X139">
        <v>202507</v>
      </c>
      <c r="Y139">
        <v>202508</v>
      </c>
      <c r="Z139">
        <v>202509</v>
      </c>
      <c r="AA139">
        <v>202510</v>
      </c>
      <c r="AB139">
        <v>202511</v>
      </c>
      <c r="AC139">
        <v>202512</v>
      </c>
      <c r="AD139">
        <v>202601</v>
      </c>
    </row>
    <row r="140" spans="1:30" x14ac:dyDescent="0.3">
      <c r="A140" t="s">
        <v>92</v>
      </c>
      <c r="B140" t="s">
        <v>23</v>
      </c>
      <c r="E140" t="s">
        <v>24</v>
      </c>
      <c r="F140" t="s">
        <v>24</v>
      </c>
      <c r="G140" t="s">
        <v>24</v>
      </c>
      <c r="H140" t="s">
        <v>24</v>
      </c>
      <c r="I140" t="s">
        <v>24</v>
      </c>
      <c r="J140" t="s">
        <v>24</v>
      </c>
      <c r="K140" t="s">
        <v>24</v>
      </c>
      <c r="L140" t="s">
        <v>24</v>
      </c>
      <c r="M140" t="s">
        <v>24</v>
      </c>
      <c r="N140" t="s">
        <v>24</v>
      </c>
      <c r="O140" t="s">
        <v>24</v>
      </c>
      <c r="P140" t="s">
        <v>24</v>
      </c>
      <c r="Q140" t="s">
        <v>24</v>
      </c>
      <c r="R140" t="s">
        <v>24</v>
      </c>
      <c r="S140" t="s">
        <v>24</v>
      </c>
      <c r="T140" t="s">
        <v>24</v>
      </c>
      <c r="U140" t="s">
        <v>24</v>
      </c>
      <c r="V140" t="s">
        <v>24</v>
      </c>
      <c r="W140" t="s">
        <v>24</v>
      </c>
      <c r="X140" t="s">
        <v>24</v>
      </c>
      <c r="Y140" t="s">
        <v>24</v>
      </c>
      <c r="Z140" t="s">
        <v>24</v>
      </c>
      <c r="AA140" t="s">
        <v>24</v>
      </c>
      <c r="AB140" t="s">
        <v>24</v>
      </c>
      <c r="AC140" t="s">
        <v>24</v>
      </c>
      <c r="AD140" t="s">
        <v>24</v>
      </c>
    </row>
    <row r="141" spans="1:30" x14ac:dyDescent="0.3">
      <c r="A141" t="s">
        <v>92</v>
      </c>
      <c r="B141" t="s">
        <v>25</v>
      </c>
      <c r="C141" t="s">
        <v>26</v>
      </c>
      <c r="D141" t="s">
        <v>27</v>
      </c>
      <c r="E141" t="s">
        <v>28</v>
      </c>
      <c r="F141" t="s">
        <v>28</v>
      </c>
      <c r="G141" t="s">
        <v>28</v>
      </c>
      <c r="H141" t="s">
        <v>28</v>
      </c>
      <c r="I141" t="s">
        <v>28</v>
      </c>
      <c r="J141" t="s">
        <v>28</v>
      </c>
      <c r="K141" t="s">
        <v>28</v>
      </c>
      <c r="L141" t="s">
        <v>28</v>
      </c>
      <c r="M141" t="s">
        <v>28</v>
      </c>
      <c r="N141" t="s">
        <v>28</v>
      </c>
      <c r="O141" t="s">
        <v>28</v>
      </c>
      <c r="P141" t="s">
        <v>28</v>
      </c>
      <c r="Q141" t="s">
        <v>28</v>
      </c>
      <c r="R141" t="s">
        <v>28</v>
      </c>
      <c r="S141" t="s">
        <v>28</v>
      </c>
      <c r="T141" t="s">
        <v>28</v>
      </c>
      <c r="U141" t="s">
        <v>28</v>
      </c>
      <c r="V141" t="s">
        <v>28</v>
      </c>
      <c r="W141" t="s">
        <v>28</v>
      </c>
      <c r="X141" t="s">
        <v>28</v>
      </c>
      <c r="Y141" t="s">
        <v>28</v>
      </c>
      <c r="Z141" t="s">
        <v>28</v>
      </c>
      <c r="AA141" t="s">
        <v>28</v>
      </c>
      <c r="AB141" t="s">
        <v>28</v>
      </c>
      <c r="AC141" t="s">
        <v>28</v>
      </c>
      <c r="AD141" t="s">
        <v>28</v>
      </c>
    </row>
    <row r="142" spans="1:30" x14ac:dyDescent="0.3">
      <c r="A142" t="s">
        <v>92</v>
      </c>
      <c r="B142" t="s">
        <v>29</v>
      </c>
      <c r="C142" t="s">
        <v>30</v>
      </c>
      <c r="E142">
        <v>1902111.48</v>
      </c>
      <c r="F142">
        <v>1834304.67</v>
      </c>
      <c r="G142">
        <v>1809578.15</v>
      </c>
      <c r="H142">
        <v>1756738.35</v>
      </c>
      <c r="I142">
        <v>1820511.23</v>
      </c>
      <c r="J142">
        <v>1813567.09</v>
      </c>
      <c r="K142">
        <v>1816982.42</v>
      </c>
      <c r="L142">
        <v>1794659.43</v>
      </c>
      <c r="M142">
        <v>1825554.67</v>
      </c>
      <c r="N142">
        <v>1848757.14</v>
      </c>
      <c r="O142">
        <v>1764308.02</v>
      </c>
      <c r="P142">
        <v>1788706.22</v>
      </c>
      <c r="Q142">
        <v>1830293.92</v>
      </c>
      <c r="R142">
        <v>1877456.13</v>
      </c>
      <c r="S142">
        <v>1926693.49</v>
      </c>
      <c r="T142">
        <v>1962896.6</v>
      </c>
      <c r="U142">
        <v>1954096.15</v>
      </c>
      <c r="V142">
        <v>1968304.15</v>
      </c>
      <c r="W142">
        <v>1937064.13</v>
      </c>
      <c r="X142">
        <v>1944273.2</v>
      </c>
      <c r="Y142">
        <v>1881462.3</v>
      </c>
      <c r="Z142">
        <v>2031801.52</v>
      </c>
      <c r="AA142">
        <v>1879535.73</v>
      </c>
      <c r="AB142">
        <v>1924412.8</v>
      </c>
      <c r="AC142">
        <v>1984841.84</v>
      </c>
      <c r="AD142">
        <v>2036161.97</v>
      </c>
    </row>
    <row r="143" spans="1:30" x14ac:dyDescent="0.3">
      <c r="A143" t="s">
        <v>92</v>
      </c>
      <c r="B143" t="s">
        <v>29</v>
      </c>
      <c r="C143" t="s">
        <v>31</v>
      </c>
      <c r="D143" t="s">
        <v>30</v>
      </c>
      <c r="E143">
        <v>1844754.48</v>
      </c>
      <c r="F143">
        <v>1781388.67</v>
      </c>
      <c r="G143">
        <v>1748488.04</v>
      </c>
      <c r="H143">
        <v>1745268.35</v>
      </c>
      <c r="I143">
        <v>1797501.31</v>
      </c>
      <c r="J143">
        <v>1763910.09</v>
      </c>
      <c r="K143">
        <v>1796752.21</v>
      </c>
      <c r="L143">
        <v>1776699.44</v>
      </c>
      <c r="M143">
        <v>1807564.67</v>
      </c>
      <c r="N143">
        <v>1774497.19</v>
      </c>
      <c r="O143">
        <v>1747058.01</v>
      </c>
      <c r="P143">
        <v>1774476.13</v>
      </c>
      <c r="Q143">
        <v>1744494.5</v>
      </c>
      <c r="R143">
        <v>1797526.13</v>
      </c>
      <c r="S143">
        <v>1844563.49</v>
      </c>
      <c r="T143">
        <v>1880347.6</v>
      </c>
      <c r="U143">
        <v>1865698.43</v>
      </c>
      <c r="V143">
        <v>1856704.15</v>
      </c>
      <c r="W143">
        <v>1847264.13</v>
      </c>
      <c r="X143">
        <v>1855023.2</v>
      </c>
      <c r="Y143">
        <v>1795911.93</v>
      </c>
      <c r="Z143">
        <v>1842573.52</v>
      </c>
      <c r="AA143">
        <v>1793783.23</v>
      </c>
      <c r="AB143">
        <v>1793635.04</v>
      </c>
      <c r="AC143">
        <v>1913981.33</v>
      </c>
      <c r="AD143">
        <v>1803268.6</v>
      </c>
    </row>
    <row r="144" spans="1:30" x14ac:dyDescent="0.3">
      <c r="A144" t="s">
        <v>92</v>
      </c>
      <c r="B144" t="s">
        <v>29</v>
      </c>
      <c r="C144" t="s">
        <v>31</v>
      </c>
      <c r="D144" t="s">
        <v>32</v>
      </c>
      <c r="E144">
        <v>1769766.26</v>
      </c>
      <c r="F144">
        <v>1754001.77</v>
      </c>
      <c r="G144">
        <v>1744358.04</v>
      </c>
      <c r="H144">
        <v>1743508.22</v>
      </c>
      <c r="I144">
        <v>1739666.95</v>
      </c>
      <c r="J144">
        <v>1747620.09</v>
      </c>
      <c r="K144">
        <v>1783600.8</v>
      </c>
      <c r="L144">
        <v>1775319.44</v>
      </c>
      <c r="M144">
        <v>1784733.67</v>
      </c>
      <c r="N144">
        <v>1770869.19</v>
      </c>
      <c r="O144">
        <v>1717947.85</v>
      </c>
      <c r="P144">
        <v>1768768.13</v>
      </c>
      <c r="Q144">
        <v>1738564.25</v>
      </c>
      <c r="R144">
        <v>1767718.78</v>
      </c>
      <c r="S144">
        <v>1842333.89</v>
      </c>
      <c r="T144">
        <v>1839556.48</v>
      </c>
      <c r="U144">
        <v>1854788.95</v>
      </c>
      <c r="V144">
        <v>1854788.95</v>
      </c>
      <c r="W144">
        <v>1841674.53</v>
      </c>
      <c r="X144">
        <v>1851874.4</v>
      </c>
      <c r="Y144">
        <v>1789515.93</v>
      </c>
      <c r="Z144">
        <v>1817868.84</v>
      </c>
      <c r="AA144">
        <v>1791837.23</v>
      </c>
      <c r="AB144">
        <v>1779277.37</v>
      </c>
      <c r="AC144">
        <v>1883734.64</v>
      </c>
      <c r="AD144">
        <v>1799178.6</v>
      </c>
    </row>
    <row r="145" spans="1:30" x14ac:dyDescent="0.3">
      <c r="A145" t="s">
        <v>92</v>
      </c>
      <c r="B145" t="s">
        <v>29</v>
      </c>
      <c r="C145" t="s">
        <v>31</v>
      </c>
      <c r="D145" t="s">
        <v>33</v>
      </c>
      <c r="E145">
        <v>47888.22</v>
      </c>
      <c r="F145">
        <v>25366.9</v>
      </c>
      <c r="G145">
        <v>1870</v>
      </c>
      <c r="H145">
        <v>0.13</v>
      </c>
      <c r="I145">
        <v>56202.36</v>
      </c>
      <c r="J145">
        <v>6350</v>
      </c>
      <c r="K145">
        <v>0.41</v>
      </c>
      <c r="L145">
        <v>0</v>
      </c>
      <c r="M145">
        <v>20015</v>
      </c>
      <c r="N145">
        <v>0</v>
      </c>
      <c r="O145">
        <v>27650.16</v>
      </c>
      <c r="P145">
        <v>2960</v>
      </c>
      <c r="Q145">
        <v>4262.25</v>
      </c>
      <c r="R145">
        <v>17924.349999999999</v>
      </c>
      <c r="T145">
        <v>34433.519999999997</v>
      </c>
      <c r="U145">
        <v>2882.28</v>
      </c>
      <c r="Z145">
        <v>21752.68</v>
      </c>
      <c r="AB145">
        <v>11801.67</v>
      </c>
      <c r="AC145">
        <v>25358.69</v>
      </c>
    </row>
    <row r="146" spans="1:30" x14ac:dyDescent="0.3">
      <c r="A146" t="s">
        <v>92</v>
      </c>
      <c r="B146" t="s">
        <v>29</v>
      </c>
      <c r="C146" t="s">
        <v>31</v>
      </c>
      <c r="D146" t="s">
        <v>34</v>
      </c>
      <c r="E146">
        <v>27100</v>
      </c>
      <c r="F146">
        <v>2020</v>
      </c>
      <c r="G146">
        <v>2260</v>
      </c>
      <c r="H146">
        <v>1760</v>
      </c>
      <c r="I146">
        <v>1632</v>
      </c>
      <c r="J146">
        <v>9940</v>
      </c>
      <c r="K146">
        <v>13151</v>
      </c>
      <c r="L146">
        <v>1380</v>
      </c>
      <c r="M146">
        <v>2816</v>
      </c>
      <c r="N146">
        <v>3628</v>
      </c>
      <c r="O146">
        <v>1460</v>
      </c>
      <c r="P146">
        <v>2748</v>
      </c>
      <c r="Q146">
        <v>1668</v>
      </c>
      <c r="R146">
        <v>11883</v>
      </c>
      <c r="S146">
        <v>2229.6</v>
      </c>
      <c r="T146">
        <v>6357.6</v>
      </c>
      <c r="U146">
        <v>8027.2</v>
      </c>
      <c r="V146">
        <v>1915.2</v>
      </c>
      <c r="W146">
        <v>5589.6</v>
      </c>
      <c r="X146">
        <v>3148.8</v>
      </c>
      <c r="Y146">
        <v>6396</v>
      </c>
      <c r="Z146">
        <v>2952</v>
      </c>
      <c r="AA146">
        <v>1946</v>
      </c>
      <c r="AB146">
        <v>2556</v>
      </c>
      <c r="AC146">
        <v>4888</v>
      </c>
      <c r="AD146">
        <v>4090</v>
      </c>
    </row>
    <row r="147" spans="1:30" x14ac:dyDescent="0.3">
      <c r="A147" t="s">
        <v>92</v>
      </c>
      <c r="B147" t="s">
        <v>29</v>
      </c>
      <c r="C147" t="s">
        <v>35</v>
      </c>
      <c r="D147" t="s">
        <v>30</v>
      </c>
      <c r="E147">
        <v>57357</v>
      </c>
      <c r="F147">
        <v>52916</v>
      </c>
      <c r="G147">
        <v>61090.11</v>
      </c>
      <c r="H147">
        <v>11470</v>
      </c>
      <c r="I147">
        <v>23009.919999999998</v>
      </c>
      <c r="J147">
        <v>49657</v>
      </c>
      <c r="K147">
        <v>20230.21</v>
      </c>
      <c r="L147">
        <v>17959.990000000002</v>
      </c>
      <c r="M147">
        <v>17990</v>
      </c>
      <c r="N147">
        <v>74259.95</v>
      </c>
      <c r="O147">
        <v>17250.009999999998</v>
      </c>
      <c r="P147">
        <v>14230.09</v>
      </c>
      <c r="Q147">
        <v>85799.42</v>
      </c>
      <c r="R147">
        <v>79930</v>
      </c>
      <c r="S147">
        <v>82130</v>
      </c>
      <c r="T147">
        <v>82549</v>
      </c>
      <c r="U147">
        <v>88397.72</v>
      </c>
      <c r="V147">
        <v>111600</v>
      </c>
      <c r="W147">
        <v>89800</v>
      </c>
      <c r="X147">
        <v>89250</v>
      </c>
      <c r="Y147">
        <v>85550.37</v>
      </c>
      <c r="Z147">
        <v>189228</v>
      </c>
      <c r="AA147">
        <v>85752.5</v>
      </c>
      <c r="AB147">
        <v>130777.76</v>
      </c>
      <c r="AC147">
        <v>70860.509999999995</v>
      </c>
      <c r="AD147">
        <v>232893.37</v>
      </c>
    </row>
    <row r="148" spans="1:30" x14ac:dyDescent="0.3">
      <c r="A148" t="s">
        <v>92</v>
      </c>
      <c r="B148" t="s">
        <v>36</v>
      </c>
      <c r="C148" t="s">
        <v>30</v>
      </c>
      <c r="E148">
        <v>-1445947.64</v>
      </c>
      <c r="F148">
        <v>-1342947.87</v>
      </c>
      <c r="G148">
        <v>-1478659.62</v>
      </c>
      <c r="H148">
        <v>-1357086.74</v>
      </c>
      <c r="I148">
        <v>-1377233.61</v>
      </c>
      <c r="J148">
        <v>-1679529</v>
      </c>
      <c r="K148">
        <v>-1574893.97</v>
      </c>
      <c r="L148">
        <v>-1714974.76</v>
      </c>
      <c r="M148">
        <v>-1493673.51</v>
      </c>
      <c r="N148">
        <v>-1621506.76</v>
      </c>
      <c r="O148">
        <v>-1714244.36</v>
      </c>
      <c r="P148">
        <v>-1500559.6</v>
      </c>
      <c r="Q148">
        <v>-1552710.84</v>
      </c>
      <c r="R148">
        <v>-1498506.88</v>
      </c>
      <c r="S148">
        <v>-1390707.5</v>
      </c>
      <c r="T148">
        <v>-1512390.45</v>
      </c>
      <c r="U148">
        <v>-1578029.09</v>
      </c>
      <c r="V148">
        <v>-1666443.49</v>
      </c>
      <c r="W148">
        <v>-1564828.93</v>
      </c>
      <c r="X148">
        <v>-1440097.9</v>
      </c>
      <c r="Y148">
        <v>-1644116.22</v>
      </c>
      <c r="Z148">
        <v>-1656904.17</v>
      </c>
      <c r="AA148">
        <v>-1502804.26</v>
      </c>
      <c r="AB148">
        <v>-1579650.46</v>
      </c>
      <c r="AC148">
        <v>-1532641.06</v>
      </c>
      <c r="AD148">
        <v>-1636647.52</v>
      </c>
    </row>
    <row r="149" spans="1:30" x14ac:dyDescent="0.3">
      <c r="A149" t="s">
        <v>92</v>
      </c>
      <c r="B149" t="s">
        <v>36</v>
      </c>
      <c r="C149" t="s">
        <v>18</v>
      </c>
      <c r="D149" t="s">
        <v>30</v>
      </c>
      <c r="E149">
        <v>-977057.62</v>
      </c>
      <c r="F149">
        <v>-869758.51</v>
      </c>
      <c r="G149">
        <v>-1029196.37</v>
      </c>
      <c r="H149">
        <v>-843568.85</v>
      </c>
      <c r="I149">
        <v>-910476.08</v>
      </c>
      <c r="J149">
        <v>-1249661.06</v>
      </c>
      <c r="K149">
        <v>-1099911.22</v>
      </c>
      <c r="L149">
        <v>-1307377.79</v>
      </c>
      <c r="M149">
        <v>-1109563.72</v>
      </c>
      <c r="N149">
        <v>-1160655</v>
      </c>
      <c r="O149">
        <v>-1257092.8799999999</v>
      </c>
      <c r="P149">
        <v>-1047784.88</v>
      </c>
      <c r="Q149">
        <v>-1181485.43</v>
      </c>
      <c r="R149">
        <v>-1013455.17</v>
      </c>
      <c r="S149">
        <v>-962887.99</v>
      </c>
      <c r="T149">
        <v>-1010254.16</v>
      </c>
      <c r="U149">
        <v>-1122042.3400000001</v>
      </c>
      <c r="V149">
        <v>-1120983.6399999999</v>
      </c>
      <c r="W149">
        <v>-1114942.96</v>
      </c>
      <c r="X149">
        <v>-1065305.9099999999</v>
      </c>
      <c r="Y149">
        <v>-1162182.3700000001</v>
      </c>
      <c r="Z149">
        <v>-1170389.72</v>
      </c>
      <c r="AA149">
        <v>-1063264.8500000001</v>
      </c>
      <c r="AB149">
        <v>-1056848.8799999999</v>
      </c>
      <c r="AC149">
        <v>-1103990.67</v>
      </c>
      <c r="AD149">
        <v>-1231187.04</v>
      </c>
    </row>
    <row r="150" spans="1:30" x14ac:dyDescent="0.3">
      <c r="A150" t="s">
        <v>92</v>
      </c>
      <c r="B150" t="s">
        <v>36</v>
      </c>
      <c r="C150" t="s">
        <v>37</v>
      </c>
      <c r="D150" t="s">
        <v>30</v>
      </c>
      <c r="E150">
        <v>-468890.02</v>
      </c>
      <c r="F150">
        <v>-473189.36</v>
      </c>
      <c r="G150">
        <v>-449463.25</v>
      </c>
      <c r="H150">
        <v>-513517.89</v>
      </c>
      <c r="I150">
        <v>-466757.53</v>
      </c>
      <c r="J150">
        <v>-429867.94</v>
      </c>
      <c r="K150">
        <v>-474982.75</v>
      </c>
      <c r="L150">
        <v>-407596.97</v>
      </c>
      <c r="M150">
        <v>-384109.79</v>
      </c>
      <c r="N150">
        <v>-460851.76</v>
      </c>
      <c r="O150">
        <v>-457151.48</v>
      </c>
      <c r="P150">
        <v>-452774.72</v>
      </c>
      <c r="Q150">
        <v>-371225.41</v>
      </c>
      <c r="R150">
        <v>-485051.71</v>
      </c>
      <c r="S150">
        <v>-427819.51</v>
      </c>
      <c r="T150">
        <v>-502136.29</v>
      </c>
      <c r="U150">
        <v>-455986.75</v>
      </c>
      <c r="V150">
        <v>-545459.85</v>
      </c>
      <c r="W150">
        <v>-449885.97</v>
      </c>
      <c r="X150">
        <v>-374791.99</v>
      </c>
      <c r="Y150">
        <v>-481933.85</v>
      </c>
      <c r="Z150">
        <v>-486514.45</v>
      </c>
      <c r="AA150">
        <v>-439539.41</v>
      </c>
      <c r="AB150">
        <v>-522801.58</v>
      </c>
      <c r="AC150">
        <v>-428650.39</v>
      </c>
      <c r="AD150">
        <v>-405460.47999999998</v>
      </c>
    </row>
    <row r="151" spans="1:30" x14ac:dyDescent="0.3">
      <c r="A151" t="s">
        <v>92</v>
      </c>
      <c r="B151" t="s">
        <v>38</v>
      </c>
      <c r="C151" t="s">
        <v>30</v>
      </c>
      <c r="E151">
        <v>456163.84000000003</v>
      </c>
      <c r="F151">
        <v>491356.8</v>
      </c>
      <c r="G151">
        <v>330918.53000000003</v>
      </c>
      <c r="H151">
        <v>399651.61</v>
      </c>
      <c r="I151">
        <v>443277.62</v>
      </c>
      <c r="J151">
        <v>134038.09</v>
      </c>
      <c r="K151">
        <v>242088.45</v>
      </c>
      <c r="L151">
        <v>79684.67</v>
      </c>
      <c r="M151">
        <v>331881.15999999997</v>
      </c>
      <c r="N151">
        <v>227250.38</v>
      </c>
      <c r="O151">
        <v>50063.66</v>
      </c>
      <c r="P151">
        <v>288146.62</v>
      </c>
      <c r="Q151">
        <v>277583.08</v>
      </c>
      <c r="R151">
        <v>378949.25</v>
      </c>
      <c r="S151">
        <v>535985.99</v>
      </c>
      <c r="T151">
        <v>450506.15</v>
      </c>
      <c r="U151">
        <v>376067.06</v>
      </c>
      <c r="V151">
        <v>301860.65999999997</v>
      </c>
      <c r="W151">
        <v>372235.2</v>
      </c>
      <c r="X151">
        <v>504175.3</v>
      </c>
      <c r="Y151">
        <v>237346.08</v>
      </c>
      <c r="Z151">
        <v>374897.35</v>
      </c>
      <c r="AA151">
        <v>376731.47</v>
      </c>
      <c r="AB151">
        <v>344762.34</v>
      </c>
      <c r="AC151">
        <v>452200.78</v>
      </c>
      <c r="AD151">
        <v>399514.45</v>
      </c>
    </row>
    <row r="152" spans="1:30" x14ac:dyDescent="0.3">
      <c r="A152" t="s">
        <v>92</v>
      </c>
      <c r="B152" t="s">
        <v>39</v>
      </c>
      <c r="C152" t="s">
        <v>30</v>
      </c>
      <c r="E152">
        <v>-161967.57999999999</v>
      </c>
      <c r="F152">
        <v>-261825.66</v>
      </c>
      <c r="G152">
        <v>-267243.45</v>
      </c>
      <c r="H152">
        <v>-263332.02</v>
      </c>
      <c r="I152">
        <v>-280675.15000000002</v>
      </c>
      <c r="J152">
        <v>-274567.78000000003</v>
      </c>
      <c r="K152">
        <v>-268012.98</v>
      </c>
      <c r="L152">
        <v>-259227.87</v>
      </c>
      <c r="M152">
        <v>-274995.36</v>
      </c>
      <c r="N152">
        <v>-269038.03000000003</v>
      </c>
      <c r="O152">
        <v>-103560.04</v>
      </c>
      <c r="P152">
        <v>-374836.28</v>
      </c>
      <c r="Q152">
        <v>-359831.51</v>
      </c>
      <c r="R152">
        <v>-275920.13</v>
      </c>
      <c r="S152">
        <v>-269534.17</v>
      </c>
      <c r="T152">
        <v>-268424.71999999997</v>
      </c>
      <c r="U152">
        <v>-274508.56</v>
      </c>
      <c r="V152">
        <v>-283638.93</v>
      </c>
      <c r="W152">
        <v>-274331.67</v>
      </c>
      <c r="X152">
        <v>-263889.75</v>
      </c>
      <c r="Y152">
        <v>-269471.99</v>
      </c>
      <c r="Z152">
        <v>-295536.98</v>
      </c>
      <c r="AA152">
        <v>-272855.02</v>
      </c>
      <c r="AB152">
        <v>-272241.03999999998</v>
      </c>
      <c r="AC152">
        <v>-296040.71000000002</v>
      </c>
      <c r="AD152">
        <v>-298337.49</v>
      </c>
    </row>
    <row r="153" spans="1:30" x14ac:dyDescent="0.3">
      <c r="A153" t="s">
        <v>92</v>
      </c>
      <c r="B153" t="s">
        <v>39</v>
      </c>
      <c r="C153" t="s">
        <v>40</v>
      </c>
      <c r="D153" t="s">
        <v>30</v>
      </c>
      <c r="E153">
        <v>-194967.58</v>
      </c>
      <c r="F153">
        <v>-273725.65999999997</v>
      </c>
      <c r="G153">
        <v>-278557.2</v>
      </c>
      <c r="H153">
        <v>-274039.52</v>
      </c>
      <c r="I153">
        <v>-285863.90000000002</v>
      </c>
      <c r="J153">
        <v>-285881.53000000003</v>
      </c>
      <c r="K153">
        <v>-279326.73</v>
      </c>
      <c r="L153">
        <v>-269713.62</v>
      </c>
      <c r="M153">
        <v>-285634.86</v>
      </c>
      <c r="N153">
        <v>-279362.90999999997</v>
      </c>
      <c r="O153">
        <v>-113884.42</v>
      </c>
      <c r="P153">
        <v>-385160.66</v>
      </c>
      <c r="Q153">
        <v>-370155.89</v>
      </c>
      <c r="R153">
        <v>-287669.51</v>
      </c>
      <c r="S153">
        <v>-293973.67</v>
      </c>
      <c r="T153">
        <v>-292233.98</v>
      </c>
      <c r="U153">
        <v>-298338.19</v>
      </c>
      <c r="V153">
        <v>-306289.65000000002</v>
      </c>
      <c r="W153">
        <v>-296982.68</v>
      </c>
      <c r="X153">
        <v>-286540.46999999997</v>
      </c>
      <c r="Y153">
        <v>-292123</v>
      </c>
      <c r="Z153">
        <v>-317637.61</v>
      </c>
      <c r="AA153">
        <v>-295505.65000000002</v>
      </c>
      <c r="AB153">
        <v>-294713.78000000003</v>
      </c>
      <c r="AC153">
        <v>-309694.78000000003</v>
      </c>
      <c r="AD153">
        <v>-307764.75</v>
      </c>
    </row>
    <row r="154" spans="1:30" x14ac:dyDescent="0.3">
      <c r="A154" t="s">
        <v>92</v>
      </c>
      <c r="B154" t="s">
        <v>39</v>
      </c>
      <c r="C154" t="s">
        <v>41</v>
      </c>
      <c r="D154" t="s">
        <v>30</v>
      </c>
      <c r="E154">
        <v>33000</v>
      </c>
      <c r="F154">
        <v>11900</v>
      </c>
      <c r="G154">
        <v>11313.75</v>
      </c>
      <c r="H154">
        <v>10707.5</v>
      </c>
      <c r="I154">
        <v>5188.75</v>
      </c>
      <c r="J154">
        <v>11313.75</v>
      </c>
      <c r="K154">
        <v>11313.75</v>
      </c>
      <c r="L154">
        <v>10485.75</v>
      </c>
      <c r="M154">
        <v>10639.5</v>
      </c>
      <c r="N154">
        <v>10324.879999999999</v>
      </c>
      <c r="O154">
        <v>10324.379999999999</v>
      </c>
      <c r="P154">
        <v>10324.379999999999</v>
      </c>
      <c r="Q154">
        <v>10324.379999999999</v>
      </c>
      <c r="R154">
        <v>11749.38</v>
      </c>
      <c r="S154">
        <v>24439.5</v>
      </c>
      <c r="T154">
        <v>23809.26</v>
      </c>
      <c r="U154">
        <v>23829.63</v>
      </c>
      <c r="V154">
        <v>22650.720000000001</v>
      </c>
      <c r="W154">
        <v>22651.01</v>
      </c>
      <c r="X154">
        <v>22650.720000000001</v>
      </c>
      <c r="Y154">
        <v>22651.01</v>
      </c>
      <c r="Z154">
        <v>22100.63</v>
      </c>
      <c r="AA154">
        <v>22650.63</v>
      </c>
      <c r="AB154">
        <v>22472.74</v>
      </c>
      <c r="AC154">
        <v>13654.07</v>
      </c>
      <c r="AD154">
        <v>9427.26</v>
      </c>
    </row>
    <row r="155" spans="1:30" x14ac:dyDescent="0.3">
      <c r="A155" t="s">
        <v>92</v>
      </c>
      <c r="B155" t="s">
        <v>42</v>
      </c>
      <c r="C155" t="s">
        <v>30</v>
      </c>
      <c r="E155">
        <v>294196.26</v>
      </c>
      <c r="F155">
        <v>229531.14</v>
      </c>
      <c r="G155">
        <v>63675.08</v>
      </c>
      <c r="H155">
        <v>136319.59</v>
      </c>
      <c r="I155">
        <v>162602.47</v>
      </c>
      <c r="J155">
        <v>-140529.69</v>
      </c>
      <c r="K155">
        <v>-25924.53</v>
      </c>
      <c r="L155">
        <v>-179543.2</v>
      </c>
      <c r="M155">
        <v>56885.8</v>
      </c>
      <c r="N155">
        <v>-41787.65</v>
      </c>
      <c r="O155">
        <v>-53496.38</v>
      </c>
      <c r="P155">
        <v>-86689.66</v>
      </c>
      <c r="Q155">
        <v>-82248.429999999993</v>
      </c>
      <c r="R155">
        <v>103029.12</v>
      </c>
      <c r="S155">
        <v>266451.82</v>
      </c>
      <c r="T155">
        <v>182081.43</v>
      </c>
      <c r="U155">
        <v>101558.5</v>
      </c>
      <c r="V155">
        <v>18221.73</v>
      </c>
      <c r="W155">
        <v>97903.53</v>
      </c>
      <c r="X155">
        <v>240285.55</v>
      </c>
      <c r="Y155">
        <v>-32125.91</v>
      </c>
      <c r="Z155">
        <v>79360.37</v>
      </c>
      <c r="AA155">
        <v>103876.45</v>
      </c>
      <c r="AB155">
        <v>72521.3</v>
      </c>
      <c r="AC155">
        <v>156160.07</v>
      </c>
      <c r="AD155">
        <v>101176.96000000001</v>
      </c>
    </row>
    <row r="156" spans="1:30" x14ac:dyDescent="0.3">
      <c r="A156" t="s">
        <v>92</v>
      </c>
      <c r="B156" t="s">
        <v>43</v>
      </c>
      <c r="C156" t="s">
        <v>30</v>
      </c>
      <c r="E156">
        <v>-195957</v>
      </c>
    </row>
    <row r="157" spans="1:30" x14ac:dyDescent="0.3">
      <c r="A157" t="s">
        <v>92</v>
      </c>
      <c r="B157" t="s">
        <v>43</v>
      </c>
      <c r="C157" t="s">
        <v>123</v>
      </c>
      <c r="D157" t="s">
        <v>30</v>
      </c>
      <c r="E157">
        <v>-54781</v>
      </c>
    </row>
    <row r="158" spans="1:30" x14ac:dyDescent="0.3">
      <c r="A158" t="s">
        <v>92</v>
      </c>
      <c r="B158" t="s">
        <v>43</v>
      </c>
      <c r="C158" t="s">
        <v>124</v>
      </c>
      <c r="D158" t="s">
        <v>30</v>
      </c>
      <c r="E158">
        <v>-141176</v>
      </c>
    </row>
    <row r="159" spans="1:30" x14ac:dyDescent="0.3">
      <c r="A159" t="s">
        <v>92</v>
      </c>
      <c r="B159" t="s">
        <v>44</v>
      </c>
      <c r="C159" t="s">
        <v>30</v>
      </c>
      <c r="E159">
        <v>98239.26</v>
      </c>
      <c r="F159">
        <v>229531.14</v>
      </c>
      <c r="G159">
        <v>63675.08</v>
      </c>
      <c r="H159">
        <v>136319.59</v>
      </c>
      <c r="I159">
        <v>162602.47</v>
      </c>
      <c r="J159">
        <v>-140529.69</v>
      </c>
      <c r="K159">
        <v>-25924.53</v>
      </c>
      <c r="L159">
        <v>-179543.2</v>
      </c>
      <c r="M159">
        <v>56885.8</v>
      </c>
      <c r="N159">
        <v>-41787.65</v>
      </c>
      <c r="O159">
        <v>-53496.38</v>
      </c>
      <c r="P159">
        <v>-86689.66</v>
      </c>
      <c r="Q159">
        <v>-82248.429999999993</v>
      </c>
      <c r="R159">
        <v>103029.12</v>
      </c>
      <c r="S159">
        <v>266451.82</v>
      </c>
      <c r="T159">
        <v>182081.43</v>
      </c>
      <c r="U159">
        <v>101558.5</v>
      </c>
      <c r="V159">
        <v>18221.73</v>
      </c>
      <c r="W159">
        <v>97903.53</v>
      </c>
      <c r="X159">
        <v>240285.55</v>
      </c>
      <c r="Y159">
        <v>-32125.91</v>
      </c>
      <c r="Z159">
        <v>79360.37</v>
      </c>
      <c r="AA159">
        <v>103876.45</v>
      </c>
      <c r="AB159">
        <v>72521.3</v>
      </c>
      <c r="AC159">
        <v>156160.07</v>
      </c>
      <c r="AD159">
        <v>101176.96000000001</v>
      </c>
    </row>
    <row r="160" spans="1:30" x14ac:dyDescent="0.3">
      <c r="A160" t="s">
        <v>92</v>
      </c>
      <c r="B160" t="s">
        <v>45</v>
      </c>
      <c r="C160" t="s">
        <v>30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</row>
    <row r="161" spans="1:30" x14ac:dyDescent="0.3">
      <c r="A161" t="s">
        <v>92</v>
      </c>
      <c r="B161" t="s">
        <v>46</v>
      </c>
      <c r="C161" t="s">
        <v>30</v>
      </c>
      <c r="E161">
        <v>98239.26</v>
      </c>
      <c r="F161">
        <v>229531.14</v>
      </c>
      <c r="G161">
        <v>63675.08</v>
      </c>
      <c r="H161">
        <v>136319.59</v>
      </c>
      <c r="I161">
        <v>162602.47</v>
      </c>
      <c r="J161">
        <v>-140529.69</v>
      </c>
      <c r="K161">
        <v>-25924.53</v>
      </c>
      <c r="L161">
        <v>-179543.2</v>
      </c>
      <c r="M161">
        <v>56885.8</v>
      </c>
      <c r="N161">
        <v>-41787.65</v>
      </c>
      <c r="O161">
        <v>-53496.38</v>
      </c>
      <c r="P161">
        <v>-86689.66</v>
      </c>
      <c r="Q161">
        <v>-82248.429999999993</v>
      </c>
      <c r="R161">
        <v>103029.12</v>
      </c>
      <c r="S161">
        <v>266451.82</v>
      </c>
      <c r="T161">
        <v>182081.43</v>
      </c>
      <c r="U161">
        <v>101558.5</v>
      </c>
      <c r="V161">
        <v>18221.73</v>
      </c>
      <c r="W161">
        <v>97903.53</v>
      </c>
      <c r="X161">
        <v>240285.55</v>
      </c>
      <c r="Y161">
        <v>-32125.91</v>
      </c>
      <c r="Z161">
        <v>79360.37</v>
      </c>
      <c r="AA161">
        <v>103876.45</v>
      </c>
      <c r="AB161">
        <v>72521.3</v>
      </c>
      <c r="AC161">
        <v>156160.07</v>
      </c>
      <c r="AD161">
        <v>101176.96000000001</v>
      </c>
    </row>
    <row r="162" spans="1:30" x14ac:dyDescent="0.3">
      <c r="A162" t="s">
        <v>92</v>
      </c>
      <c r="B162" t="s">
        <v>47</v>
      </c>
      <c r="C162" t="s">
        <v>30</v>
      </c>
      <c r="E162">
        <v>-365</v>
      </c>
      <c r="F162">
        <v>-365</v>
      </c>
      <c r="G162">
        <v>-365</v>
      </c>
      <c r="H162">
        <v>-365</v>
      </c>
      <c r="I162">
        <v>-365</v>
      </c>
      <c r="J162">
        <v>-365</v>
      </c>
      <c r="K162">
        <v>-365</v>
      </c>
      <c r="L162">
        <v>-365</v>
      </c>
      <c r="M162">
        <v>-365</v>
      </c>
      <c r="N162">
        <v>-365</v>
      </c>
      <c r="O162">
        <v>-365</v>
      </c>
      <c r="P162">
        <v>-365</v>
      </c>
      <c r="Q162">
        <v>-365</v>
      </c>
      <c r="R162">
        <v>-365</v>
      </c>
      <c r="T162">
        <v>-729</v>
      </c>
      <c r="U162">
        <v>-365</v>
      </c>
      <c r="V162">
        <v>-365</v>
      </c>
      <c r="W162">
        <v>-364</v>
      </c>
      <c r="Y162">
        <v>-729</v>
      </c>
      <c r="Z162">
        <v>-365</v>
      </c>
      <c r="AA162">
        <v>-364</v>
      </c>
      <c r="AB162">
        <v>-365</v>
      </c>
      <c r="AC162">
        <v>-364</v>
      </c>
      <c r="AD162">
        <v>-365</v>
      </c>
    </row>
    <row r="163" spans="1:30" x14ac:dyDescent="0.3">
      <c r="A163" t="s">
        <v>92</v>
      </c>
      <c r="B163" t="s">
        <v>30</v>
      </c>
      <c r="C163" t="s">
        <v>30</v>
      </c>
      <c r="E163">
        <v>97874.26</v>
      </c>
      <c r="F163">
        <v>229166.14</v>
      </c>
      <c r="G163">
        <v>63310.080000000002</v>
      </c>
      <c r="H163">
        <v>135954.59</v>
      </c>
      <c r="I163">
        <v>162237.47</v>
      </c>
      <c r="J163">
        <v>-140894.69</v>
      </c>
      <c r="K163">
        <v>-26289.53</v>
      </c>
      <c r="L163">
        <v>-179908.2</v>
      </c>
      <c r="M163">
        <v>56520.800000000003</v>
      </c>
      <c r="N163">
        <v>-42152.65</v>
      </c>
      <c r="O163">
        <v>-53861.38</v>
      </c>
      <c r="P163">
        <v>-87054.66</v>
      </c>
      <c r="Q163">
        <v>-82613.429999999993</v>
      </c>
      <c r="R163">
        <v>102664.12</v>
      </c>
      <c r="S163">
        <v>266451.82</v>
      </c>
      <c r="T163">
        <v>181352.43</v>
      </c>
      <c r="U163">
        <v>101193.5</v>
      </c>
      <c r="V163">
        <v>17856.73</v>
      </c>
      <c r="W163">
        <v>97539.53</v>
      </c>
      <c r="X163">
        <v>240285.55</v>
      </c>
      <c r="Y163">
        <v>-32854.910000000003</v>
      </c>
      <c r="Z163">
        <v>78995.37</v>
      </c>
      <c r="AA163">
        <v>103512.45</v>
      </c>
      <c r="AB163">
        <v>72156.3</v>
      </c>
      <c r="AC163">
        <v>155796.07</v>
      </c>
      <c r="AD163">
        <v>100811.96</v>
      </c>
    </row>
    <row r="164" spans="1:30" x14ac:dyDescent="0.3">
      <c r="A164" t="s">
        <v>92</v>
      </c>
      <c r="B164" t="s">
        <v>30</v>
      </c>
    </row>
    <row r="165" spans="1:30" x14ac:dyDescent="0.3">
      <c r="A165" t="s">
        <v>92</v>
      </c>
    </row>
    <row r="166" spans="1:30" x14ac:dyDescent="0.3">
      <c r="A166" t="s">
        <v>92</v>
      </c>
      <c r="B166" t="s">
        <v>134</v>
      </c>
    </row>
    <row r="167" spans="1:30" x14ac:dyDescent="0.3">
      <c r="A167" t="s">
        <v>93</v>
      </c>
      <c r="B167" t="s">
        <v>22</v>
      </c>
      <c r="E167">
        <v>202312</v>
      </c>
      <c r="F167">
        <v>202401</v>
      </c>
      <c r="G167">
        <v>202402</v>
      </c>
      <c r="H167">
        <v>202403</v>
      </c>
      <c r="I167">
        <v>202404</v>
      </c>
      <c r="J167">
        <v>202405</v>
      </c>
      <c r="K167">
        <v>202406</v>
      </c>
      <c r="L167">
        <v>202407</v>
      </c>
      <c r="M167">
        <v>202408</v>
      </c>
      <c r="N167">
        <v>202409</v>
      </c>
      <c r="O167">
        <v>202410</v>
      </c>
      <c r="P167">
        <v>202411</v>
      </c>
      <c r="Q167">
        <v>202412</v>
      </c>
      <c r="R167">
        <v>202501</v>
      </c>
      <c r="S167">
        <v>202502</v>
      </c>
      <c r="T167">
        <v>202503</v>
      </c>
      <c r="U167">
        <v>202504</v>
      </c>
      <c r="V167">
        <v>202505</v>
      </c>
      <c r="W167">
        <v>202506</v>
      </c>
      <c r="X167">
        <v>202507</v>
      </c>
      <c r="Y167">
        <v>202508</v>
      </c>
      <c r="Z167">
        <v>202509</v>
      </c>
      <c r="AA167">
        <v>202510</v>
      </c>
      <c r="AB167">
        <v>202511</v>
      </c>
      <c r="AC167">
        <v>202512</v>
      </c>
      <c r="AD167">
        <v>202601</v>
      </c>
    </row>
    <row r="168" spans="1:30" x14ac:dyDescent="0.3">
      <c r="A168" t="s">
        <v>93</v>
      </c>
      <c r="B168" t="s">
        <v>23</v>
      </c>
      <c r="E168" t="s">
        <v>24</v>
      </c>
      <c r="F168" t="s">
        <v>24</v>
      </c>
      <c r="G168" t="s">
        <v>24</v>
      </c>
      <c r="H168" t="s">
        <v>24</v>
      </c>
      <c r="I168" t="s">
        <v>24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24</v>
      </c>
      <c r="Q168" t="s">
        <v>24</v>
      </c>
      <c r="R168" t="s">
        <v>24</v>
      </c>
      <c r="S168" t="s">
        <v>24</v>
      </c>
      <c r="T168" t="s">
        <v>24</v>
      </c>
      <c r="U168" t="s">
        <v>24</v>
      </c>
      <c r="V168" t="s">
        <v>24</v>
      </c>
      <c r="W168" t="s">
        <v>24</v>
      </c>
      <c r="X168" t="s">
        <v>24</v>
      </c>
      <c r="Y168" t="s">
        <v>24</v>
      </c>
      <c r="Z168" t="s">
        <v>24</v>
      </c>
      <c r="AA168" t="s">
        <v>24</v>
      </c>
      <c r="AB168" t="s">
        <v>24</v>
      </c>
      <c r="AC168" t="s">
        <v>24</v>
      </c>
      <c r="AD168" t="s">
        <v>24</v>
      </c>
    </row>
    <row r="169" spans="1:30" x14ac:dyDescent="0.3">
      <c r="A169" t="s">
        <v>93</v>
      </c>
      <c r="B169" t="s">
        <v>25</v>
      </c>
      <c r="C169" t="s">
        <v>26</v>
      </c>
      <c r="D169" t="s">
        <v>27</v>
      </c>
      <c r="E169" t="s">
        <v>28</v>
      </c>
      <c r="F169" t="s">
        <v>28</v>
      </c>
      <c r="G169" t="s">
        <v>28</v>
      </c>
      <c r="H169" t="s">
        <v>28</v>
      </c>
      <c r="I169" t="s">
        <v>28</v>
      </c>
      <c r="J169" t="s">
        <v>28</v>
      </c>
      <c r="K169" t="s">
        <v>28</v>
      </c>
      <c r="L169" t="s">
        <v>28</v>
      </c>
      <c r="M169" t="s">
        <v>28</v>
      </c>
      <c r="N169" t="s">
        <v>28</v>
      </c>
      <c r="O169" t="s">
        <v>28</v>
      </c>
      <c r="P169" t="s">
        <v>28</v>
      </c>
      <c r="Q169" t="s">
        <v>28</v>
      </c>
      <c r="R169" t="s">
        <v>28</v>
      </c>
      <c r="S169" t="s">
        <v>28</v>
      </c>
      <c r="T169" t="s">
        <v>28</v>
      </c>
      <c r="U169" t="s">
        <v>28</v>
      </c>
      <c r="V169" t="s">
        <v>28</v>
      </c>
      <c r="W169" t="s">
        <v>28</v>
      </c>
      <c r="X169" t="s">
        <v>28</v>
      </c>
      <c r="Y169" t="s">
        <v>28</v>
      </c>
      <c r="Z169" t="s">
        <v>28</v>
      </c>
      <c r="AA169" t="s">
        <v>28</v>
      </c>
      <c r="AB169" t="s">
        <v>28</v>
      </c>
      <c r="AC169" t="s">
        <v>28</v>
      </c>
      <c r="AD169" t="s">
        <v>28</v>
      </c>
    </row>
    <row r="170" spans="1:30" x14ac:dyDescent="0.3">
      <c r="A170" t="s">
        <v>93</v>
      </c>
      <c r="B170" t="s">
        <v>29</v>
      </c>
      <c r="C170" t="s">
        <v>30</v>
      </c>
      <c r="E170">
        <v>2156412.9500000002</v>
      </c>
      <c r="F170">
        <v>2019883.32</v>
      </c>
      <c r="G170">
        <v>2003867.44</v>
      </c>
      <c r="H170">
        <v>2012226.67</v>
      </c>
      <c r="I170">
        <v>2037553.89</v>
      </c>
      <c r="J170">
        <v>2098337.2799999998</v>
      </c>
      <c r="K170">
        <v>2007551.11</v>
      </c>
      <c r="L170">
        <v>1994094.41</v>
      </c>
      <c r="M170">
        <v>1983338.5</v>
      </c>
      <c r="N170">
        <v>2029310.09</v>
      </c>
      <c r="O170">
        <v>2018701.14</v>
      </c>
      <c r="P170">
        <v>2152421.2799999998</v>
      </c>
      <c r="Q170">
        <v>2022811.67</v>
      </c>
      <c r="R170">
        <v>2142709.7200000002</v>
      </c>
      <c r="S170">
        <v>2138228.7999999998</v>
      </c>
      <c r="T170">
        <v>2188330.46</v>
      </c>
      <c r="U170">
        <v>2149472.79</v>
      </c>
      <c r="V170">
        <v>2154233.65</v>
      </c>
      <c r="W170">
        <v>2147040.5499999998</v>
      </c>
      <c r="X170">
        <v>2120469.5099999998</v>
      </c>
      <c r="Y170">
        <v>2100767.1</v>
      </c>
      <c r="Z170">
        <v>2189066.39</v>
      </c>
      <c r="AA170">
        <v>2141768.67</v>
      </c>
      <c r="AB170">
        <v>2182686.48</v>
      </c>
      <c r="AC170">
        <v>2230685.7200000002</v>
      </c>
      <c r="AD170">
        <v>2104355</v>
      </c>
    </row>
    <row r="171" spans="1:30" x14ac:dyDescent="0.3">
      <c r="A171" t="s">
        <v>93</v>
      </c>
      <c r="B171" t="s">
        <v>29</v>
      </c>
      <c r="C171" t="s">
        <v>31</v>
      </c>
      <c r="D171" t="s">
        <v>30</v>
      </c>
      <c r="E171">
        <v>2094152.95</v>
      </c>
      <c r="F171">
        <v>1945065.32</v>
      </c>
      <c r="G171">
        <v>1913547.44</v>
      </c>
      <c r="H171">
        <v>1921186.67</v>
      </c>
      <c r="I171">
        <v>1932513.89</v>
      </c>
      <c r="J171">
        <v>1935097.73</v>
      </c>
      <c r="K171">
        <v>1903838.73</v>
      </c>
      <c r="L171">
        <v>1915693.44</v>
      </c>
      <c r="M171">
        <v>1905510.5</v>
      </c>
      <c r="N171">
        <v>1898918.73</v>
      </c>
      <c r="O171">
        <v>1917331.14</v>
      </c>
      <c r="P171">
        <v>2066800.27</v>
      </c>
      <c r="Q171">
        <v>1935842.67</v>
      </c>
      <c r="R171">
        <v>2031739.72</v>
      </c>
      <c r="S171">
        <v>2025937.8</v>
      </c>
      <c r="T171">
        <v>2072991.46</v>
      </c>
      <c r="U171">
        <v>2027715.87</v>
      </c>
      <c r="V171">
        <v>2026963.48</v>
      </c>
      <c r="W171">
        <v>2027330.55</v>
      </c>
      <c r="X171">
        <v>2009300.49</v>
      </c>
      <c r="Y171">
        <v>2014701.59</v>
      </c>
      <c r="Z171">
        <v>2036235.39</v>
      </c>
      <c r="AA171">
        <v>2007208.67</v>
      </c>
      <c r="AB171">
        <v>2045357.48</v>
      </c>
      <c r="AC171">
        <v>2147905.7200000002</v>
      </c>
      <c r="AD171">
        <v>1938280.49</v>
      </c>
    </row>
    <row r="172" spans="1:30" x14ac:dyDescent="0.3">
      <c r="A172" t="s">
        <v>93</v>
      </c>
      <c r="B172" t="s">
        <v>29</v>
      </c>
      <c r="C172" t="s">
        <v>31</v>
      </c>
      <c r="D172" t="s">
        <v>32</v>
      </c>
      <c r="E172">
        <v>1980180.94</v>
      </c>
      <c r="F172">
        <v>1861016.22</v>
      </c>
      <c r="G172">
        <v>1863382.44</v>
      </c>
      <c r="H172">
        <v>1857178.96</v>
      </c>
      <c r="I172">
        <v>1875873.3</v>
      </c>
      <c r="J172">
        <v>1876371.73</v>
      </c>
      <c r="K172">
        <v>1857390.01</v>
      </c>
      <c r="L172">
        <v>1859294.44</v>
      </c>
      <c r="M172">
        <v>1851322.5</v>
      </c>
      <c r="N172">
        <v>1854032.73</v>
      </c>
      <c r="O172">
        <v>1846328.47</v>
      </c>
      <c r="P172">
        <v>2013192.27</v>
      </c>
      <c r="Q172">
        <v>1893763.49</v>
      </c>
      <c r="R172">
        <v>1967639.65</v>
      </c>
      <c r="S172">
        <v>1982794.37</v>
      </c>
      <c r="T172">
        <v>1981903.02</v>
      </c>
      <c r="U172">
        <v>1974639.89</v>
      </c>
      <c r="V172">
        <v>1974639.89</v>
      </c>
      <c r="W172">
        <v>1974334.75</v>
      </c>
      <c r="X172">
        <v>1970021.7</v>
      </c>
      <c r="Y172">
        <v>1945649.01</v>
      </c>
      <c r="Z172">
        <v>1942942.74</v>
      </c>
      <c r="AA172">
        <v>1967836.67</v>
      </c>
      <c r="AB172">
        <v>1982737.48</v>
      </c>
      <c r="AC172">
        <v>2106476.7200000002</v>
      </c>
      <c r="AD172">
        <v>1895541.49</v>
      </c>
    </row>
    <row r="173" spans="1:30" x14ac:dyDescent="0.3">
      <c r="A173" t="s">
        <v>93</v>
      </c>
      <c r="B173" t="s">
        <v>29</v>
      </c>
      <c r="C173" t="s">
        <v>31</v>
      </c>
      <c r="D173" t="s">
        <v>33</v>
      </c>
      <c r="E173">
        <v>44065.01</v>
      </c>
      <c r="F173">
        <v>20560.099999999999</v>
      </c>
      <c r="G173">
        <v>0</v>
      </c>
      <c r="H173">
        <v>3272.71</v>
      </c>
      <c r="I173">
        <v>8005.59</v>
      </c>
      <c r="J173">
        <v>1300</v>
      </c>
      <c r="K173">
        <v>-0.28000000000000003</v>
      </c>
      <c r="L173">
        <v>11104</v>
      </c>
      <c r="M173">
        <v>11910</v>
      </c>
      <c r="N173">
        <v>3080</v>
      </c>
      <c r="O173">
        <v>26040.67</v>
      </c>
      <c r="P173">
        <v>8360</v>
      </c>
      <c r="Q173">
        <v>681.18</v>
      </c>
      <c r="R173">
        <v>20114.47</v>
      </c>
      <c r="S173">
        <v>1637.23</v>
      </c>
      <c r="T173">
        <v>18269.84</v>
      </c>
      <c r="U173">
        <v>14931.58</v>
      </c>
      <c r="V173">
        <v>5497.79</v>
      </c>
      <c r="Y173">
        <v>17312.59</v>
      </c>
      <c r="Z173">
        <v>37118.089999999997</v>
      </c>
      <c r="AD173">
        <v>-200</v>
      </c>
    </row>
    <row r="174" spans="1:30" x14ac:dyDescent="0.3">
      <c r="A174" t="s">
        <v>93</v>
      </c>
      <c r="B174" t="s">
        <v>29</v>
      </c>
      <c r="C174" t="s">
        <v>31</v>
      </c>
      <c r="D174" t="s">
        <v>34</v>
      </c>
      <c r="E174">
        <v>69907</v>
      </c>
      <c r="F174">
        <v>63489</v>
      </c>
      <c r="G174">
        <v>50165</v>
      </c>
      <c r="H174">
        <v>60735</v>
      </c>
      <c r="I174">
        <v>48635</v>
      </c>
      <c r="J174">
        <v>57426</v>
      </c>
      <c r="K174">
        <v>46449</v>
      </c>
      <c r="L174">
        <v>45295</v>
      </c>
      <c r="M174">
        <v>42278</v>
      </c>
      <c r="N174">
        <v>41806</v>
      </c>
      <c r="O174">
        <v>44962</v>
      </c>
      <c r="P174">
        <v>45248</v>
      </c>
      <c r="Q174">
        <v>41398</v>
      </c>
      <c r="R174">
        <v>43985.599999999999</v>
      </c>
      <c r="S174">
        <v>41506.199999999997</v>
      </c>
      <c r="T174">
        <v>72818.600000000006</v>
      </c>
      <c r="U174">
        <v>38144.400000000001</v>
      </c>
      <c r="V174">
        <v>46825.8</v>
      </c>
      <c r="W174">
        <v>52995.8</v>
      </c>
      <c r="X174">
        <v>39278.79</v>
      </c>
      <c r="Y174">
        <v>51739.99</v>
      </c>
      <c r="Z174">
        <v>56174.559999999998</v>
      </c>
      <c r="AA174">
        <v>39372</v>
      </c>
      <c r="AB174">
        <v>62620</v>
      </c>
      <c r="AC174">
        <v>41429</v>
      </c>
      <c r="AD174">
        <v>42939</v>
      </c>
    </row>
    <row r="175" spans="1:30" x14ac:dyDescent="0.3">
      <c r="A175" t="s">
        <v>93</v>
      </c>
      <c r="B175" t="s">
        <v>29</v>
      </c>
      <c r="C175" t="s">
        <v>35</v>
      </c>
      <c r="D175" t="s">
        <v>30</v>
      </c>
      <c r="E175">
        <v>62260</v>
      </c>
      <c r="F175">
        <v>74818</v>
      </c>
      <c r="G175">
        <v>90320</v>
      </c>
      <c r="H175">
        <v>91040</v>
      </c>
      <c r="I175">
        <v>105040</v>
      </c>
      <c r="J175">
        <v>163239.54999999999</v>
      </c>
      <c r="K175">
        <v>103712.38</v>
      </c>
      <c r="L175">
        <v>78400.97</v>
      </c>
      <c r="M175">
        <v>77828</v>
      </c>
      <c r="N175">
        <v>130391.36</v>
      </c>
      <c r="O175">
        <v>101370</v>
      </c>
      <c r="P175">
        <v>85621.01</v>
      </c>
      <c r="Q175">
        <v>86969</v>
      </c>
      <c r="R175">
        <v>110970</v>
      </c>
      <c r="S175">
        <v>112291</v>
      </c>
      <c r="T175">
        <v>115339</v>
      </c>
      <c r="U175">
        <v>121756.92</v>
      </c>
      <c r="V175">
        <v>127270.17</v>
      </c>
      <c r="W175">
        <v>119710</v>
      </c>
      <c r="X175">
        <v>111169.02</v>
      </c>
      <c r="Y175">
        <v>86065.51</v>
      </c>
      <c r="Z175">
        <v>152831</v>
      </c>
      <c r="AA175">
        <v>134560</v>
      </c>
      <c r="AB175">
        <v>137329</v>
      </c>
      <c r="AC175">
        <v>82780</v>
      </c>
      <c r="AD175">
        <v>166074.51</v>
      </c>
    </row>
    <row r="176" spans="1:30" x14ac:dyDescent="0.3">
      <c r="A176" t="s">
        <v>93</v>
      </c>
      <c r="B176" t="s">
        <v>36</v>
      </c>
      <c r="C176" t="s">
        <v>30</v>
      </c>
      <c r="E176">
        <v>-1620367.03</v>
      </c>
      <c r="F176">
        <v>-1854578.77</v>
      </c>
      <c r="G176">
        <v>-1676241.19</v>
      </c>
      <c r="H176">
        <v>-1734877.94</v>
      </c>
      <c r="I176">
        <v>-1870202.19</v>
      </c>
      <c r="J176">
        <v>-1850334.62</v>
      </c>
      <c r="K176">
        <v>-1832540.59</v>
      </c>
      <c r="L176">
        <v>-1818078.64</v>
      </c>
      <c r="M176">
        <v>-1847301.8</v>
      </c>
      <c r="N176">
        <v>-1720225.89</v>
      </c>
      <c r="O176">
        <v>-1837200.67</v>
      </c>
      <c r="P176">
        <v>-1835871.27</v>
      </c>
      <c r="Q176">
        <v>-1752283.28</v>
      </c>
      <c r="R176">
        <v>-1849265.8</v>
      </c>
      <c r="S176">
        <v>-1810407.7</v>
      </c>
      <c r="T176">
        <v>-1897971.07</v>
      </c>
      <c r="U176">
        <v>-1890642.94</v>
      </c>
      <c r="V176">
        <v>-1873737.35</v>
      </c>
      <c r="W176">
        <v>-1800957.98</v>
      </c>
      <c r="X176">
        <v>-1743577.59</v>
      </c>
      <c r="Y176">
        <v>-1959599.98</v>
      </c>
      <c r="Z176">
        <v>-1811835.66</v>
      </c>
      <c r="AA176">
        <v>-1930602.36</v>
      </c>
      <c r="AB176">
        <v>-1817883.2</v>
      </c>
      <c r="AC176">
        <v>-1872915.25</v>
      </c>
      <c r="AD176">
        <v>-1804540.46</v>
      </c>
    </row>
    <row r="177" spans="1:30" x14ac:dyDescent="0.3">
      <c r="A177" t="s">
        <v>93</v>
      </c>
      <c r="B177" t="s">
        <v>36</v>
      </c>
      <c r="C177" t="s">
        <v>18</v>
      </c>
      <c r="D177" t="s">
        <v>30</v>
      </c>
      <c r="E177">
        <v>-1168550.28</v>
      </c>
      <c r="F177">
        <v>-1330326.68</v>
      </c>
      <c r="G177">
        <v>-1166634.5900000001</v>
      </c>
      <c r="H177">
        <v>-1194361.26</v>
      </c>
      <c r="I177">
        <v>-1323195.6399999999</v>
      </c>
      <c r="J177">
        <v>-1292967.5900000001</v>
      </c>
      <c r="K177">
        <v>-1326957.1000000001</v>
      </c>
      <c r="L177">
        <v>-1290031.07</v>
      </c>
      <c r="M177">
        <v>-1281413.45</v>
      </c>
      <c r="N177">
        <v>-1157475.07</v>
      </c>
      <c r="O177">
        <v>-1238627.57</v>
      </c>
      <c r="P177">
        <v>-1254187.8</v>
      </c>
      <c r="Q177">
        <v>-1236301.54</v>
      </c>
      <c r="R177">
        <v>-1319324.74</v>
      </c>
      <c r="S177">
        <v>-1283923.3500000001</v>
      </c>
      <c r="T177">
        <v>-1361736.3</v>
      </c>
      <c r="U177">
        <v>-1349584.41</v>
      </c>
      <c r="V177">
        <v>-1318828.8899999999</v>
      </c>
      <c r="W177">
        <v>-1318108.03</v>
      </c>
      <c r="X177">
        <v>-1287148.46</v>
      </c>
      <c r="Y177">
        <v>-1322658.23</v>
      </c>
      <c r="Z177">
        <v>-1327543.98</v>
      </c>
      <c r="AA177">
        <v>-1259949.78</v>
      </c>
      <c r="AB177">
        <v>-1288716.3999999999</v>
      </c>
      <c r="AC177">
        <v>-1291151.42</v>
      </c>
      <c r="AD177">
        <v>-1386911.82</v>
      </c>
    </row>
    <row r="178" spans="1:30" x14ac:dyDescent="0.3">
      <c r="A178" t="s">
        <v>93</v>
      </c>
      <c r="B178" t="s">
        <v>36</v>
      </c>
      <c r="C178" t="s">
        <v>37</v>
      </c>
      <c r="D178" t="s">
        <v>30</v>
      </c>
      <c r="E178">
        <v>-451816.75</v>
      </c>
      <c r="F178">
        <v>-524252.09</v>
      </c>
      <c r="G178">
        <v>-509606.6</v>
      </c>
      <c r="H178">
        <v>-540516.68000000005</v>
      </c>
      <c r="I178">
        <v>-547006.55000000005</v>
      </c>
      <c r="J178">
        <v>-557367.03</v>
      </c>
      <c r="K178">
        <v>-505583.49</v>
      </c>
      <c r="L178">
        <v>-528047.56999999995</v>
      </c>
      <c r="M178">
        <v>-565888.35</v>
      </c>
      <c r="N178">
        <v>-562750.81999999995</v>
      </c>
      <c r="O178">
        <v>-598573.1</v>
      </c>
      <c r="P178">
        <v>-581683.47</v>
      </c>
      <c r="Q178">
        <v>-515981.74</v>
      </c>
      <c r="R178">
        <v>-529941.06000000006</v>
      </c>
      <c r="S178">
        <v>-526484.35</v>
      </c>
      <c r="T178">
        <v>-536234.77</v>
      </c>
      <c r="U178">
        <v>-541058.53</v>
      </c>
      <c r="V178">
        <v>-554908.46</v>
      </c>
      <c r="W178">
        <v>-482849.95</v>
      </c>
      <c r="X178">
        <v>-456429.13</v>
      </c>
      <c r="Y178">
        <v>-636941.75</v>
      </c>
      <c r="Z178">
        <v>-484291.68</v>
      </c>
      <c r="AA178">
        <v>-670652.57999999996</v>
      </c>
      <c r="AB178">
        <v>-529166.80000000005</v>
      </c>
      <c r="AC178">
        <v>-581763.82999999996</v>
      </c>
      <c r="AD178">
        <v>-417628.64</v>
      </c>
    </row>
    <row r="179" spans="1:30" x14ac:dyDescent="0.3">
      <c r="A179" t="s">
        <v>93</v>
      </c>
      <c r="B179" t="s">
        <v>38</v>
      </c>
      <c r="C179" t="s">
        <v>30</v>
      </c>
      <c r="E179">
        <v>536045.92000000004</v>
      </c>
      <c r="F179">
        <v>165304.54999999999</v>
      </c>
      <c r="G179">
        <v>327626.25</v>
      </c>
      <c r="H179">
        <v>277348.73</v>
      </c>
      <c r="I179">
        <v>167351.70000000001</v>
      </c>
      <c r="J179">
        <v>248002.66</v>
      </c>
      <c r="K179">
        <v>175010.52</v>
      </c>
      <c r="L179">
        <v>176015.77</v>
      </c>
      <c r="M179">
        <v>136036.70000000001</v>
      </c>
      <c r="N179">
        <v>309084.2</v>
      </c>
      <c r="O179">
        <v>181500.47</v>
      </c>
      <c r="P179">
        <v>316550.01</v>
      </c>
      <c r="Q179">
        <v>270528.39</v>
      </c>
      <c r="R179">
        <v>293443.92</v>
      </c>
      <c r="S179">
        <v>327821.09999999998</v>
      </c>
      <c r="T179">
        <v>290359.39</v>
      </c>
      <c r="U179">
        <v>258829.85</v>
      </c>
      <c r="V179">
        <v>280496.3</v>
      </c>
      <c r="W179">
        <v>346082.57</v>
      </c>
      <c r="X179">
        <v>376891.92</v>
      </c>
      <c r="Y179">
        <v>141167.12</v>
      </c>
      <c r="Z179">
        <v>377230.73</v>
      </c>
      <c r="AA179">
        <v>211166.31</v>
      </c>
      <c r="AB179">
        <v>364803.28</v>
      </c>
      <c r="AC179">
        <v>357770.47</v>
      </c>
      <c r="AD179">
        <v>299814.53999999998</v>
      </c>
    </row>
    <row r="180" spans="1:30" x14ac:dyDescent="0.3">
      <c r="A180" t="s">
        <v>93</v>
      </c>
      <c r="B180" t="s">
        <v>39</v>
      </c>
      <c r="C180" t="s">
        <v>30</v>
      </c>
      <c r="E180">
        <v>-119718.68</v>
      </c>
      <c r="F180">
        <v>-147453.82</v>
      </c>
      <c r="G180">
        <v>-165893.99</v>
      </c>
      <c r="H180">
        <v>-166635.42000000001</v>
      </c>
      <c r="I180">
        <v>-171400.93</v>
      </c>
      <c r="J180">
        <v>-146566.19</v>
      </c>
      <c r="K180">
        <v>-156411.16</v>
      </c>
      <c r="L180">
        <v>-135912.35999999999</v>
      </c>
      <c r="M180">
        <v>-149758.66</v>
      </c>
      <c r="N180">
        <v>-148284.81</v>
      </c>
      <c r="O180">
        <v>-157476.71</v>
      </c>
      <c r="P180">
        <v>-163754.29999999999</v>
      </c>
      <c r="Q180">
        <v>-182569.67</v>
      </c>
      <c r="R180">
        <v>-158769.66</v>
      </c>
      <c r="S180">
        <v>-187370.22</v>
      </c>
      <c r="T180">
        <v>-194577.89</v>
      </c>
      <c r="U180">
        <v>-191809.62</v>
      </c>
      <c r="V180">
        <v>-195061.75</v>
      </c>
      <c r="W180">
        <v>-206649.52</v>
      </c>
      <c r="X180">
        <v>-194984.15</v>
      </c>
      <c r="Y180">
        <v>-213769.24</v>
      </c>
      <c r="Z180">
        <v>-194472.07</v>
      </c>
      <c r="AA180">
        <v>-197971.24</v>
      </c>
      <c r="AB180">
        <v>-197227.16</v>
      </c>
      <c r="AC180">
        <v>-209152.88</v>
      </c>
      <c r="AD180">
        <v>-186054.81</v>
      </c>
    </row>
    <row r="181" spans="1:30" x14ac:dyDescent="0.3">
      <c r="A181" t="s">
        <v>93</v>
      </c>
      <c r="B181" t="s">
        <v>39</v>
      </c>
      <c r="C181" t="s">
        <v>40</v>
      </c>
      <c r="D181" t="s">
        <v>30</v>
      </c>
      <c r="E181">
        <v>-140718.68</v>
      </c>
      <c r="F181">
        <v>-169806.82</v>
      </c>
      <c r="G181">
        <v>-185280.99</v>
      </c>
      <c r="H181">
        <v>-188987.04</v>
      </c>
      <c r="I181">
        <v>-192531.93</v>
      </c>
      <c r="J181">
        <v>-168990.67</v>
      </c>
      <c r="K181">
        <v>-176411.16</v>
      </c>
      <c r="L181">
        <v>-167564.46</v>
      </c>
      <c r="M181">
        <v>-182176.66</v>
      </c>
      <c r="N181">
        <v>-180784.81</v>
      </c>
      <c r="O181">
        <v>-179053.71</v>
      </c>
      <c r="P181">
        <v>-186254.3</v>
      </c>
      <c r="Q181">
        <v>-204669.34</v>
      </c>
      <c r="R181">
        <v>-185269.66</v>
      </c>
      <c r="S181">
        <v>-213870.22</v>
      </c>
      <c r="T181">
        <v>-221053.09</v>
      </c>
      <c r="U181">
        <v>-218309.62</v>
      </c>
      <c r="V181">
        <v>-221561.75</v>
      </c>
      <c r="W181">
        <v>-233080.52</v>
      </c>
      <c r="X181">
        <v>-221484.15</v>
      </c>
      <c r="Y181">
        <v>-240269.24</v>
      </c>
      <c r="Z181">
        <v>-220972.07</v>
      </c>
      <c r="AA181">
        <v>-224471.24</v>
      </c>
      <c r="AB181">
        <v>-223410.16</v>
      </c>
      <c r="AC181">
        <v>-227433.88</v>
      </c>
      <c r="AD181">
        <v>-227254.81</v>
      </c>
    </row>
    <row r="182" spans="1:30" x14ac:dyDescent="0.3">
      <c r="A182" t="s">
        <v>93</v>
      </c>
      <c r="B182" t="s">
        <v>39</v>
      </c>
      <c r="C182" t="s">
        <v>41</v>
      </c>
      <c r="D182" t="s">
        <v>30</v>
      </c>
      <c r="E182">
        <v>21000</v>
      </c>
      <c r="F182">
        <v>22353</v>
      </c>
      <c r="G182">
        <v>19387</v>
      </c>
      <c r="H182">
        <v>22351.62</v>
      </c>
      <c r="I182">
        <v>21131</v>
      </c>
      <c r="J182">
        <v>22424.48</v>
      </c>
      <c r="K182">
        <v>20000</v>
      </c>
      <c r="L182">
        <v>31652.1</v>
      </c>
      <c r="M182">
        <v>32418</v>
      </c>
      <c r="N182">
        <v>32500</v>
      </c>
      <c r="O182">
        <v>21577</v>
      </c>
      <c r="P182">
        <v>22500</v>
      </c>
      <c r="Q182">
        <v>22099.67</v>
      </c>
      <c r="R182">
        <v>26500</v>
      </c>
      <c r="S182">
        <v>26500</v>
      </c>
      <c r="T182">
        <v>26475.200000000001</v>
      </c>
      <c r="U182">
        <v>26500</v>
      </c>
      <c r="V182">
        <v>26500</v>
      </c>
      <c r="W182">
        <v>26431</v>
      </c>
      <c r="X182">
        <v>26500</v>
      </c>
      <c r="Y182">
        <v>26500</v>
      </c>
      <c r="Z182">
        <v>26500</v>
      </c>
      <c r="AA182">
        <v>26500</v>
      </c>
      <c r="AB182">
        <v>26183</v>
      </c>
      <c r="AC182">
        <v>18281</v>
      </c>
      <c r="AD182">
        <v>41200</v>
      </c>
    </row>
    <row r="183" spans="1:30" x14ac:dyDescent="0.3">
      <c r="A183" t="s">
        <v>93</v>
      </c>
      <c r="B183" t="s">
        <v>42</v>
      </c>
      <c r="C183" t="s">
        <v>30</v>
      </c>
      <c r="E183">
        <v>416327.24</v>
      </c>
      <c r="F183">
        <v>17850.73</v>
      </c>
      <c r="G183">
        <v>161732.26</v>
      </c>
      <c r="H183">
        <v>110713.31</v>
      </c>
      <c r="I183">
        <v>-4049.23</v>
      </c>
      <c r="J183">
        <v>101436.47</v>
      </c>
      <c r="K183">
        <v>18599.36</v>
      </c>
      <c r="L183">
        <v>40103.410000000003</v>
      </c>
      <c r="M183">
        <v>-13721.96</v>
      </c>
      <c r="N183">
        <v>160799.39000000001</v>
      </c>
      <c r="O183">
        <v>24023.759999999998</v>
      </c>
      <c r="P183">
        <v>152795.71</v>
      </c>
      <c r="Q183">
        <v>87958.720000000001</v>
      </c>
      <c r="R183">
        <v>134674.26</v>
      </c>
      <c r="S183">
        <v>140450.88</v>
      </c>
      <c r="T183">
        <v>95781.5</v>
      </c>
      <c r="U183">
        <v>67020.23</v>
      </c>
      <c r="V183">
        <v>85434.55</v>
      </c>
      <c r="W183">
        <v>139433.04999999999</v>
      </c>
      <c r="X183">
        <v>181907.77</v>
      </c>
      <c r="Y183">
        <v>-72602.12</v>
      </c>
      <c r="Z183">
        <v>182758.66</v>
      </c>
      <c r="AA183">
        <v>13195.07</v>
      </c>
      <c r="AB183">
        <v>167576.12</v>
      </c>
      <c r="AC183">
        <v>148617.59</v>
      </c>
      <c r="AD183">
        <v>113759.73</v>
      </c>
    </row>
    <row r="184" spans="1:30" x14ac:dyDescent="0.3">
      <c r="A184" t="s">
        <v>93</v>
      </c>
      <c r="B184" t="s">
        <v>43</v>
      </c>
      <c r="C184" t="s">
        <v>30</v>
      </c>
      <c r="E184">
        <v>-211235</v>
      </c>
    </row>
    <row r="185" spans="1:30" x14ac:dyDescent="0.3">
      <c r="A185" t="s">
        <v>93</v>
      </c>
      <c r="B185" t="s">
        <v>43</v>
      </c>
      <c r="C185" t="s">
        <v>123</v>
      </c>
      <c r="D185" t="s">
        <v>30</v>
      </c>
      <c r="E185">
        <v>-71755</v>
      </c>
    </row>
    <row r="186" spans="1:30" x14ac:dyDescent="0.3">
      <c r="A186" t="s">
        <v>93</v>
      </c>
      <c r="B186" t="s">
        <v>43</v>
      </c>
      <c r="C186" t="s">
        <v>124</v>
      </c>
      <c r="D186" t="s">
        <v>30</v>
      </c>
      <c r="E186">
        <v>-139480</v>
      </c>
    </row>
    <row r="187" spans="1:30" x14ac:dyDescent="0.3">
      <c r="A187" t="s">
        <v>93</v>
      </c>
      <c r="B187" t="s">
        <v>44</v>
      </c>
      <c r="C187" t="s">
        <v>30</v>
      </c>
      <c r="E187">
        <v>205092.24</v>
      </c>
      <c r="F187">
        <v>17850.73</v>
      </c>
      <c r="G187">
        <v>161732.26</v>
      </c>
      <c r="H187">
        <v>110713.31</v>
      </c>
      <c r="I187">
        <v>-4049.23</v>
      </c>
      <c r="J187">
        <v>101436.47</v>
      </c>
      <c r="K187">
        <v>18599.36</v>
      </c>
      <c r="L187">
        <v>40103.410000000003</v>
      </c>
      <c r="M187">
        <v>-13721.96</v>
      </c>
      <c r="N187">
        <v>160799.39000000001</v>
      </c>
      <c r="O187">
        <v>24023.759999999998</v>
      </c>
      <c r="P187">
        <v>152795.71</v>
      </c>
      <c r="Q187">
        <v>87958.720000000001</v>
      </c>
      <c r="R187">
        <v>134674.26</v>
      </c>
      <c r="S187">
        <v>140450.88</v>
      </c>
      <c r="T187">
        <v>95781.5</v>
      </c>
      <c r="U187">
        <v>67020.23</v>
      </c>
      <c r="V187">
        <v>85434.55</v>
      </c>
      <c r="W187">
        <v>139433.04999999999</v>
      </c>
      <c r="X187">
        <v>181907.77</v>
      </c>
      <c r="Y187">
        <v>-72602.12</v>
      </c>
      <c r="Z187">
        <v>182758.66</v>
      </c>
      <c r="AA187">
        <v>13195.07</v>
      </c>
      <c r="AB187">
        <v>167576.12</v>
      </c>
      <c r="AC187">
        <v>148617.59</v>
      </c>
      <c r="AD187">
        <v>113759.73</v>
      </c>
    </row>
    <row r="188" spans="1:30" x14ac:dyDescent="0.3">
      <c r="A188" t="s">
        <v>93</v>
      </c>
      <c r="B188" t="s">
        <v>45</v>
      </c>
      <c r="C188" t="s">
        <v>30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</row>
    <row r="189" spans="1:30" x14ac:dyDescent="0.3">
      <c r="A189" t="s">
        <v>93</v>
      </c>
      <c r="B189" t="s">
        <v>46</v>
      </c>
      <c r="C189" t="s">
        <v>30</v>
      </c>
      <c r="E189">
        <v>205092.24</v>
      </c>
      <c r="F189">
        <v>17850.73</v>
      </c>
      <c r="G189">
        <v>161732.26</v>
      </c>
      <c r="H189">
        <v>110713.31</v>
      </c>
      <c r="I189">
        <v>-4049.23</v>
      </c>
      <c r="J189">
        <v>101436.47</v>
      </c>
      <c r="K189">
        <v>18599.36</v>
      </c>
      <c r="L189">
        <v>40103.410000000003</v>
      </c>
      <c r="M189">
        <v>-13721.96</v>
      </c>
      <c r="N189">
        <v>160799.39000000001</v>
      </c>
      <c r="O189">
        <v>24023.759999999998</v>
      </c>
      <c r="P189">
        <v>152795.71</v>
      </c>
      <c r="Q189">
        <v>87958.720000000001</v>
      </c>
      <c r="R189">
        <v>134674.26</v>
      </c>
      <c r="S189">
        <v>140450.88</v>
      </c>
      <c r="T189">
        <v>95781.5</v>
      </c>
      <c r="U189">
        <v>67020.23</v>
      </c>
      <c r="V189">
        <v>85434.55</v>
      </c>
      <c r="W189">
        <v>139433.04999999999</v>
      </c>
      <c r="X189">
        <v>181907.77</v>
      </c>
      <c r="Y189">
        <v>-72602.12</v>
      </c>
      <c r="Z189">
        <v>182758.66</v>
      </c>
      <c r="AA189">
        <v>13195.07</v>
      </c>
      <c r="AB189">
        <v>167576.12</v>
      </c>
      <c r="AC189">
        <v>148617.59</v>
      </c>
      <c r="AD189">
        <v>113759.73</v>
      </c>
    </row>
    <row r="190" spans="1:30" x14ac:dyDescent="0.3">
      <c r="A190" t="s">
        <v>93</v>
      </c>
      <c r="B190" t="s">
        <v>47</v>
      </c>
      <c r="C190" t="s">
        <v>30</v>
      </c>
      <c r="E190">
        <v>-2272</v>
      </c>
      <c r="F190">
        <v>-2272</v>
      </c>
      <c r="G190">
        <v>-2272</v>
      </c>
      <c r="H190">
        <v>-2272</v>
      </c>
      <c r="I190">
        <v>-2272</v>
      </c>
      <c r="J190">
        <v>-2272</v>
      </c>
      <c r="K190">
        <v>-2272</v>
      </c>
      <c r="L190">
        <v>-2272</v>
      </c>
      <c r="M190">
        <v>-2272</v>
      </c>
      <c r="N190">
        <v>-2272</v>
      </c>
      <c r="O190">
        <v>-2272</v>
      </c>
      <c r="P190">
        <v>-2272</v>
      </c>
      <c r="Q190">
        <v>-2272</v>
      </c>
      <c r="R190">
        <v>-2272</v>
      </c>
      <c r="T190">
        <v>-4545</v>
      </c>
      <c r="U190">
        <v>-2272</v>
      </c>
      <c r="V190">
        <v>-2272</v>
      </c>
      <c r="W190">
        <v>-2272</v>
      </c>
      <c r="Y190">
        <v>-4545</v>
      </c>
      <c r="Z190">
        <v>-2272</v>
      </c>
      <c r="AA190">
        <v>-2272</v>
      </c>
      <c r="AB190">
        <v>-2272</v>
      </c>
      <c r="AC190">
        <v>-2272</v>
      </c>
      <c r="AD190">
        <v>-2272</v>
      </c>
    </row>
    <row r="191" spans="1:30" x14ac:dyDescent="0.3">
      <c r="A191" t="s">
        <v>93</v>
      </c>
      <c r="B191" t="s">
        <v>30</v>
      </c>
      <c r="C191" t="s">
        <v>30</v>
      </c>
      <c r="E191">
        <v>202820.24</v>
      </c>
      <c r="F191">
        <v>15578.73</v>
      </c>
      <c r="G191">
        <v>159460.26</v>
      </c>
      <c r="H191">
        <v>108441.31</v>
      </c>
      <c r="I191">
        <v>-6321.23</v>
      </c>
      <c r="J191">
        <v>99164.47</v>
      </c>
      <c r="K191">
        <v>16327.36</v>
      </c>
      <c r="L191">
        <v>37831.410000000003</v>
      </c>
      <c r="M191">
        <v>-15993.96</v>
      </c>
      <c r="N191">
        <v>158527.39000000001</v>
      </c>
      <c r="O191">
        <v>21751.759999999998</v>
      </c>
      <c r="P191">
        <v>150523.71</v>
      </c>
      <c r="Q191">
        <v>85686.720000000001</v>
      </c>
      <c r="R191">
        <v>132402.26</v>
      </c>
      <c r="S191">
        <v>140450.88</v>
      </c>
      <c r="T191">
        <v>91236.5</v>
      </c>
      <c r="U191">
        <v>64748.23</v>
      </c>
      <c r="V191">
        <v>83162.55</v>
      </c>
      <c r="W191">
        <v>137161.04999999999</v>
      </c>
      <c r="X191">
        <v>181907.77</v>
      </c>
      <c r="Y191">
        <v>-77147.12</v>
      </c>
      <c r="Z191">
        <v>180486.66</v>
      </c>
      <c r="AA191">
        <v>10923.07</v>
      </c>
      <c r="AB191">
        <v>165304.12</v>
      </c>
      <c r="AC191">
        <v>146345.59</v>
      </c>
      <c r="AD191">
        <v>111487.73</v>
      </c>
    </row>
    <row r="192" spans="1:30" x14ac:dyDescent="0.3">
      <c r="A192" t="s">
        <v>93</v>
      </c>
      <c r="B192" t="s">
        <v>30</v>
      </c>
    </row>
    <row r="193" spans="1:30" x14ac:dyDescent="0.3">
      <c r="A193" t="s">
        <v>93</v>
      </c>
    </row>
    <row r="194" spans="1:30" x14ac:dyDescent="0.3">
      <c r="A194" t="s">
        <v>93</v>
      </c>
      <c r="B194" t="s">
        <v>135</v>
      </c>
    </row>
    <row r="195" spans="1:30" x14ac:dyDescent="0.3">
      <c r="A195" t="s">
        <v>94</v>
      </c>
      <c r="B195" t="s">
        <v>22</v>
      </c>
      <c r="E195">
        <v>202312</v>
      </c>
      <c r="F195">
        <v>202401</v>
      </c>
      <c r="G195">
        <v>202402</v>
      </c>
      <c r="H195">
        <v>202403</v>
      </c>
      <c r="I195">
        <v>202404</v>
      </c>
      <c r="J195">
        <v>202405</v>
      </c>
      <c r="K195">
        <v>202406</v>
      </c>
      <c r="L195">
        <v>202407</v>
      </c>
      <c r="M195">
        <v>202408</v>
      </c>
      <c r="N195">
        <v>202409</v>
      </c>
      <c r="O195">
        <v>202410</v>
      </c>
      <c r="P195">
        <v>202411</v>
      </c>
      <c r="Q195">
        <v>202412</v>
      </c>
      <c r="R195">
        <v>202501</v>
      </c>
      <c r="S195">
        <v>202502</v>
      </c>
      <c r="T195">
        <v>202503</v>
      </c>
      <c r="U195">
        <v>202504</v>
      </c>
      <c r="V195">
        <v>202505</v>
      </c>
      <c r="W195">
        <v>202506</v>
      </c>
      <c r="X195">
        <v>202507</v>
      </c>
      <c r="Y195">
        <v>202508</v>
      </c>
      <c r="Z195">
        <v>202509</v>
      </c>
      <c r="AA195">
        <v>202510</v>
      </c>
      <c r="AB195">
        <v>202511</v>
      </c>
      <c r="AC195">
        <v>202512</v>
      </c>
      <c r="AD195">
        <v>202601</v>
      </c>
    </row>
    <row r="196" spans="1:30" x14ac:dyDescent="0.3">
      <c r="A196" t="s">
        <v>94</v>
      </c>
      <c r="B196" t="s">
        <v>23</v>
      </c>
      <c r="E196" t="s">
        <v>24</v>
      </c>
      <c r="F196" t="s">
        <v>24</v>
      </c>
      <c r="G196" t="s">
        <v>24</v>
      </c>
      <c r="H196" t="s">
        <v>24</v>
      </c>
      <c r="I196" t="s">
        <v>24</v>
      </c>
      <c r="J196" t="s">
        <v>24</v>
      </c>
      <c r="K196" t="s">
        <v>24</v>
      </c>
      <c r="L196" t="s">
        <v>24</v>
      </c>
      <c r="M196" t="s">
        <v>24</v>
      </c>
      <c r="N196" t="s">
        <v>24</v>
      </c>
      <c r="O196" t="s">
        <v>24</v>
      </c>
      <c r="P196" t="s">
        <v>24</v>
      </c>
      <c r="Q196" t="s">
        <v>24</v>
      </c>
      <c r="R196" t="s">
        <v>24</v>
      </c>
      <c r="S196" t="s">
        <v>24</v>
      </c>
      <c r="T196" t="s">
        <v>24</v>
      </c>
      <c r="U196" t="s">
        <v>24</v>
      </c>
      <c r="V196" t="s">
        <v>24</v>
      </c>
      <c r="W196" t="s">
        <v>24</v>
      </c>
      <c r="X196" t="s">
        <v>24</v>
      </c>
      <c r="Y196" t="s">
        <v>24</v>
      </c>
      <c r="Z196" t="s">
        <v>24</v>
      </c>
      <c r="AA196" t="s">
        <v>24</v>
      </c>
      <c r="AB196" t="s">
        <v>24</v>
      </c>
      <c r="AC196" t="s">
        <v>24</v>
      </c>
      <c r="AD196" t="s">
        <v>24</v>
      </c>
    </row>
    <row r="197" spans="1:30" x14ac:dyDescent="0.3">
      <c r="A197" t="s">
        <v>94</v>
      </c>
      <c r="B197" t="s">
        <v>25</v>
      </c>
      <c r="C197" t="s">
        <v>26</v>
      </c>
      <c r="D197" t="s">
        <v>27</v>
      </c>
      <c r="E197" t="s">
        <v>28</v>
      </c>
      <c r="F197" t="s">
        <v>28</v>
      </c>
      <c r="G197" t="s">
        <v>28</v>
      </c>
      <c r="H197" t="s">
        <v>28</v>
      </c>
      <c r="I197" t="s">
        <v>28</v>
      </c>
      <c r="J197" t="s">
        <v>28</v>
      </c>
      <c r="K197" t="s">
        <v>28</v>
      </c>
      <c r="L197" t="s">
        <v>28</v>
      </c>
      <c r="M197" t="s">
        <v>28</v>
      </c>
      <c r="N197" t="s">
        <v>28</v>
      </c>
      <c r="O197" t="s">
        <v>28</v>
      </c>
      <c r="P197" t="s">
        <v>28</v>
      </c>
      <c r="Q197" t="s">
        <v>28</v>
      </c>
      <c r="R197" t="s">
        <v>28</v>
      </c>
      <c r="S197" t="s">
        <v>28</v>
      </c>
      <c r="T197" t="s">
        <v>28</v>
      </c>
      <c r="U197" t="s">
        <v>28</v>
      </c>
      <c r="V197" t="s">
        <v>28</v>
      </c>
      <c r="W197" t="s">
        <v>28</v>
      </c>
      <c r="X197" t="s">
        <v>28</v>
      </c>
      <c r="Y197" t="s">
        <v>28</v>
      </c>
      <c r="Z197" t="s">
        <v>28</v>
      </c>
      <c r="AA197" t="s">
        <v>28</v>
      </c>
      <c r="AB197" t="s">
        <v>28</v>
      </c>
      <c r="AC197" t="s">
        <v>28</v>
      </c>
      <c r="AD197" t="s">
        <v>28</v>
      </c>
    </row>
    <row r="198" spans="1:30" x14ac:dyDescent="0.3">
      <c r="A198" t="s">
        <v>94</v>
      </c>
      <c r="B198" t="s">
        <v>29</v>
      </c>
      <c r="C198" t="s">
        <v>30</v>
      </c>
      <c r="E198">
        <v>497646.02</v>
      </c>
      <c r="F198">
        <v>517007.84</v>
      </c>
      <c r="G198">
        <v>505037.48</v>
      </c>
      <c r="H198">
        <v>519181.08</v>
      </c>
      <c r="I198">
        <v>520542.45</v>
      </c>
      <c r="J198">
        <v>504586.34</v>
      </c>
      <c r="K198">
        <v>512937.12</v>
      </c>
      <c r="L198">
        <v>514545.07</v>
      </c>
      <c r="M198">
        <v>514107.6</v>
      </c>
      <c r="N198">
        <v>574411.14</v>
      </c>
      <c r="O198">
        <v>505797.35</v>
      </c>
      <c r="P198">
        <v>507190.52</v>
      </c>
      <c r="Q198">
        <v>506448.46</v>
      </c>
      <c r="R198">
        <v>544592</v>
      </c>
      <c r="S198">
        <v>543423.31999999995</v>
      </c>
      <c r="T198">
        <v>547076.94999999995</v>
      </c>
      <c r="U198">
        <v>556620.18000000005</v>
      </c>
      <c r="V198">
        <v>552588.12</v>
      </c>
      <c r="W198">
        <v>540302.43999999994</v>
      </c>
      <c r="X198">
        <v>566923.22</v>
      </c>
      <c r="Y198">
        <v>556723.97</v>
      </c>
      <c r="Z198">
        <v>623125.69999999995</v>
      </c>
      <c r="AA198">
        <v>552291.56000000006</v>
      </c>
      <c r="AB198">
        <v>559717.79</v>
      </c>
      <c r="AC198">
        <v>546681.57999999996</v>
      </c>
      <c r="AD198">
        <v>493160.2</v>
      </c>
    </row>
    <row r="199" spans="1:30" x14ac:dyDescent="0.3">
      <c r="A199" t="s">
        <v>94</v>
      </c>
      <c r="B199" t="s">
        <v>29</v>
      </c>
      <c r="C199" t="s">
        <v>31</v>
      </c>
      <c r="D199" t="s">
        <v>30</v>
      </c>
      <c r="E199">
        <v>500777.02</v>
      </c>
      <c r="F199">
        <v>514927.84</v>
      </c>
      <c r="G199">
        <v>503777.48</v>
      </c>
      <c r="H199">
        <v>518191.08</v>
      </c>
      <c r="I199">
        <v>519062.45</v>
      </c>
      <c r="J199">
        <v>503196.34</v>
      </c>
      <c r="K199">
        <v>510417.12</v>
      </c>
      <c r="L199">
        <v>513155.07</v>
      </c>
      <c r="M199">
        <v>513217.6</v>
      </c>
      <c r="N199">
        <v>507122.5</v>
      </c>
      <c r="O199">
        <v>503957.35</v>
      </c>
      <c r="P199">
        <v>503850.52</v>
      </c>
      <c r="Q199">
        <v>505698.15</v>
      </c>
      <c r="R199">
        <v>513342</v>
      </c>
      <c r="S199">
        <v>512533.32</v>
      </c>
      <c r="T199">
        <v>516626.95</v>
      </c>
      <c r="U199">
        <v>525943.03</v>
      </c>
      <c r="V199">
        <v>521338.12</v>
      </c>
      <c r="W199">
        <v>509892.44</v>
      </c>
      <c r="X199">
        <v>535673.22</v>
      </c>
      <c r="Y199">
        <v>524653.97</v>
      </c>
      <c r="Z199">
        <v>533625.69999999995</v>
      </c>
      <c r="AA199">
        <v>520951.56</v>
      </c>
      <c r="AB199">
        <v>529217.79</v>
      </c>
      <c r="AC199">
        <v>517181.58</v>
      </c>
      <c r="AD199">
        <v>493036.77</v>
      </c>
    </row>
    <row r="200" spans="1:30" x14ac:dyDescent="0.3">
      <c r="A200" t="s">
        <v>94</v>
      </c>
      <c r="B200" t="s">
        <v>29</v>
      </c>
      <c r="C200" t="s">
        <v>31</v>
      </c>
      <c r="D200" t="s">
        <v>32</v>
      </c>
      <c r="E200">
        <v>485839.86</v>
      </c>
      <c r="F200">
        <v>478426.45</v>
      </c>
      <c r="G200">
        <v>471301.48</v>
      </c>
      <c r="H200">
        <v>482720.73</v>
      </c>
      <c r="I200">
        <v>474241.52</v>
      </c>
      <c r="J200">
        <v>471309.34</v>
      </c>
      <c r="K200">
        <v>476785.22</v>
      </c>
      <c r="L200">
        <v>480948.07</v>
      </c>
      <c r="M200">
        <v>468300.6</v>
      </c>
      <c r="N200">
        <v>470895.5</v>
      </c>
      <c r="O200">
        <v>470266.97</v>
      </c>
      <c r="P200">
        <v>469379.52</v>
      </c>
      <c r="Q200">
        <v>472636.7</v>
      </c>
      <c r="R200">
        <v>488574.21</v>
      </c>
      <c r="S200">
        <v>488764.65</v>
      </c>
      <c r="T200">
        <v>488691.16</v>
      </c>
      <c r="U200">
        <v>490569.68</v>
      </c>
      <c r="V200">
        <v>490569.68</v>
      </c>
      <c r="W200">
        <v>479323.44</v>
      </c>
      <c r="X200">
        <v>505544.22</v>
      </c>
      <c r="Y200">
        <v>479942.55</v>
      </c>
      <c r="Z200">
        <v>496276.55</v>
      </c>
      <c r="AA200">
        <v>490506.56</v>
      </c>
      <c r="AB200">
        <v>492665.69</v>
      </c>
      <c r="AC200">
        <v>486576.58</v>
      </c>
      <c r="AD200">
        <v>493036.77</v>
      </c>
    </row>
    <row r="201" spans="1:30" x14ac:dyDescent="0.3">
      <c r="A201" t="s">
        <v>94</v>
      </c>
      <c r="B201" t="s">
        <v>29</v>
      </c>
      <c r="C201" t="s">
        <v>31</v>
      </c>
      <c r="D201" t="s">
        <v>33</v>
      </c>
      <c r="E201">
        <v>14726.16</v>
      </c>
      <c r="F201">
        <v>5094.3900000000003</v>
      </c>
      <c r="G201">
        <v>300</v>
      </c>
      <c r="H201">
        <v>3903.35</v>
      </c>
      <c r="I201">
        <v>13213.93</v>
      </c>
      <c r="J201">
        <v>480</v>
      </c>
      <c r="K201">
        <v>-0.1</v>
      </c>
      <c r="L201">
        <v>800</v>
      </c>
      <c r="M201">
        <v>12850</v>
      </c>
      <c r="N201">
        <v>4280</v>
      </c>
      <c r="O201">
        <v>1483.38</v>
      </c>
      <c r="P201">
        <v>2180</v>
      </c>
      <c r="Q201">
        <v>1254.45</v>
      </c>
      <c r="R201">
        <v>4207.79</v>
      </c>
      <c r="S201">
        <v>4008.67</v>
      </c>
      <c r="T201">
        <v>5663.19</v>
      </c>
      <c r="U201">
        <v>4494.3500000000004</v>
      </c>
      <c r="V201">
        <v>519.44000000000005</v>
      </c>
      <c r="Y201">
        <v>13782.42</v>
      </c>
      <c r="Z201">
        <v>6964.15</v>
      </c>
      <c r="AB201">
        <v>162.1</v>
      </c>
    </row>
    <row r="202" spans="1:30" x14ac:dyDescent="0.3">
      <c r="A202" t="s">
        <v>94</v>
      </c>
      <c r="B202" t="s">
        <v>29</v>
      </c>
      <c r="C202" t="s">
        <v>31</v>
      </c>
      <c r="D202" t="s">
        <v>34</v>
      </c>
      <c r="E202">
        <v>211</v>
      </c>
      <c r="F202">
        <v>31407</v>
      </c>
      <c r="G202">
        <v>32176</v>
      </c>
      <c r="H202">
        <v>31567</v>
      </c>
      <c r="I202">
        <v>31607</v>
      </c>
      <c r="J202">
        <v>31407</v>
      </c>
      <c r="K202">
        <v>33632</v>
      </c>
      <c r="L202">
        <v>31407</v>
      </c>
      <c r="M202">
        <v>32067</v>
      </c>
      <c r="N202">
        <v>31947</v>
      </c>
      <c r="O202">
        <v>32207</v>
      </c>
      <c r="P202">
        <v>32291</v>
      </c>
      <c r="Q202">
        <v>31807</v>
      </c>
      <c r="R202">
        <v>20560</v>
      </c>
      <c r="S202">
        <v>19760</v>
      </c>
      <c r="T202">
        <v>22272.6</v>
      </c>
      <c r="U202">
        <v>30879</v>
      </c>
      <c r="V202">
        <v>30249</v>
      </c>
      <c r="W202">
        <v>30569</v>
      </c>
      <c r="X202">
        <v>30129</v>
      </c>
      <c r="Y202">
        <v>30929</v>
      </c>
      <c r="Z202">
        <v>30385</v>
      </c>
      <c r="AA202">
        <v>30445</v>
      </c>
      <c r="AB202">
        <v>36390</v>
      </c>
      <c r="AC202">
        <v>30605</v>
      </c>
    </row>
    <row r="203" spans="1:30" x14ac:dyDescent="0.3">
      <c r="A203" t="s">
        <v>94</v>
      </c>
      <c r="B203" t="s">
        <v>29</v>
      </c>
      <c r="C203" t="s">
        <v>35</v>
      </c>
      <c r="D203" t="s">
        <v>30</v>
      </c>
      <c r="E203">
        <v>-3131</v>
      </c>
      <c r="F203">
        <v>2080</v>
      </c>
      <c r="G203">
        <v>1260</v>
      </c>
      <c r="H203">
        <v>990</v>
      </c>
      <c r="I203">
        <v>1480</v>
      </c>
      <c r="J203">
        <v>1390</v>
      </c>
      <c r="K203">
        <v>2520</v>
      </c>
      <c r="L203">
        <v>1390</v>
      </c>
      <c r="M203">
        <v>890</v>
      </c>
      <c r="N203">
        <v>67288.639999999999</v>
      </c>
      <c r="O203">
        <v>1840</v>
      </c>
      <c r="P203">
        <v>3340</v>
      </c>
      <c r="Q203">
        <v>750.31</v>
      </c>
      <c r="R203">
        <v>31250</v>
      </c>
      <c r="S203">
        <v>30890</v>
      </c>
      <c r="T203">
        <v>30450</v>
      </c>
      <c r="U203">
        <v>30677.15</v>
      </c>
      <c r="V203">
        <v>31250</v>
      </c>
      <c r="W203">
        <v>30410</v>
      </c>
      <c r="X203">
        <v>31250</v>
      </c>
      <c r="Y203">
        <v>32070</v>
      </c>
      <c r="Z203">
        <v>89500</v>
      </c>
      <c r="AA203">
        <v>31340</v>
      </c>
      <c r="AB203">
        <v>30500</v>
      </c>
      <c r="AC203">
        <v>29500</v>
      </c>
      <c r="AD203">
        <v>123.43</v>
      </c>
    </row>
    <row r="204" spans="1:30" x14ac:dyDescent="0.3">
      <c r="A204" t="s">
        <v>94</v>
      </c>
      <c r="B204" t="s">
        <v>36</v>
      </c>
      <c r="C204" t="s">
        <v>30</v>
      </c>
      <c r="E204">
        <v>-247407.12</v>
      </c>
      <c r="F204">
        <v>-250583.48</v>
      </c>
      <c r="G204">
        <v>-348810.61</v>
      </c>
      <c r="H204">
        <v>-284285.15000000002</v>
      </c>
      <c r="I204">
        <v>-277974.34999999998</v>
      </c>
      <c r="J204">
        <v>-262126.59</v>
      </c>
      <c r="K204">
        <v>-257653.32</v>
      </c>
      <c r="L204">
        <v>-254818.49</v>
      </c>
      <c r="M204">
        <v>-272620.96999999997</v>
      </c>
      <c r="N204">
        <v>-284510.06</v>
      </c>
      <c r="O204">
        <v>-274707.25</v>
      </c>
      <c r="P204">
        <v>-267875.71000000002</v>
      </c>
      <c r="Q204">
        <v>-255823.47</v>
      </c>
      <c r="R204">
        <v>-184028</v>
      </c>
      <c r="S204">
        <v>-225153.22</v>
      </c>
      <c r="T204">
        <v>-206346.04</v>
      </c>
      <c r="U204">
        <v>-211786.31</v>
      </c>
      <c r="V204">
        <v>-221073.97</v>
      </c>
      <c r="W204">
        <v>-276350.24</v>
      </c>
      <c r="X204">
        <v>-170451.58</v>
      </c>
      <c r="Y204">
        <v>-214316.25</v>
      </c>
      <c r="Z204">
        <v>-209085.96</v>
      </c>
      <c r="AA204">
        <v>-236229.1</v>
      </c>
      <c r="AB204">
        <v>-255207.48</v>
      </c>
      <c r="AC204">
        <v>-199317.94</v>
      </c>
      <c r="AD204">
        <v>-187814.99</v>
      </c>
    </row>
    <row r="205" spans="1:30" x14ac:dyDescent="0.3">
      <c r="A205" t="s">
        <v>94</v>
      </c>
      <c r="B205" t="s">
        <v>36</v>
      </c>
      <c r="C205" t="s">
        <v>18</v>
      </c>
      <c r="D205" t="s">
        <v>30</v>
      </c>
      <c r="E205">
        <v>-120835.69</v>
      </c>
      <c r="F205">
        <v>-119910.46</v>
      </c>
      <c r="G205">
        <v>-224884.31</v>
      </c>
      <c r="H205">
        <v>-161576.10999999999</v>
      </c>
      <c r="I205">
        <v>-149698.69</v>
      </c>
      <c r="J205">
        <v>-149392.38</v>
      </c>
      <c r="K205">
        <v>-149843.06</v>
      </c>
      <c r="L205">
        <v>-135148.49</v>
      </c>
      <c r="M205">
        <v>-143483.23000000001</v>
      </c>
      <c r="N205">
        <v>-155671.10999999999</v>
      </c>
      <c r="O205">
        <v>-146448.76</v>
      </c>
      <c r="P205">
        <v>-150757.48000000001</v>
      </c>
      <c r="Q205">
        <v>-148610.71</v>
      </c>
      <c r="R205">
        <v>-90923.64</v>
      </c>
      <c r="S205">
        <v>-94603.520000000004</v>
      </c>
      <c r="T205">
        <v>-91998.41</v>
      </c>
      <c r="U205">
        <v>-99374.69</v>
      </c>
      <c r="V205">
        <v>-100501.35</v>
      </c>
      <c r="W205">
        <v>-100979.07</v>
      </c>
      <c r="X205">
        <v>-104260.32</v>
      </c>
      <c r="Y205">
        <v>-109266.05</v>
      </c>
      <c r="Z205">
        <v>-103013.47</v>
      </c>
      <c r="AA205">
        <v>-99459.5</v>
      </c>
      <c r="AB205">
        <v>-102985.54</v>
      </c>
      <c r="AC205">
        <v>-95260.66</v>
      </c>
      <c r="AD205">
        <v>-74910.679999999993</v>
      </c>
    </row>
    <row r="206" spans="1:30" x14ac:dyDescent="0.3">
      <c r="A206" t="s">
        <v>94</v>
      </c>
      <c r="B206" t="s">
        <v>36</v>
      </c>
      <c r="C206" t="s">
        <v>37</v>
      </c>
      <c r="D206" t="s">
        <v>30</v>
      </c>
      <c r="E206">
        <v>-126571.43</v>
      </c>
      <c r="F206">
        <v>-130673.02</v>
      </c>
      <c r="G206">
        <v>-123926.3</v>
      </c>
      <c r="H206">
        <v>-122709.04</v>
      </c>
      <c r="I206">
        <v>-128275.66</v>
      </c>
      <c r="J206">
        <v>-112734.21</v>
      </c>
      <c r="K206">
        <v>-107810.26</v>
      </c>
      <c r="L206">
        <v>-119670</v>
      </c>
      <c r="M206">
        <v>-129137.74</v>
      </c>
      <c r="N206">
        <v>-128838.95</v>
      </c>
      <c r="O206">
        <v>-128258.49</v>
      </c>
      <c r="P206">
        <v>-117118.23</v>
      </c>
      <c r="Q206">
        <v>-107212.76</v>
      </c>
      <c r="R206">
        <v>-93104.36</v>
      </c>
      <c r="S206">
        <v>-130549.7</v>
      </c>
      <c r="T206">
        <v>-114347.63</v>
      </c>
      <c r="U206">
        <v>-112411.62</v>
      </c>
      <c r="V206">
        <v>-120572.62</v>
      </c>
      <c r="W206">
        <v>-175371.17</v>
      </c>
      <c r="X206">
        <v>-66191.259999999995</v>
      </c>
      <c r="Y206">
        <v>-105050.2</v>
      </c>
      <c r="Z206">
        <v>-106072.49</v>
      </c>
      <c r="AA206">
        <v>-136769.60000000001</v>
      </c>
      <c r="AB206">
        <v>-152221.94</v>
      </c>
      <c r="AC206">
        <v>-104057.28</v>
      </c>
      <c r="AD206">
        <v>-112904.31</v>
      </c>
    </row>
    <row r="207" spans="1:30" x14ac:dyDescent="0.3">
      <c r="A207" t="s">
        <v>94</v>
      </c>
      <c r="B207" t="s">
        <v>38</v>
      </c>
      <c r="C207" t="s">
        <v>30</v>
      </c>
      <c r="E207">
        <v>250238.9</v>
      </c>
      <c r="F207">
        <v>266424.36</v>
      </c>
      <c r="G207">
        <v>156226.87</v>
      </c>
      <c r="H207">
        <v>234895.93</v>
      </c>
      <c r="I207">
        <v>242568.1</v>
      </c>
      <c r="J207">
        <v>242459.75</v>
      </c>
      <c r="K207">
        <v>255283.8</v>
      </c>
      <c r="L207">
        <v>259726.58</v>
      </c>
      <c r="M207">
        <v>241486.63</v>
      </c>
      <c r="N207">
        <v>289901.08</v>
      </c>
      <c r="O207">
        <v>231090.1</v>
      </c>
      <c r="P207">
        <v>239314.81</v>
      </c>
      <c r="Q207">
        <v>250624.99</v>
      </c>
      <c r="R207">
        <v>360564</v>
      </c>
      <c r="S207">
        <v>318270.09999999998</v>
      </c>
      <c r="T207">
        <v>340730.91</v>
      </c>
      <c r="U207">
        <v>344833.87</v>
      </c>
      <c r="V207">
        <v>331514.15000000002</v>
      </c>
      <c r="W207">
        <v>263952.2</v>
      </c>
      <c r="X207">
        <v>396471.64</v>
      </c>
      <c r="Y207">
        <v>342407.72</v>
      </c>
      <c r="Z207">
        <v>414039.74</v>
      </c>
      <c r="AA207">
        <v>316062.46000000002</v>
      </c>
      <c r="AB207">
        <v>304510.31</v>
      </c>
      <c r="AC207">
        <v>347363.64</v>
      </c>
      <c r="AD207">
        <v>305345.21000000002</v>
      </c>
    </row>
    <row r="208" spans="1:30" x14ac:dyDescent="0.3">
      <c r="A208" t="s">
        <v>94</v>
      </c>
      <c r="B208" t="s">
        <v>39</v>
      </c>
      <c r="C208" t="s">
        <v>30</v>
      </c>
      <c r="E208">
        <v>-2179.9</v>
      </c>
      <c r="F208">
        <v>-21276.959999999999</v>
      </c>
      <c r="G208">
        <v>-25621.24</v>
      </c>
      <c r="H208">
        <v>-25289.8</v>
      </c>
      <c r="I208">
        <v>-25537.040000000001</v>
      </c>
      <c r="J208">
        <v>-23550.47</v>
      </c>
      <c r="K208">
        <v>-28503.71</v>
      </c>
      <c r="L208">
        <v>-23436.959999999999</v>
      </c>
      <c r="M208">
        <v>-23528.22</v>
      </c>
      <c r="N208">
        <v>-24189.21</v>
      </c>
      <c r="O208">
        <v>-24944.46</v>
      </c>
      <c r="P208">
        <v>-26030.27</v>
      </c>
      <c r="Q208">
        <v>-26229.3</v>
      </c>
      <c r="R208">
        <v>-30750.23</v>
      </c>
      <c r="S208">
        <v>-33328.74</v>
      </c>
      <c r="T208">
        <v>-33441.07</v>
      </c>
      <c r="U208">
        <v>-30585.32</v>
      </c>
      <c r="V208">
        <v>-33168.58</v>
      </c>
      <c r="W208">
        <v>-34573.26</v>
      </c>
      <c r="X208">
        <v>-32947.160000000003</v>
      </c>
      <c r="Y208">
        <v>-32399</v>
      </c>
      <c r="Z208">
        <v>-32864.519999999997</v>
      </c>
      <c r="AA208">
        <v>-33622.6</v>
      </c>
      <c r="AB208">
        <v>-33155.480000000003</v>
      </c>
      <c r="AC208">
        <v>-33816.29</v>
      </c>
      <c r="AD208">
        <v>-36427.07</v>
      </c>
    </row>
    <row r="209" spans="1:30" x14ac:dyDescent="0.3">
      <c r="A209" t="s">
        <v>94</v>
      </c>
      <c r="B209" t="s">
        <v>39</v>
      </c>
      <c r="C209" t="s">
        <v>40</v>
      </c>
      <c r="D209" t="s">
        <v>30</v>
      </c>
      <c r="E209">
        <v>-2179.9</v>
      </c>
      <c r="F209">
        <v>-21276.959999999999</v>
      </c>
      <c r="G209">
        <v>-25034.99</v>
      </c>
      <c r="H209">
        <v>-24703.55</v>
      </c>
      <c r="I209">
        <v>-24950.79</v>
      </c>
      <c r="J209">
        <v>-22964.22</v>
      </c>
      <c r="K209">
        <v>-27917.46</v>
      </c>
      <c r="L209">
        <v>-22850.71</v>
      </c>
      <c r="M209">
        <v>-23528.22</v>
      </c>
      <c r="N209">
        <v>-24189.21</v>
      </c>
      <c r="O209">
        <v>-24944.46</v>
      </c>
      <c r="P209">
        <v>-26030.27</v>
      </c>
      <c r="Q209">
        <v>-26229.3</v>
      </c>
      <c r="R209">
        <v>-30750.23</v>
      </c>
      <c r="S209">
        <v>-33328.74</v>
      </c>
      <c r="T209">
        <v>-33441.07</v>
      </c>
      <c r="U209">
        <v>-30585.32</v>
      </c>
      <c r="V209">
        <v>-33168.58</v>
      </c>
      <c r="W209">
        <v>-34573.26</v>
      </c>
      <c r="X209">
        <v>-32947.160000000003</v>
      </c>
      <c r="Y209">
        <v>-32399</v>
      </c>
      <c r="Z209">
        <v>-32864.519999999997</v>
      </c>
      <c r="AA209">
        <v>-33622.6</v>
      </c>
      <c r="AB209">
        <v>-33155.480000000003</v>
      </c>
      <c r="AC209">
        <v>-33816.29</v>
      </c>
      <c r="AD209">
        <v>-36303.64</v>
      </c>
    </row>
    <row r="210" spans="1:30" x14ac:dyDescent="0.3">
      <c r="A210" t="s">
        <v>94</v>
      </c>
      <c r="B210" t="s">
        <v>39</v>
      </c>
      <c r="C210" t="s">
        <v>41</v>
      </c>
      <c r="D210" t="s">
        <v>30</v>
      </c>
      <c r="G210">
        <v>-586.25</v>
      </c>
      <c r="H210">
        <v>-586.25</v>
      </c>
      <c r="I210">
        <v>-586.25</v>
      </c>
      <c r="J210">
        <v>-586.25</v>
      </c>
      <c r="K210">
        <v>-586.25</v>
      </c>
      <c r="L210">
        <v>-586.25</v>
      </c>
      <c r="AD210">
        <v>-123.43</v>
      </c>
    </row>
    <row r="211" spans="1:30" x14ac:dyDescent="0.3">
      <c r="A211" t="s">
        <v>94</v>
      </c>
      <c r="B211" t="s">
        <v>42</v>
      </c>
      <c r="C211" t="s">
        <v>30</v>
      </c>
      <c r="E211">
        <v>248059</v>
      </c>
      <c r="F211">
        <v>245147.4</v>
      </c>
      <c r="G211">
        <v>130605.63</v>
      </c>
      <c r="H211">
        <v>209606.13</v>
      </c>
      <c r="I211">
        <v>217031.06</v>
      </c>
      <c r="J211">
        <v>218909.28</v>
      </c>
      <c r="K211">
        <v>226780.09</v>
      </c>
      <c r="L211">
        <v>236289.62</v>
      </c>
      <c r="M211">
        <v>217958.41</v>
      </c>
      <c r="N211">
        <v>265711.87</v>
      </c>
      <c r="O211">
        <v>206145.64</v>
      </c>
      <c r="P211">
        <v>213284.54</v>
      </c>
      <c r="Q211">
        <v>224395.69</v>
      </c>
      <c r="R211">
        <v>329813.77</v>
      </c>
      <c r="S211">
        <v>284941.36</v>
      </c>
      <c r="T211">
        <v>307289.84000000003</v>
      </c>
      <c r="U211">
        <v>314248.55</v>
      </c>
      <c r="V211">
        <v>298345.57</v>
      </c>
      <c r="W211">
        <v>229378.94</v>
      </c>
      <c r="X211">
        <v>363524.48</v>
      </c>
      <c r="Y211">
        <v>310008.71999999997</v>
      </c>
      <c r="Z211">
        <v>381175.22</v>
      </c>
      <c r="AA211">
        <v>282439.86</v>
      </c>
      <c r="AB211">
        <v>271354.83</v>
      </c>
      <c r="AC211">
        <v>313547.34999999998</v>
      </c>
      <c r="AD211">
        <v>268918.14</v>
      </c>
    </row>
    <row r="212" spans="1:30" x14ac:dyDescent="0.3">
      <c r="A212" t="s">
        <v>94</v>
      </c>
      <c r="B212" t="s">
        <v>44</v>
      </c>
      <c r="C212" t="s">
        <v>30</v>
      </c>
      <c r="E212">
        <v>248059</v>
      </c>
      <c r="F212">
        <v>245147.4</v>
      </c>
      <c r="G212">
        <v>130605.63</v>
      </c>
      <c r="H212">
        <v>209606.13</v>
      </c>
      <c r="I212">
        <v>217031.06</v>
      </c>
      <c r="J212">
        <v>218909.28</v>
      </c>
      <c r="K212">
        <v>226780.09</v>
      </c>
      <c r="L212">
        <v>236289.62</v>
      </c>
      <c r="M212">
        <v>217958.41</v>
      </c>
      <c r="N212">
        <v>265711.87</v>
      </c>
      <c r="O212">
        <v>206145.64</v>
      </c>
      <c r="P212">
        <v>213284.54</v>
      </c>
      <c r="Q212">
        <v>224395.69</v>
      </c>
      <c r="R212">
        <v>329813.77</v>
      </c>
      <c r="S212">
        <v>284941.36</v>
      </c>
      <c r="T212">
        <v>307289.84000000003</v>
      </c>
      <c r="U212">
        <v>314248.55</v>
      </c>
      <c r="V212">
        <v>298345.57</v>
      </c>
      <c r="W212">
        <v>229378.94</v>
      </c>
      <c r="X212">
        <v>363524.48</v>
      </c>
      <c r="Y212">
        <v>310008.71999999997</v>
      </c>
      <c r="Z212">
        <v>381175.22</v>
      </c>
      <c r="AA212">
        <v>282439.86</v>
      </c>
      <c r="AB212">
        <v>271354.83</v>
      </c>
      <c r="AC212">
        <v>313547.34999999998</v>
      </c>
      <c r="AD212">
        <v>268918.14</v>
      </c>
    </row>
    <row r="213" spans="1:30" x14ac:dyDescent="0.3">
      <c r="A213" t="s">
        <v>94</v>
      </c>
      <c r="B213" t="s">
        <v>45</v>
      </c>
      <c r="C213" t="s">
        <v>30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</row>
    <row r="214" spans="1:30" x14ac:dyDescent="0.3">
      <c r="A214" t="s">
        <v>94</v>
      </c>
      <c r="B214" t="s">
        <v>46</v>
      </c>
      <c r="C214" t="s">
        <v>30</v>
      </c>
      <c r="E214">
        <v>248059</v>
      </c>
      <c r="F214">
        <v>245147.4</v>
      </c>
      <c r="G214">
        <v>130605.63</v>
      </c>
      <c r="H214">
        <v>209606.13</v>
      </c>
      <c r="I214">
        <v>217031.06</v>
      </c>
      <c r="J214">
        <v>218909.28</v>
      </c>
      <c r="K214">
        <v>226780.09</v>
      </c>
      <c r="L214">
        <v>236289.62</v>
      </c>
      <c r="M214">
        <v>217958.41</v>
      </c>
      <c r="N214">
        <v>265711.87</v>
      </c>
      <c r="O214">
        <v>206145.64</v>
      </c>
      <c r="P214">
        <v>213284.54</v>
      </c>
      <c r="Q214">
        <v>224395.69</v>
      </c>
      <c r="R214">
        <v>329813.77</v>
      </c>
      <c r="S214">
        <v>284941.36</v>
      </c>
      <c r="T214">
        <v>307289.84000000003</v>
      </c>
      <c r="U214">
        <v>314248.55</v>
      </c>
      <c r="V214">
        <v>298345.57</v>
      </c>
      <c r="W214">
        <v>229378.94</v>
      </c>
      <c r="X214">
        <v>363524.48</v>
      </c>
      <c r="Y214">
        <v>310008.71999999997</v>
      </c>
      <c r="Z214">
        <v>381175.22</v>
      </c>
      <c r="AA214">
        <v>282439.86</v>
      </c>
      <c r="AB214">
        <v>271354.83</v>
      </c>
      <c r="AC214">
        <v>313547.34999999998</v>
      </c>
      <c r="AD214">
        <v>268918.14</v>
      </c>
    </row>
    <row r="215" spans="1:30" x14ac:dyDescent="0.3">
      <c r="A215" t="s">
        <v>94</v>
      </c>
      <c r="B215" t="s">
        <v>30</v>
      </c>
      <c r="C215" t="s">
        <v>30</v>
      </c>
      <c r="E215">
        <v>248059</v>
      </c>
      <c r="F215">
        <v>245147.4</v>
      </c>
      <c r="G215">
        <v>130605.63</v>
      </c>
      <c r="H215">
        <v>209606.13</v>
      </c>
      <c r="I215">
        <v>217031.06</v>
      </c>
      <c r="J215">
        <v>218909.28</v>
      </c>
      <c r="K215">
        <v>226780.09</v>
      </c>
      <c r="L215">
        <v>236289.62</v>
      </c>
      <c r="M215">
        <v>217958.41</v>
      </c>
      <c r="N215">
        <v>265711.87</v>
      </c>
      <c r="O215">
        <v>206145.64</v>
      </c>
      <c r="P215">
        <v>213284.54</v>
      </c>
      <c r="Q215">
        <v>224395.69</v>
      </c>
      <c r="R215">
        <v>329813.77</v>
      </c>
      <c r="S215">
        <v>284941.36</v>
      </c>
      <c r="T215">
        <v>307289.84000000003</v>
      </c>
      <c r="U215">
        <v>314248.55</v>
      </c>
      <c r="V215">
        <v>298345.57</v>
      </c>
      <c r="W215">
        <v>229378.94</v>
      </c>
      <c r="X215">
        <v>363524.48</v>
      </c>
      <c r="Y215">
        <v>310008.71999999997</v>
      </c>
      <c r="Z215">
        <v>381175.22</v>
      </c>
      <c r="AA215">
        <v>282439.86</v>
      </c>
      <c r="AB215">
        <v>271354.83</v>
      </c>
      <c r="AC215">
        <v>313547.34999999998</v>
      </c>
      <c r="AD215">
        <v>268918.14</v>
      </c>
    </row>
    <row r="216" spans="1:30" x14ac:dyDescent="0.3">
      <c r="A216" t="s">
        <v>94</v>
      </c>
      <c r="B216" t="s">
        <v>30</v>
      </c>
    </row>
    <row r="217" spans="1:30" x14ac:dyDescent="0.3">
      <c r="A217" t="s">
        <v>94</v>
      </c>
    </row>
    <row r="218" spans="1:30" x14ac:dyDescent="0.3">
      <c r="A218" t="s">
        <v>94</v>
      </c>
      <c r="B218" t="s">
        <v>136</v>
      </c>
    </row>
    <row r="219" spans="1:30" x14ac:dyDescent="0.3">
      <c r="A219" t="s">
        <v>95</v>
      </c>
      <c r="B219" t="s">
        <v>22</v>
      </c>
      <c r="E219">
        <v>202312</v>
      </c>
      <c r="F219">
        <v>202401</v>
      </c>
      <c r="G219">
        <v>202402</v>
      </c>
      <c r="H219">
        <v>202403</v>
      </c>
      <c r="I219">
        <v>202404</v>
      </c>
      <c r="J219">
        <v>202405</v>
      </c>
      <c r="K219">
        <v>202406</v>
      </c>
      <c r="L219">
        <v>202407</v>
      </c>
      <c r="M219">
        <v>202408</v>
      </c>
      <c r="N219">
        <v>202409</v>
      </c>
      <c r="O219">
        <v>202410</v>
      </c>
      <c r="P219">
        <v>202411</v>
      </c>
      <c r="Q219">
        <v>202412</v>
      </c>
      <c r="R219">
        <v>202501</v>
      </c>
      <c r="S219">
        <v>202502</v>
      </c>
      <c r="T219">
        <v>202503</v>
      </c>
      <c r="U219">
        <v>202504</v>
      </c>
      <c r="V219">
        <v>202505</v>
      </c>
      <c r="W219">
        <v>202506</v>
      </c>
      <c r="X219">
        <v>202507</v>
      </c>
      <c r="Y219">
        <v>202508</v>
      </c>
      <c r="Z219">
        <v>202509</v>
      </c>
      <c r="AA219">
        <v>202510</v>
      </c>
      <c r="AB219">
        <v>202511</v>
      </c>
      <c r="AC219">
        <v>202512</v>
      </c>
      <c r="AD219">
        <v>202601</v>
      </c>
    </row>
    <row r="220" spans="1:30" x14ac:dyDescent="0.3">
      <c r="A220" t="s">
        <v>95</v>
      </c>
      <c r="B220" t="s">
        <v>23</v>
      </c>
      <c r="E220" t="s">
        <v>24</v>
      </c>
      <c r="F220" t="s">
        <v>24</v>
      </c>
      <c r="G220" t="s">
        <v>24</v>
      </c>
      <c r="H220" t="s">
        <v>24</v>
      </c>
      <c r="I220" t="s">
        <v>24</v>
      </c>
      <c r="J220" t="s">
        <v>24</v>
      </c>
      <c r="K220" t="s">
        <v>24</v>
      </c>
      <c r="L220" t="s">
        <v>24</v>
      </c>
      <c r="M220" t="s">
        <v>24</v>
      </c>
      <c r="N220" t="s">
        <v>24</v>
      </c>
      <c r="O220" t="s">
        <v>24</v>
      </c>
      <c r="P220" t="s">
        <v>24</v>
      </c>
      <c r="Q220" t="s">
        <v>24</v>
      </c>
      <c r="R220" t="s">
        <v>24</v>
      </c>
      <c r="S220" t="s">
        <v>24</v>
      </c>
      <c r="T220" t="s">
        <v>24</v>
      </c>
      <c r="U220" t="s">
        <v>24</v>
      </c>
      <c r="V220" t="s">
        <v>24</v>
      </c>
      <c r="W220" t="s">
        <v>24</v>
      </c>
      <c r="X220" t="s">
        <v>24</v>
      </c>
      <c r="Y220" t="s">
        <v>24</v>
      </c>
      <c r="Z220" t="s">
        <v>24</v>
      </c>
      <c r="AA220" t="s">
        <v>24</v>
      </c>
      <c r="AB220" t="s">
        <v>24</v>
      </c>
      <c r="AC220" t="s">
        <v>24</v>
      </c>
      <c r="AD220" t="s">
        <v>24</v>
      </c>
    </row>
    <row r="221" spans="1:30" x14ac:dyDescent="0.3">
      <c r="A221" t="s">
        <v>95</v>
      </c>
      <c r="B221" t="s">
        <v>25</v>
      </c>
      <c r="C221" t="s">
        <v>26</v>
      </c>
      <c r="D221" t="s">
        <v>27</v>
      </c>
      <c r="E221" t="s">
        <v>28</v>
      </c>
      <c r="F221" t="s">
        <v>28</v>
      </c>
      <c r="G221" t="s">
        <v>28</v>
      </c>
      <c r="H221" t="s">
        <v>28</v>
      </c>
      <c r="I221" t="s">
        <v>28</v>
      </c>
      <c r="J221" t="s">
        <v>28</v>
      </c>
      <c r="K221" t="s">
        <v>28</v>
      </c>
      <c r="L221" t="s">
        <v>28</v>
      </c>
      <c r="M221" t="s">
        <v>28</v>
      </c>
      <c r="N221" t="s">
        <v>28</v>
      </c>
      <c r="O221" t="s">
        <v>28</v>
      </c>
      <c r="P221" t="s">
        <v>28</v>
      </c>
      <c r="Q221" t="s">
        <v>28</v>
      </c>
      <c r="R221" t="s">
        <v>28</v>
      </c>
      <c r="S221" t="s">
        <v>28</v>
      </c>
      <c r="T221" t="s">
        <v>28</v>
      </c>
      <c r="U221" t="s">
        <v>28</v>
      </c>
      <c r="V221" t="s">
        <v>28</v>
      </c>
      <c r="W221" t="s">
        <v>28</v>
      </c>
      <c r="X221" t="s">
        <v>28</v>
      </c>
      <c r="Y221" t="s">
        <v>28</v>
      </c>
      <c r="Z221" t="s">
        <v>28</v>
      </c>
      <c r="AA221" t="s">
        <v>28</v>
      </c>
      <c r="AB221" t="s">
        <v>28</v>
      </c>
      <c r="AC221" t="s">
        <v>28</v>
      </c>
      <c r="AD221" t="s">
        <v>28</v>
      </c>
    </row>
    <row r="222" spans="1:30" x14ac:dyDescent="0.3">
      <c r="A222" t="s">
        <v>95</v>
      </c>
      <c r="B222" t="s">
        <v>29</v>
      </c>
      <c r="C222" t="s">
        <v>30</v>
      </c>
      <c r="E222">
        <v>1533348.3</v>
      </c>
      <c r="F222">
        <v>1467967.3</v>
      </c>
      <c r="G222">
        <v>1440588.28</v>
      </c>
      <c r="H222">
        <v>1526125.78</v>
      </c>
      <c r="I222">
        <v>1584250.58</v>
      </c>
      <c r="J222">
        <v>1586501.3</v>
      </c>
      <c r="K222">
        <v>1431470.27</v>
      </c>
      <c r="L222">
        <v>1371639.45</v>
      </c>
      <c r="M222">
        <v>1323559.92</v>
      </c>
      <c r="N222">
        <v>1401038.67</v>
      </c>
      <c r="O222">
        <v>1338261.03</v>
      </c>
      <c r="P222">
        <v>1356396.78</v>
      </c>
      <c r="Q222">
        <v>1366487.4</v>
      </c>
      <c r="R222">
        <v>1414206.05</v>
      </c>
      <c r="S222">
        <v>1441996.09</v>
      </c>
      <c r="T222">
        <v>1454236.9</v>
      </c>
      <c r="U222">
        <v>1399985.61</v>
      </c>
      <c r="V222">
        <v>1439481.06</v>
      </c>
      <c r="W222">
        <v>1471359.4</v>
      </c>
      <c r="X222">
        <v>1537355.28</v>
      </c>
      <c r="Y222">
        <v>1455321.03</v>
      </c>
      <c r="Z222">
        <v>1547207.34</v>
      </c>
      <c r="AA222">
        <v>1492717.89</v>
      </c>
      <c r="AB222">
        <v>1500379.45</v>
      </c>
      <c r="AC222">
        <v>1540526.89</v>
      </c>
      <c r="AD222">
        <v>1522322.09</v>
      </c>
    </row>
    <row r="223" spans="1:30" x14ac:dyDescent="0.3">
      <c r="A223" t="s">
        <v>95</v>
      </c>
      <c r="B223" t="s">
        <v>29</v>
      </c>
      <c r="C223" t="s">
        <v>31</v>
      </c>
      <c r="D223" t="s">
        <v>30</v>
      </c>
      <c r="E223">
        <v>1480061.3</v>
      </c>
      <c r="F223">
        <v>1418051.3</v>
      </c>
      <c r="G223">
        <v>1393869.28</v>
      </c>
      <c r="H223">
        <v>1475465.78</v>
      </c>
      <c r="I223">
        <v>1516240.58</v>
      </c>
      <c r="J223">
        <v>1515541.3</v>
      </c>
      <c r="K223">
        <v>1367500.27</v>
      </c>
      <c r="L223">
        <v>1315719.45</v>
      </c>
      <c r="M223">
        <v>1272719.92</v>
      </c>
      <c r="N223">
        <v>1293548.67</v>
      </c>
      <c r="O223">
        <v>1285791.03</v>
      </c>
      <c r="P223">
        <v>1300906.55</v>
      </c>
      <c r="Q223">
        <v>1311557.3999999999</v>
      </c>
      <c r="R223">
        <v>1365776.05</v>
      </c>
      <c r="S223">
        <v>1350836.09</v>
      </c>
      <c r="T223">
        <v>1390026.9</v>
      </c>
      <c r="U223">
        <v>1335812.2</v>
      </c>
      <c r="V223">
        <v>1371221.41</v>
      </c>
      <c r="W223">
        <v>1415469.4</v>
      </c>
      <c r="X223">
        <v>1439285.28</v>
      </c>
      <c r="Y223">
        <v>1409421.03</v>
      </c>
      <c r="Z223">
        <v>1394507.34</v>
      </c>
      <c r="AA223">
        <v>1384266.89</v>
      </c>
      <c r="AB223">
        <v>1412069.45</v>
      </c>
      <c r="AC223">
        <v>1444576.89</v>
      </c>
      <c r="AD223">
        <v>1449268.61</v>
      </c>
    </row>
    <row r="224" spans="1:30" x14ac:dyDescent="0.3">
      <c r="A224" t="s">
        <v>95</v>
      </c>
      <c r="B224" t="s">
        <v>29</v>
      </c>
      <c r="C224" t="s">
        <v>31</v>
      </c>
      <c r="D224" t="s">
        <v>32</v>
      </c>
      <c r="E224">
        <v>1424083.87</v>
      </c>
      <c r="F224">
        <v>1399564.45</v>
      </c>
      <c r="G224">
        <v>1390109.28</v>
      </c>
      <c r="H224">
        <v>1468569.45</v>
      </c>
      <c r="I224">
        <v>1463536.67</v>
      </c>
      <c r="J224">
        <v>1501030.3</v>
      </c>
      <c r="K224">
        <v>1365204.94</v>
      </c>
      <c r="L224">
        <v>1300562.45</v>
      </c>
      <c r="M224">
        <v>1271015.92</v>
      </c>
      <c r="N224">
        <v>1274715.67</v>
      </c>
      <c r="O224">
        <v>1269375.57</v>
      </c>
      <c r="P224">
        <v>1289531.55</v>
      </c>
      <c r="Q224">
        <v>1299059.3799999999</v>
      </c>
      <c r="R224">
        <v>1342227.49</v>
      </c>
      <c r="S224">
        <v>1346090.09</v>
      </c>
      <c r="T224">
        <v>1349742.67</v>
      </c>
      <c r="U224">
        <v>1333132.01</v>
      </c>
      <c r="V224">
        <v>1358132.01</v>
      </c>
      <c r="W224">
        <v>1414410.83</v>
      </c>
      <c r="X224">
        <v>1436654.08</v>
      </c>
      <c r="Y224">
        <v>1389986.57</v>
      </c>
      <c r="Z224">
        <v>1377911.34</v>
      </c>
      <c r="AA224">
        <v>1379231.2</v>
      </c>
      <c r="AB224">
        <v>1385454.76</v>
      </c>
      <c r="AC224">
        <v>1428878.38</v>
      </c>
      <c r="AD224">
        <v>1442578.61</v>
      </c>
    </row>
    <row r="225" spans="1:30" x14ac:dyDescent="0.3">
      <c r="A225" t="s">
        <v>95</v>
      </c>
      <c r="B225" t="s">
        <v>29</v>
      </c>
      <c r="C225" t="s">
        <v>31</v>
      </c>
      <c r="D225" t="s">
        <v>33</v>
      </c>
      <c r="E225">
        <v>37277.43</v>
      </c>
      <c r="F225">
        <v>10691.85</v>
      </c>
      <c r="G225">
        <v>3100</v>
      </c>
      <c r="H225">
        <v>2066.33</v>
      </c>
      <c r="I225">
        <v>30713.91</v>
      </c>
      <c r="J225">
        <v>90</v>
      </c>
      <c r="K225">
        <v>0.33</v>
      </c>
      <c r="L225">
        <v>13365</v>
      </c>
      <c r="M225">
        <v>0</v>
      </c>
      <c r="N225">
        <v>12160</v>
      </c>
      <c r="O225">
        <v>15455.46</v>
      </c>
      <c r="P225">
        <v>0</v>
      </c>
      <c r="Q225">
        <v>10998.02</v>
      </c>
      <c r="R225">
        <v>16619.560000000001</v>
      </c>
      <c r="T225">
        <v>38057.03</v>
      </c>
      <c r="U225">
        <v>1366.59</v>
      </c>
      <c r="V225">
        <v>12189.4</v>
      </c>
      <c r="W225">
        <v>144.97</v>
      </c>
      <c r="Y225">
        <v>18120.86</v>
      </c>
      <c r="AA225">
        <v>19239.689999999999</v>
      </c>
      <c r="AB225">
        <v>16909.689999999999</v>
      </c>
      <c r="AC225">
        <v>5106.51</v>
      </c>
      <c r="AD225">
        <v>6210</v>
      </c>
    </row>
    <row r="226" spans="1:30" x14ac:dyDescent="0.3">
      <c r="A226" t="s">
        <v>95</v>
      </c>
      <c r="B226" t="s">
        <v>29</v>
      </c>
      <c r="C226" t="s">
        <v>31</v>
      </c>
      <c r="D226" t="s">
        <v>34</v>
      </c>
      <c r="E226">
        <v>18700</v>
      </c>
      <c r="F226">
        <v>7795</v>
      </c>
      <c r="G226">
        <v>660</v>
      </c>
      <c r="H226">
        <v>4830</v>
      </c>
      <c r="I226">
        <v>21990</v>
      </c>
      <c r="J226">
        <v>14421</v>
      </c>
      <c r="K226">
        <v>2295</v>
      </c>
      <c r="L226">
        <v>1792</v>
      </c>
      <c r="M226">
        <v>1704</v>
      </c>
      <c r="N226">
        <v>6673</v>
      </c>
      <c r="O226">
        <v>960</v>
      </c>
      <c r="P226">
        <v>11375</v>
      </c>
      <c r="Q226">
        <v>1500</v>
      </c>
      <c r="R226">
        <v>6929</v>
      </c>
      <c r="S226">
        <v>4746</v>
      </c>
      <c r="T226">
        <v>2227.1999999999998</v>
      </c>
      <c r="U226">
        <v>1313.6</v>
      </c>
      <c r="V226">
        <v>900</v>
      </c>
      <c r="W226">
        <v>913.6</v>
      </c>
      <c r="X226">
        <v>2631.2</v>
      </c>
      <c r="Y226">
        <v>1313.6</v>
      </c>
      <c r="Z226">
        <v>16596</v>
      </c>
      <c r="AA226">
        <v>-14204</v>
      </c>
      <c r="AB226">
        <v>9705</v>
      </c>
      <c r="AC226">
        <v>10592</v>
      </c>
      <c r="AD226">
        <v>480</v>
      </c>
    </row>
    <row r="227" spans="1:30" x14ac:dyDescent="0.3">
      <c r="A227" t="s">
        <v>95</v>
      </c>
      <c r="B227" t="s">
        <v>29</v>
      </c>
      <c r="C227" t="s">
        <v>35</v>
      </c>
      <c r="D227" t="s">
        <v>30</v>
      </c>
      <c r="E227">
        <v>53287</v>
      </c>
      <c r="F227">
        <v>49916</v>
      </c>
      <c r="G227">
        <v>46719</v>
      </c>
      <c r="H227">
        <v>50660</v>
      </c>
      <c r="I227">
        <v>68010</v>
      </c>
      <c r="J227">
        <v>70960</v>
      </c>
      <c r="K227">
        <v>63970</v>
      </c>
      <c r="L227">
        <v>55920</v>
      </c>
      <c r="M227">
        <v>50840</v>
      </c>
      <c r="N227">
        <v>107490</v>
      </c>
      <c r="O227">
        <v>52470</v>
      </c>
      <c r="P227">
        <v>55490.23</v>
      </c>
      <c r="Q227">
        <v>54930</v>
      </c>
      <c r="R227">
        <v>48430</v>
      </c>
      <c r="S227">
        <v>91160</v>
      </c>
      <c r="T227">
        <v>64210</v>
      </c>
      <c r="U227">
        <v>64173.41</v>
      </c>
      <c r="V227">
        <v>68259.649999999994</v>
      </c>
      <c r="W227">
        <v>55890</v>
      </c>
      <c r="X227">
        <v>98070</v>
      </c>
      <c r="Y227">
        <v>45900</v>
      </c>
      <c r="Z227">
        <v>152700</v>
      </c>
      <c r="AA227">
        <v>108451</v>
      </c>
      <c r="AB227">
        <v>88310</v>
      </c>
      <c r="AC227">
        <v>95950</v>
      </c>
      <c r="AD227">
        <v>73053.48</v>
      </c>
    </row>
    <row r="228" spans="1:30" x14ac:dyDescent="0.3">
      <c r="A228" t="s">
        <v>95</v>
      </c>
      <c r="B228" t="s">
        <v>36</v>
      </c>
      <c r="C228" t="s">
        <v>30</v>
      </c>
      <c r="E228">
        <v>-1255534.3700000001</v>
      </c>
      <c r="F228">
        <v>-1211178.71</v>
      </c>
      <c r="G228">
        <v>-1290208.94</v>
      </c>
      <c r="H228">
        <v>-1311802.48</v>
      </c>
      <c r="I228">
        <v>-1268753.18</v>
      </c>
      <c r="J228">
        <v>-1398251.85</v>
      </c>
      <c r="K228">
        <v>-1557988.37</v>
      </c>
      <c r="L228">
        <v>-1449695.4</v>
      </c>
      <c r="M228">
        <v>-1338801.22</v>
      </c>
      <c r="N228">
        <v>-1505578.96</v>
      </c>
      <c r="O228">
        <v>-1360398.77</v>
      </c>
      <c r="P228">
        <v>-1515039.77</v>
      </c>
      <c r="Q228">
        <v>-1306380.5900000001</v>
      </c>
      <c r="R228">
        <v>-1362126.34</v>
      </c>
      <c r="S228">
        <v>-1303244.1100000001</v>
      </c>
      <c r="T228">
        <v>-1240514.0900000001</v>
      </c>
      <c r="U228">
        <v>-1223997.69</v>
      </c>
      <c r="V228">
        <v>-1252369.25</v>
      </c>
      <c r="W228">
        <v>-1312682.76</v>
      </c>
      <c r="X228">
        <v>-1185703.98</v>
      </c>
      <c r="Y228">
        <v>-1293491.8999999999</v>
      </c>
      <c r="Z228">
        <v>-1317046.96</v>
      </c>
      <c r="AA228">
        <v>-1165130.52</v>
      </c>
      <c r="AB228">
        <v>-1163175.77</v>
      </c>
      <c r="AC228">
        <v>-1163939.48</v>
      </c>
      <c r="AD228">
        <v>-1235514.1499999999</v>
      </c>
    </row>
    <row r="229" spans="1:30" x14ac:dyDescent="0.3">
      <c r="A229" t="s">
        <v>95</v>
      </c>
      <c r="B229" t="s">
        <v>36</v>
      </c>
      <c r="C229" t="s">
        <v>18</v>
      </c>
      <c r="D229" t="s">
        <v>30</v>
      </c>
      <c r="E229">
        <v>-932554.89</v>
      </c>
      <c r="F229">
        <v>-897587.93</v>
      </c>
      <c r="G229">
        <v>-940606.18</v>
      </c>
      <c r="H229">
        <v>-1001509.9</v>
      </c>
      <c r="I229">
        <v>-900785.7</v>
      </c>
      <c r="J229">
        <v>-1027435.83</v>
      </c>
      <c r="K229">
        <v>-1254894.92</v>
      </c>
      <c r="L229">
        <v>-1084219.3400000001</v>
      </c>
      <c r="M229">
        <v>-1008762.6</v>
      </c>
      <c r="N229">
        <v>-1167109.02</v>
      </c>
      <c r="O229">
        <v>-993350.94</v>
      </c>
      <c r="P229">
        <v>-1194415.26</v>
      </c>
      <c r="Q229">
        <v>-1017489.02</v>
      </c>
      <c r="R229">
        <v>-1026205.88</v>
      </c>
      <c r="S229">
        <v>-1030710.95</v>
      </c>
      <c r="T229">
        <v>-923730.58</v>
      </c>
      <c r="U229">
        <v>-930409.12</v>
      </c>
      <c r="V229">
        <v>-912204.47</v>
      </c>
      <c r="W229">
        <v>-899756.83</v>
      </c>
      <c r="X229">
        <v>-938673.61</v>
      </c>
      <c r="Y229">
        <v>-1006487.07</v>
      </c>
      <c r="Z229">
        <v>-919905.43</v>
      </c>
      <c r="AA229">
        <v>-909093.81</v>
      </c>
      <c r="AB229">
        <v>-830347.41</v>
      </c>
      <c r="AC229">
        <v>-853628.81</v>
      </c>
      <c r="AD229">
        <v>-924924.4</v>
      </c>
    </row>
    <row r="230" spans="1:30" x14ac:dyDescent="0.3">
      <c r="A230" t="s">
        <v>95</v>
      </c>
      <c r="B230" t="s">
        <v>36</v>
      </c>
      <c r="C230" t="s">
        <v>37</v>
      </c>
      <c r="D230" t="s">
        <v>30</v>
      </c>
      <c r="E230">
        <v>-322979.48</v>
      </c>
      <c r="F230">
        <v>-313590.78000000003</v>
      </c>
      <c r="G230">
        <v>-349602.76</v>
      </c>
      <c r="H230">
        <v>-310292.58</v>
      </c>
      <c r="I230">
        <v>-367967.48</v>
      </c>
      <c r="J230">
        <v>-370816.02</v>
      </c>
      <c r="K230">
        <v>-303093.45</v>
      </c>
      <c r="L230">
        <v>-365476.06</v>
      </c>
      <c r="M230">
        <v>-330038.62</v>
      </c>
      <c r="N230">
        <v>-338469.94</v>
      </c>
      <c r="O230">
        <v>-367047.83</v>
      </c>
      <c r="P230">
        <v>-320624.51</v>
      </c>
      <c r="Q230">
        <v>-288891.57</v>
      </c>
      <c r="R230">
        <v>-335920.46</v>
      </c>
      <c r="S230">
        <v>-272533.15999999997</v>
      </c>
      <c r="T230">
        <v>-316783.51</v>
      </c>
      <c r="U230">
        <v>-293588.57</v>
      </c>
      <c r="V230">
        <v>-340164.78</v>
      </c>
      <c r="W230">
        <v>-412925.93</v>
      </c>
      <c r="X230">
        <v>-247030.37</v>
      </c>
      <c r="Y230">
        <v>-287004.83</v>
      </c>
      <c r="Z230">
        <v>-397141.53</v>
      </c>
      <c r="AA230">
        <v>-256036.71</v>
      </c>
      <c r="AB230">
        <v>-332828.36</v>
      </c>
      <c r="AC230">
        <v>-310310.67</v>
      </c>
      <c r="AD230">
        <v>-310589.75</v>
      </c>
    </row>
    <row r="231" spans="1:30" x14ac:dyDescent="0.3">
      <c r="A231" t="s">
        <v>95</v>
      </c>
      <c r="B231" t="s">
        <v>38</v>
      </c>
      <c r="C231" t="s">
        <v>30</v>
      </c>
      <c r="E231">
        <v>277813.93</v>
      </c>
      <c r="F231">
        <v>256788.59</v>
      </c>
      <c r="G231">
        <v>150379.34</v>
      </c>
      <c r="H231">
        <v>214323.3</v>
      </c>
      <c r="I231">
        <v>315497.40000000002</v>
      </c>
      <c r="J231">
        <v>188249.45</v>
      </c>
      <c r="K231">
        <v>-126518.1</v>
      </c>
      <c r="L231">
        <v>-78055.95</v>
      </c>
      <c r="M231">
        <v>-15241.3</v>
      </c>
      <c r="N231">
        <v>-104540.29</v>
      </c>
      <c r="O231">
        <v>-22137.74</v>
      </c>
      <c r="P231">
        <v>-158642.99</v>
      </c>
      <c r="Q231">
        <v>60106.81</v>
      </c>
      <c r="R231">
        <v>52079.71</v>
      </c>
      <c r="S231">
        <v>138751.98000000001</v>
      </c>
      <c r="T231">
        <v>213722.81</v>
      </c>
      <c r="U231">
        <v>175987.92</v>
      </c>
      <c r="V231">
        <v>187111.81</v>
      </c>
      <c r="W231">
        <v>158676.64000000001</v>
      </c>
      <c r="X231">
        <v>351651.3</v>
      </c>
      <c r="Y231">
        <v>161829.13</v>
      </c>
      <c r="Z231">
        <v>230160.38</v>
      </c>
      <c r="AA231">
        <v>327587.37</v>
      </c>
      <c r="AB231">
        <v>337203.68</v>
      </c>
      <c r="AC231">
        <v>376587.41</v>
      </c>
      <c r="AD231">
        <v>286807.94</v>
      </c>
    </row>
    <row r="232" spans="1:30" x14ac:dyDescent="0.3">
      <c r="A232" t="s">
        <v>95</v>
      </c>
      <c r="B232" t="s">
        <v>39</v>
      </c>
      <c r="C232" t="s">
        <v>30</v>
      </c>
      <c r="E232">
        <v>-116980.45</v>
      </c>
      <c r="F232">
        <v>-181918.4</v>
      </c>
      <c r="G232">
        <v>-188315.86</v>
      </c>
      <c r="H232">
        <v>-207313.68</v>
      </c>
      <c r="I232">
        <v>-188225.72</v>
      </c>
      <c r="J232">
        <v>-192009.02</v>
      </c>
      <c r="K232">
        <v>-186264.02</v>
      </c>
      <c r="L232">
        <v>-175303.58</v>
      </c>
      <c r="M232">
        <v>-177502.8</v>
      </c>
      <c r="N232">
        <v>-182469.4</v>
      </c>
      <c r="O232">
        <v>-191288.85</v>
      </c>
      <c r="P232">
        <v>-199430.78</v>
      </c>
      <c r="Q232">
        <v>-210160.83</v>
      </c>
      <c r="R232">
        <v>-135771.62</v>
      </c>
      <c r="S232">
        <v>-149294.85</v>
      </c>
      <c r="T232">
        <v>-151996.48000000001</v>
      </c>
      <c r="U232">
        <v>-201695.85</v>
      </c>
      <c r="V232">
        <v>-197636.69</v>
      </c>
      <c r="W232">
        <v>-197086.29</v>
      </c>
      <c r="X232">
        <v>-196058.05</v>
      </c>
      <c r="Y232">
        <v>-188187.07</v>
      </c>
      <c r="Z232">
        <v>-201445.41</v>
      </c>
      <c r="AA232">
        <v>-191398.49</v>
      </c>
      <c r="AB232">
        <v>-206295.93</v>
      </c>
      <c r="AC232">
        <v>-203994.52</v>
      </c>
      <c r="AD232">
        <v>-220739.05</v>
      </c>
    </row>
    <row r="233" spans="1:30" x14ac:dyDescent="0.3">
      <c r="A233" t="s">
        <v>95</v>
      </c>
      <c r="B233" t="s">
        <v>39</v>
      </c>
      <c r="C233" t="s">
        <v>40</v>
      </c>
      <c r="D233" t="s">
        <v>30</v>
      </c>
      <c r="E233">
        <v>-127423.45</v>
      </c>
      <c r="F233">
        <v>-190236.4</v>
      </c>
      <c r="G233">
        <v>-196761.96</v>
      </c>
      <c r="H233">
        <v>-215780.68</v>
      </c>
      <c r="I233">
        <v>-192947.72</v>
      </c>
      <c r="J233">
        <v>-200464.02</v>
      </c>
      <c r="K233">
        <v>-197482.02</v>
      </c>
      <c r="L233">
        <v>-183728.58</v>
      </c>
      <c r="M233">
        <v>-186002.8</v>
      </c>
      <c r="N233">
        <v>-186351.8</v>
      </c>
      <c r="O233">
        <v>-196280.87</v>
      </c>
      <c r="P233">
        <v>-202485.74</v>
      </c>
      <c r="Q233">
        <v>-212940.85</v>
      </c>
      <c r="R233">
        <v>-142223.64000000001</v>
      </c>
      <c r="S233">
        <v>-150272.47</v>
      </c>
      <c r="T233">
        <v>-155449.9</v>
      </c>
      <c r="U233">
        <v>-205942.87</v>
      </c>
      <c r="V233">
        <v>-201658.71</v>
      </c>
      <c r="W233">
        <v>-200861.24</v>
      </c>
      <c r="X233">
        <v>-200063.67</v>
      </c>
      <c r="Y233">
        <v>-192424.06</v>
      </c>
      <c r="Z233">
        <v>-203622.43</v>
      </c>
      <c r="AA233">
        <v>-195540.51</v>
      </c>
      <c r="AB233">
        <v>-211028.95</v>
      </c>
      <c r="AC233">
        <v>-208158.04</v>
      </c>
      <c r="AD233">
        <v>-220238.64</v>
      </c>
    </row>
    <row r="234" spans="1:30" x14ac:dyDescent="0.3">
      <c r="A234" t="s">
        <v>95</v>
      </c>
      <c r="B234" t="s">
        <v>39</v>
      </c>
      <c r="C234" t="s">
        <v>41</v>
      </c>
      <c r="D234" t="s">
        <v>30</v>
      </c>
      <c r="E234">
        <v>10443</v>
      </c>
      <c r="F234">
        <v>8318</v>
      </c>
      <c r="G234">
        <v>8446.1</v>
      </c>
      <c r="H234">
        <v>8467</v>
      </c>
      <c r="I234">
        <v>4722</v>
      </c>
      <c r="J234">
        <v>8455</v>
      </c>
      <c r="K234">
        <v>11218</v>
      </c>
      <c r="L234">
        <v>8425</v>
      </c>
      <c r="M234">
        <v>8500</v>
      </c>
      <c r="N234">
        <v>3882.4</v>
      </c>
      <c r="O234">
        <v>4992.0200000000004</v>
      </c>
      <c r="P234">
        <v>3054.96</v>
      </c>
      <c r="Q234">
        <v>2780.02</v>
      </c>
      <c r="R234">
        <v>6452.02</v>
      </c>
      <c r="S234">
        <v>977.62</v>
      </c>
      <c r="T234">
        <v>3453.42</v>
      </c>
      <c r="U234">
        <v>4247.0200000000004</v>
      </c>
      <c r="V234">
        <v>4022.02</v>
      </c>
      <c r="W234">
        <v>3774.95</v>
      </c>
      <c r="X234">
        <v>4005.62</v>
      </c>
      <c r="Y234">
        <v>4236.99</v>
      </c>
      <c r="Z234">
        <v>2177.02</v>
      </c>
      <c r="AA234">
        <v>4142.0200000000004</v>
      </c>
      <c r="AB234">
        <v>4733.0200000000004</v>
      </c>
      <c r="AC234">
        <v>4163.5200000000004</v>
      </c>
      <c r="AD234">
        <v>-500.41</v>
      </c>
    </row>
    <row r="235" spans="1:30" x14ac:dyDescent="0.3">
      <c r="A235" t="s">
        <v>95</v>
      </c>
      <c r="B235" t="s">
        <v>42</v>
      </c>
      <c r="C235" t="s">
        <v>30</v>
      </c>
      <c r="E235">
        <v>160833.48000000001</v>
      </c>
      <c r="F235">
        <v>74870.19</v>
      </c>
      <c r="G235">
        <v>-37936.519999999997</v>
      </c>
      <c r="H235">
        <v>7009.62</v>
      </c>
      <c r="I235">
        <v>127271.67999999999</v>
      </c>
      <c r="J235">
        <v>-3759.57</v>
      </c>
      <c r="K235">
        <v>-312782.12</v>
      </c>
      <c r="L235">
        <v>-253359.53</v>
      </c>
      <c r="M235">
        <v>-192744.1</v>
      </c>
      <c r="N235">
        <v>-287009.69</v>
      </c>
      <c r="O235">
        <v>-213426.59</v>
      </c>
      <c r="P235">
        <v>-358073.77</v>
      </c>
      <c r="Q235">
        <v>-150054.01999999999</v>
      </c>
      <c r="R235">
        <v>-83691.91</v>
      </c>
      <c r="S235">
        <v>-10542.87</v>
      </c>
      <c r="T235">
        <v>61726.33</v>
      </c>
      <c r="U235">
        <v>-25707.93</v>
      </c>
      <c r="V235">
        <v>-10524.88</v>
      </c>
      <c r="W235">
        <v>-38409.65</v>
      </c>
      <c r="X235">
        <v>155593.25</v>
      </c>
      <c r="Y235">
        <v>-26357.94</v>
      </c>
      <c r="Z235">
        <v>28714.97</v>
      </c>
      <c r="AA235">
        <v>136188.88</v>
      </c>
      <c r="AB235">
        <v>130907.75</v>
      </c>
      <c r="AC235">
        <v>172592.89</v>
      </c>
      <c r="AD235">
        <v>66068.89</v>
      </c>
    </row>
    <row r="236" spans="1:30" x14ac:dyDescent="0.3">
      <c r="A236" t="s">
        <v>95</v>
      </c>
      <c r="B236" t="s">
        <v>43</v>
      </c>
      <c r="C236" t="s">
        <v>30</v>
      </c>
      <c r="E236">
        <v>-116727</v>
      </c>
    </row>
    <row r="237" spans="1:30" x14ac:dyDescent="0.3">
      <c r="A237" t="s">
        <v>95</v>
      </c>
      <c r="B237" t="s">
        <v>43</v>
      </c>
      <c r="C237" t="s">
        <v>123</v>
      </c>
      <c r="D237" t="s">
        <v>30</v>
      </c>
      <c r="E237">
        <v>-37446</v>
      </c>
    </row>
    <row r="238" spans="1:30" x14ac:dyDescent="0.3">
      <c r="A238" t="s">
        <v>95</v>
      </c>
      <c r="B238" t="s">
        <v>43</v>
      </c>
      <c r="C238" t="s">
        <v>124</v>
      </c>
      <c r="D238" t="s">
        <v>30</v>
      </c>
      <c r="E238">
        <v>-79281</v>
      </c>
    </row>
    <row r="239" spans="1:30" x14ac:dyDescent="0.3">
      <c r="A239" t="s">
        <v>95</v>
      </c>
      <c r="B239" t="s">
        <v>44</v>
      </c>
      <c r="C239" t="s">
        <v>30</v>
      </c>
      <c r="E239">
        <v>44106.48</v>
      </c>
      <c r="F239">
        <v>74870.19</v>
      </c>
      <c r="G239">
        <v>-37936.519999999997</v>
      </c>
      <c r="H239">
        <v>7009.62</v>
      </c>
      <c r="I239">
        <v>127271.67999999999</v>
      </c>
      <c r="J239">
        <v>-3759.57</v>
      </c>
      <c r="K239">
        <v>-312782.12</v>
      </c>
      <c r="L239">
        <v>-253359.53</v>
      </c>
      <c r="M239">
        <v>-192744.1</v>
      </c>
      <c r="N239">
        <v>-287009.69</v>
      </c>
      <c r="O239">
        <v>-213426.59</v>
      </c>
      <c r="P239">
        <v>-358073.77</v>
      </c>
      <c r="Q239">
        <v>-150054.01999999999</v>
      </c>
      <c r="R239">
        <v>-83691.91</v>
      </c>
      <c r="S239">
        <v>-10542.87</v>
      </c>
      <c r="T239">
        <v>61726.33</v>
      </c>
      <c r="U239">
        <v>-25707.93</v>
      </c>
      <c r="V239">
        <v>-10524.88</v>
      </c>
      <c r="W239">
        <v>-38409.65</v>
      </c>
      <c r="X239">
        <v>155593.25</v>
      </c>
      <c r="Y239">
        <v>-26357.94</v>
      </c>
      <c r="Z239">
        <v>28714.97</v>
      </c>
      <c r="AA239">
        <v>136188.88</v>
      </c>
      <c r="AB239">
        <v>130907.75</v>
      </c>
      <c r="AC239">
        <v>172592.89</v>
      </c>
      <c r="AD239">
        <v>66068.89</v>
      </c>
    </row>
    <row r="240" spans="1:30" x14ac:dyDescent="0.3">
      <c r="A240" t="s">
        <v>95</v>
      </c>
      <c r="B240" t="s">
        <v>45</v>
      </c>
      <c r="C240" t="s">
        <v>30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</row>
    <row r="241" spans="1:30" x14ac:dyDescent="0.3">
      <c r="A241" t="s">
        <v>95</v>
      </c>
      <c r="B241" t="s">
        <v>46</v>
      </c>
      <c r="C241" t="s">
        <v>30</v>
      </c>
      <c r="E241">
        <v>44106.48</v>
      </c>
      <c r="F241">
        <v>74870.19</v>
      </c>
      <c r="G241">
        <v>-37936.519999999997</v>
      </c>
      <c r="H241">
        <v>7009.62</v>
      </c>
      <c r="I241">
        <v>127271.67999999999</v>
      </c>
      <c r="J241">
        <v>-3759.57</v>
      </c>
      <c r="K241">
        <v>-312782.12</v>
      </c>
      <c r="L241">
        <v>-253359.53</v>
      </c>
      <c r="M241">
        <v>-192744.1</v>
      </c>
      <c r="N241">
        <v>-287009.69</v>
      </c>
      <c r="O241">
        <v>-213426.59</v>
      </c>
      <c r="P241">
        <v>-358073.77</v>
      </c>
      <c r="Q241">
        <v>-150054.01999999999</v>
      </c>
      <c r="R241">
        <v>-83691.91</v>
      </c>
      <c r="S241">
        <v>-10542.87</v>
      </c>
      <c r="T241">
        <v>61726.33</v>
      </c>
      <c r="U241">
        <v>-25707.93</v>
      </c>
      <c r="V241">
        <v>-10524.88</v>
      </c>
      <c r="W241">
        <v>-38409.65</v>
      </c>
      <c r="X241">
        <v>155593.25</v>
      </c>
      <c r="Y241">
        <v>-26357.94</v>
      </c>
      <c r="Z241">
        <v>28714.97</v>
      </c>
      <c r="AA241">
        <v>136188.88</v>
      </c>
      <c r="AB241">
        <v>130907.75</v>
      </c>
      <c r="AC241">
        <v>172592.89</v>
      </c>
      <c r="AD241">
        <v>66068.89</v>
      </c>
    </row>
    <row r="242" spans="1:30" x14ac:dyDescent="0.3">
      <c r="A242" t="s">
        <v>95</v>
      </c>
      <c r="B242" t="s">
        <v>47</v>
      </c>
      <c r="C242" t="s">
        <v>30</v>
      </c>
      <c r="E242">
        <v>-4918</v>
      </c>
      <c r="F242">
        <v>-1148</v>
      </c>
      <c r="G242">
        <v>-1148</v>
      </c>
      <c r="H242">
        <v>-1148</v>
      </c>
      <c r="I242">
        <v>-1148</v>
      </c>
      <c r="J242">
        <v>-1148</v>
      </c>
      <c r="K242">
        <v>-1148</v>
      </c>
      <c r="L242">
        <v>-1148</v>
      </c>
      <c r="M242">
        <v>-1148</v>
      </c>
      <c r="N242">
        <v>-1221</v>
      </c>
      <c r="O242">
        <v>-3341</v>
      </c>
      <c r="P242">
        <v>-3341</v>
      </c>
      <c r="Q242">
        <v>-3341</v>
      </c>
      <c r="R242">
        <v>-3341</v>
      </c>
      <c r="T242">
        <v>-6683</v>
      </c>
      <c r="U242">
        <v>-3341</v>
      </c>
      <c r="V242">
        <v>-3341</v>
      </c>
      <c r="W242">
        <v>-3341</v>
      </c>
      <c r="Y242">
        <v>-6683</v>
      </c>
      <c r="Z242">
        <v>-3341</v>
      </c>
      <c r="AA242">
        <v>-3341</v>
      </c>
      <c r="AB242">
        <v>-3341</v>
      </c>
      <c r="AC242">
        <v>-3341</v>
      </c>
      <c r="AD242">
        <v>-3341</v>
      </c>
    </row>
    <row r="243" spans="1:30" x14ac:dyDescent="0.3">
      <c r="A243" t="s">
        <v>95</v>
      </c>
      <c r="B243" t="s">
        <v>30</v>
      </c>
      <c r="C243" t="s">
        <v>30</v>
      </c>
      <c r="E243">
        <v>39188.480000000003</v>
      </c>
      <c r="F243">
        <v>73722.19</v>
      </c>
      <c r="G243">
        <v>-39084.519999999997</v>
      </c>
      <c r="H243">
        <v>5861.62</v>
      </c>
      <c r="I243">
        <v>126123.68</v>
      </c>
      <c r="J243">
        <v>-4907.57</v>
      </c>
      <c r="K243">
        <v>-313930.12</v>
      </c>
      <c r="L243">
        <v>-254507.53</v>
      </c>
      <c r="M243">
        <v>-193892.1</v>
      </c>
      <c r="N243">
        <v>-288230.69</v>
      </c>
      <c r="O243">
        <v>-216767.59</v>
      </c>
      <c r="P243">
        <v>-361414.77</v>
      </c>
      <c r="Q243">
        <v>-153395.01999999999</v>
      </c>
      <c r="R243">
        <v>-87032.91</v>
      </c>
      <c r="S243">
        <v>-10542.87</v>
      </c>
      <c r="T243">
        <v>55043.33</v>
      </c>
      <c r="U243">
        <v>-29048.93</v>
      </c>
      <c r="V243">
        <v>-13865.88</v>
      </c>
      <c r="W243">
        <v>-41750.65</v>
      </c>
      <c r="X243">
        <v>155593.25</v>
      </c>
      <c r="Y243">
        <v>-33040.94</v>
      </c>
      <c r="Z243">
        <v>25373.97</v>
      </c>
      <c r="AA243">
        <v>132847.88</v>
      </c>
      <c r="AB243">
        <v>127566.75</v>
      </c>
      <c r="AC243">
        <v>169251.89</v>
      </c>
      <c r="AD243">
        <v>62727.89</v>
      </c>
    </row>
    <row r="244" spans="1:30" x14ac:dyDescent="0.3">
      <c r="A244" t="s">
        <v>95</v>
      </c>
      <c r="B244" t="s">
        <v>30</v>
      </c>
    </row>
    <row r="245" spans="1:30" x14ac:dyDescent="0.3">
      <c r="A245" t="s">
        <v>95</v>
      </c>
    </row>
    <row r="246" spans="1:30" x14ac:dyDescent="0.3">
      <c r="A246" t="s">
        <v>95</v>
      </c>
      <c r="B246" t="s">
        <v>137</v>
      </c>
    </row>
    <row r="247" spans="1:30" x14ac:dyDescent="0.3">
      <c r="A247" t="s">
        <v>96</v>
      </c>
      <c r="B247" t="s">
        <v>22</v>
      </c>
      <c r="E247">
        <v>202312</v>
      </c>
      <c r="F247">
        <v>202401</v>
      </c>
      <c r="G247">
        <v>202402</v>
      </c>
      <c r="H247">
        <v>202403</v>
      </c>
      <c r="I247">
        <v>202404</v>
      </c>
      <c r="J247">
        <v>202405</v>
      </c>
      <c r="K247">
        <v>202406</v>
      </c>
      <c r="L247">
        <v>202407</v>
      </c>
      <c r="M247">
        <v>202408</v>
      </c>
      <c r="N247">
        <v>202409</v>
      </c>
      <c r="O247">
        <v>202410</v>
      </c>
      <c r="P247">
        <v>202411</v>
      </c>
      <c r="Q247">
        <v>202412</v>
      </c>
      <c r="R247">
        <v>202501</v>
      </c>
      <c r="S247">
        <v>202502</v>
      </c>
      <c r="T247">
        <v>202503</v>
      </c>
      <c r="U247">
        <v>202504</v>
      </c>
      <c r="V247">
        <v>202505</v>
      </c>
      <c r="W247">
        <v>202506</v>
      </c>
      <c r="X247">
        <v>202507</v>
      </c>
      <c r="Y247">
        <v>202508</v>
      </c>
      <c r="Z247">
        <v>202509</v>
      </c>
      <c r="AA247">
        <v>202510</v>
      </c>
      <c r="AB247">
        <v>202511</v>
      </c>
      <c r="AC247">
        <v>202512</v>
      </c>
      <c r="AD247">
        <v>202601</v>
      </c>
    </row>
    <row r="248" spans="1:30" x14ac:dyDescent="0.3">
      <c r="A248" t="s">
        <v>96</v>
      </c>
      <c r="B248" t="s">
        <v>23</v>
      </c>
      <c r="E248" t="s">
        <v>24</v>
      </c>
      <c r="F248" t="s">
        <v>24</v>
      </c>
      <c r="G248" t="s">
        <v>24</v>
      </c>
      <c r="H248" t="s">
        <v>24</v>
      </c>
      <c r="I248" t="s">
        <v>24</v>
      </c>
      <c r="J248" t="s">
        <v>24</v>
      </c>
      <c r="K248" t="s">
        <v>24</v>
      </c>
      <c r="L248" t="s">
        <v>24</v>
      </c>
      <c r="M248" t="s">
        <v>24</v>
      </c>
      <c r="N248" t="s">
        <v>24</v>
      </c>
      <c r="O248" t="s">
        <v>24</v>
      </c>
      <c r="P248" t="s">
        <v>24</v>
      </c>
      <c r="Q248" t="s">
        <v>24</v>
      </c>
      <c r="R248" t="s">
        <v>24</v>
      </c>
      <c r="S248" t="s">
        <v>24</v>
      </c>
      <c r="T248" t="s">
        <v>24</v>
      </c>
      <c r="U248" t="s">
        <v>24</v>
      </c>
      <c r="V248" t="s">
        <v>24</v>
      </c>
      <c r="W248" t="s">
        <v>24</v>
      </c>
      <c r="X248" t="s">
        <v>24</v>
      </c>
      <c r="Y248" t="s">
        <v>24</v>
      </c>
      <c r="Z248" t="s">
        <v>24</v>
      </c>
      <c r="AA248" t="s">
        <v>24</v>
      </c>
      <c r="AB248" t="s">
        <v>24</v>
      </c>
      <c r="AC248" t="s">
        <v>24</v>
      </c>
      <c r="AD248" t="s">
        <v>24</v>
      </c>
    </row>
    <row r="249" spans="1:30" x14ac:dyDescent="0.3">
      <c r="A249" t="s">
        <v>96</v>
      </c>
      <c r="B249" t="s">
        <v>25</v>
      </c>
      <c r="C249" t="s">
        <v>26</v>
      </c>
      <c r="D249" t="s">
        <v>27</v>
      </c>
      <c r="E249" t="s">
        <v>28</v>
      </c>
      <c r="F249" t="s">
        <v>28</v>
      </c>
      <c r="G249" t="s">
        <v>28</v>
      </c>
      <c r="H249" t="s">
        <v>28</v>
      </c>
      <c r="I249" t="s">
        <v>28</v>
      </c>
      <c r="J249" t="s">
        <v>28</v>
      </c>
      <c r="K249" t="s">
        <v>28</v>
      </c>
      <c r="L249" t="s">
        <v>28</v>
      </c>
      <c r="M249" t="s">
        <v>28</v>
      </c>
      <c r="N249" t="s">
        <v>28</v>
      </c>
      <c r="O249" t="s">
        <v>28</v>
      </c>
      <c r="P249" t="s">
        <v>28</v>
      </c>
      <c r="Q249" t="s">
        <v>28</v>
      </c>
      <c r="R249" t="s">
        <v>28</v>
      </c>
      <c r="S249" t="s">
        <v>28</v>
      </c>
      <c r="T249" t="s">
        <v>28</v>
      </c>
      <c r="U249" t="s">
        <v>28</v>
      </c>
      <c r="V249" t="s">
        <v>28</v>
      </c>
      <c r="W249" t="s">
        <v>28</v>
      </c>
      <c r="X249" t="s">
        <v>28</v>
      </c>
      <c r="Y249" t="s">
        <v>28</v>
      </c>
      <c r="Z249" t="s">
        <v>28</v>
      </c>
      <c r="AA249" t="s">
        <v>28</v>
      </c>
      <c r="AB249" t="s">
        <v>28</v>
      </c>
      <c r="AC249" t="s">
        <v>28</v>
      </c>
      <c r="AD249" t="s">
        <v>28</v>
      </c>
    </row>
    <row r="250" spans="1:30" x14ac:dyDescent="0.3">
      <c r="A250" t="s">
        <v>96</v>
      </c>
      <c r="B250" t="s">
        <v>29</v>
      </c>
      <c r="C250" t="s">
        <v>30</v>
      </c>
      <c r="E250">
        <v>1514662.22</v>
      </c>
      <c r="F250">
        <v>1341534.44</v>
      </c>
      <c r="G250">
        <v>1350257.35</v>
      </c>
      <c r="H250">
        <v>1446601.82</v>
      </c>
      <c r="I250">
        <v>1479698.65</v>
      </c>
      <c r="J250">
        <v>1617053.46</v>
      </c>
      <c r="K250">
        <v>1549585.52</v>
      </c>
      <c r="L250">
        <v>1571133.28</v>
      </c>
      <c r="M250">
        <v>1584851.77</v>
      </c>
      <c r="N250">
        <v>1632211.15</v>
      </c>
      <c r="O250">
        <v>1671195.78</v>
      </c>
      <c r="P250">
        <v>1796515.93</v>
      </c>
      <c r="Q250">
        <v>1779012.61</v>
      </c>
      <c r="R250">
        <v>1948979.24</v>
      </c>
      <c r="S250">
        <v>1890905.76</v>
      </c>
      <c r="T250">
        <v>2019742.83</v>
      </c>
      <c r="U250">
        <v>2077064.15</v>
      </c>
      <c r="V250">
        <v>2078639.15</v>
      </c>
      <c r="W250">
        <v>2202220.41</v>
      </c>
      <c r="X250">
        <v>2114599.16</v>
      </c>
      <c r="Y250">
        <v>2107728.66</v>
      </c>
      <c r="Z250">
        <v>2247512.7400000002</v>
      </c>
      <c r="AA250">
        <v>2259496.27</v>
      </c>
      <c r="AB250">
        <v>2238538.9500000002</v>
      </c>
      <c r="AC250">
        <v>2418555.4</v>
      </c>
      <c r="AD250">
        <v>2305781.31</v>
      </c>
    </row>
    <row r="251" spans="1:30" x14ac:dyDescent="0.3">
      <c r="A251" t="s">
        <v>96</v>
      </c>
      <c r="B251" t="s">
        <v>29</v>
      </c>
      <c r="C251" t="s">
        <v>31</v>
      </c>
      <c r="D251" t="s">
        <v>30</v>
      </c>
      <c r="E251">
        <v>1506632.22</v>
      </c>
      <c r="F251">
        <v>1334754.44</v>
      </c>
      <c r="G251">
        <v>1342966.85</v>
      </c>
      <c r="H251">
        <v>1437271.83</v>
      </c>
      <c r="I251">
        <v>1468338.65</v>
      </c>
      <c r="J251">
        <v>1511103.46</v>
      </c>
      <c r="K251">
        <v>1562895.52</v>
      </c>
      <c r="L251">
        <v>1549933.28</v>
      </c>
      <c r="M251">
        <v>1571470.98</v>
      </c>
      <c r="N251">
        <v>1586947.16</v>
      </c>
      <c r="O251">
        <v>1651945.48</v>
      </c>
      <c r="P251">
        <v>1771013.43</v>
      </c>
      <c r="Q251">
        <v>1764592.61</v>
      </c>
      <c r="R251">
        <v>1848206.24</v>
      </c>
      <c r="S251">
        <v>1855665.76</v>
      </c>
      <c r="T251">
        <v>1946872.53</v>
      </c>
      <c r="U251">
        <v>1999120.83</v>
      </c>
      <c r="V251">
        <v>1996459.15</v>
      </c>
      <c r="W251">
        <v>2124240.41</v>
      </c>
      <c r="X251">
        <v>2019720.16</v>
      </c>
      <c r="Y251">
        <v>2017570.44</v>
      </c>
      <c r="Z251">
        <v>2074771.94</v>
      </c>
      <c r="AA251">
        <v>2136985.27</v>
      </c>
      <c r="AB251">
        <v>2099348.9500000002</v>
      </c>
      <c r="AC251">
        <v>2259305.6</v>
      </c>
      <c r="AD251">
        <v>2148149.92</v>
      </c>
    </row>
    <row r="252" spans="1:30" x14ac:dyDescent="0.3">
      <c r="A252" t="s">
        <v>96</v>
      </c>
      <c r="B252" t="s">
        <v>29</v>
      </c>
      <c r="C252" t="s">
        <v>31</v>
      </c>
      <c r="D252" t="s">
        <v>32</v>
      </c>
      <c r="E252">
        <v>1418017.1</v>
      </c>
      <c r="F252">
        <v>1328306.71</v>
      </c>
      <c r="G252">
        <v>1329298.8500000001</v>
      </c>
      <c r="H252">
        <v>1424141.19</v>
      </c>
      <c r="I252">
        <v>1438573.61</v>
      </c>
      <c r="J252">
        <v>1491057.46</v>
      </c>
      <c r="K252">
        <v>1558532.89</v>
      </c>
      <c r="L252">
        <v>1545614.28</v>
      </c>
      <c r="M252">
        <v>1559551.98</v>
      </c>
      <c r="N252">
        <v>1573019.16</v>
      </c>
      <c r="O252">
        <v>1610007.63</v>
      </c>
      <c r="P252">
        <v>1765360.43</v>
      </c>
      <c r="Q252">
        <v>1729121.18</v>
      </c>
      <c r="R252">
        <v>1830735.13</v>
      </c>
      <c r="S252">
        <v>1848754.56</v>
      </c>
      <c r="T252">
        <v>1916658.8</v>
      </c>
      <c r="U252">
        <v>1930724.06</v>
      </c>
      <c r="V252">
        <v>1930724.06</v>
      </c>
      <c r="W252">
        <v>2050386.6</v>
      </c>
      <c r="X252">
        <v>1949296.37</v>
      </c>
      <c r="Y252">
        <v>1953427.75</v>
      </c>
      <c r="Z252">
        <v>1988354.44</v>
      </c>
      <c r="AA252">
        <v>2055481.7</v>
      </c>
      <c r="AB252">
        <v>2014246.96</v>
      </c>
      <c r="AC252">
        <v>2183950.5099999998</v>
      </c>
      <c r="AD252">
        <v>2083294.83</v>
      </c>
    </row>
    <row r="253" spans="1:30" x14ac:dyDescent="0.3">
      <c r="A253" t="s">
        <v>96</v>
      </c>
      <c r="B253" t="s">
        <v>29</v>
      </c>
      <c r="C253" t="s">
        <v>31</v>
      </c>
      <c r="D253" t="s">
        <v>33</v>
      </c>
      <c r="E253">
        <v>44155.12</v>
      </c>
      <c r="F253">
        <v>5487.73</v>
      </c>
      <c r="G253">
        <v>4250</v>
      </c>
      <c r="H253">
        <v>4300.6400000000003</v>
      </c>
      <c r="I253">
        <v>19624.04</v>
      </c>
      <c r="J253">
        <v>13480</v>
      </c>
      <c r="K253">
        <v>-0.37</v>
      </c>
      <c r="L253">
        <v>2915</v>
      </c>
      <c r="M253">
        <v>7370</v>
      </c>
      <c r="N253">
        <v>7790</v>
      </c>
      <c r="O253">
        <v>25157.85</v>
      </c>
      <c r="P253">
        <v>0</v>
      </c>
      <c r="Q253">
        <v>14591.43</v>
      </c>
      <c r="R253">
        <v>8085.11</v>
      </c>
      <c r="T253">
        <v>22032.53</v>
      </c>
      <c r="U253">
        <v>1056.68</v>
      </c>
      <c r="W253">
        <v>5471.12</v>
      </c>
      <c r="X253">
        <v>4947.1000000000004</v>
      </c>
      <c r="Z253">
        <v>12249.41</v>
      </c>
      <c r="AA253">
        <v>14304.48</v>
      </c>
      <c r="AB253">
        <v>14372.9</v>
      </c>
    </row>
    <row r="254" spans="1:30" x14ac:dyDescent="0.3">
      <c r="A254" t="s">
        <v>96</v>
      </c>
      <c r="B254" t="s">
        <v>29</v>
      </c>
      <c r="C254" t="s">
        <v>31</v>
      </c>
      <c r="D254" t="s">
        <v>34</v>
      </c>
      <c r="E254">
        <v>44460</v>
      </c>
      <c r="F254">
        <v>960</v>
      </c>
      <c r="G254">
        <v>9418</v>
      </c>
      <c r="H254">
        <v>8830</v>
      </c>
      <c r="I254">
        <v>10141</v>
      </c>
      <c r="J254">
        <v>6566</v>
      </c>
      <c r="K254">
        <v>4363</v>
      </c>
      <c r="L254">
        <v>1404</v>
      </c>
      <c r="M254">
        <v>4549</v>
      </c>
      <c r="N254">
        <v>6138</v>
      </c>
      <c r="O254">
        <v>16780</v>
      </c>
      <c r="P254">
        <v>5653</v>
      </c>
      <c r="Q254">
        <v>20880</v>
      </c>
      <c r="R254">
        <v>9386</v>
      </c>
      <c r="S254">
        <v>6911.2</v>
      </c>
      <c r="T254">
        <v>8181.2</v>
      </c>
      <c r="U254">
        <v>67340.09</v>
      </c>
      <c r="V254">
        <v>65735.09</v>
      </c>
      <c r="W254">
        <v>68382.69</v>
      </c>
      <c r="X254">
        <v>65476.69</v>
      </c>
      <c r="Y254">
        <v>64142.69</v>
      </c>
      <c r="Z254">
        <v>74168.09</v>
      </c>
      <c r="AA254">
        <v>67199.09</v>
      </c>
      <c r="AB254">
        <v>70729.09</v>
      </c>
      <c r="AC254">
        <v>75355.09</v>
      </c>
      <c r="AD254">
        <v>64855.09</v>
      </c>
    </row>
    <row r="255" spans="1:30" x14ac:dyDescent="0.3">
      <c r="A255" t="s">
        <v>96</v>
      </c>
      <c r="B255" t="s">
        <v>29</v>
      </c>
      <c r="C255" t="s">
        <v>35</v>
      </c>
      <c r="D255" t="s">
        <v>30</v>
      </c>
      <c r="E255">
        <v>8030</v>
      </c>
      <c r="F255">
        <v>6780</v>
      </c>
      <c r="G255">
        <v>7290.5</v>
      </c>
      <c r="H255">
        <v>9329.99</v>
      </c>
      <c r="I255">
        <v>11360</v>
      </c>
      <c r="J255">
        <v>105950</v>
      </c>
      <c r="K255">
        <v>-13310</v>
      </c>
      <c r="L255">
        <v>21200</v>
      </c>
      <c r="M255">
        <v>13380.79</v>
      </c>
      <c r="N255">
        <v>45263.99</v>
      </c>
      <c r="O255">
        <v>19250.3</v>
      </c>
      <c r="P255">
        <v>25502.5</v>
      </c>
      <c r="Q255">
        <v>14420</v>
      </c>
      <c r="R255">
        <v>100773</v>
      </c>
      <c r="S255">
        <v>35240</v>
      </c>
      <c r="T255">
        <v>72870.3</v>
      </c>
      <c r="U255">
        <v>77943.320000000007</v>
      </c>
      <c r="V255">
        <v>82180</v>
      </c>
      <c r="W255">
        <v>77980</v>
      </c>
      <c r="X255">
        <v>94879</v>
      </c>
      <c r="Y255">
        <v>90158.22</v>
      </c>
      <c r="Z255">
        <v>172740.8</v>
      </c>
      <c r="AA255">
        <v>122511</v>
      </c>
      <c r="AB255">
        <v>139190</v>
      </c>
      <c r="AC255">
        <v>159249.79999999999</v>
      </c>
      <c r="AD255">
        <v>157631.39000000001</v>
      </c>
    </row>
    <row r="256" spans="1:30" x14ac:dyDescent="0.3">
      <c r="A256" t="s">
        <v>96</v>
      </c>
      <c r="B256" t="s">
        <v>36</v>
      </c>
      <c r="C256" t="s">
        <v>30</v>
      </c>
      <c r="E256">
        <v>-1178856.71</v>
      </c>
      <c r="F256">
        <v>-1178381.8400000001</v>
      </c>
      <c r="G256">
        <v>-1039425.48</v>
      </c>
      <c r="H256">
        <v>-1184982.3500000001</v>
      </c>
      <c r="I256">
        <v>-1154518.74</v>
      </c>
      <c r="J256">
        <v>-1041643.43</v>
      </c>
      <c r="K256">
        <v>-1159256.17</v>
      </c>
      <c r="L256">
        <v>-1165529.4099999999</v>
      </c>
      <c r="M256">
        <v>-1284012.1399999999</v>
      </c>
      <c r="N256">
        <v>-1113159.3</v>
      </c>
      <c r="O256">
        <v>-1259679.3999999999</v>
      </c>
      <c r="P256">
        <v>-1295482.6399999999</v>
      </c>
      <c r="Q256">
        <v>-1274807.31</v>
      </c>
      <c r="R256">
        <v>-1346696.19</v>
      </c>
      <c r="S256">
        <v>-1290778.45</v>
      </c>
      <c r="T256">
        <v>-1440272.48</v>
      </c>
      <c r="U256">
        <v>-1327305.3799999999</v>
      </c>
      <c r="V256">
        <v>-1473385.81</v>
      </c>
      <c r="W256">
        <v>-1415651.53</v>
      </c>
      <c r="X256">
        <v>-1576607.74</v>
      </c>
      <c r="Y256">
        <v>-1648859.03</v>
      </c>
      <c r="Z256">
        <v>-1609864.57</v>
      </c>
      <c r="AA256">
        <v>-1857937.62</v>
      </c>
      <c r="AB256">
        <v>-1675541.19</v>
      </c>
      <c r="AC256">
        <v>-1700909.91</v>
      </c>
      <c r="AD256">
        <v>-1817805.86</v>
      </c>
    </row>
    <row r="257" spans="1:30" x14ac:dyDescent="0.3">
      <c r="A257" t="s">
        <v>96</v>
      </c>
      <c r="B257" t="s">
        <v>36</v>
      </c>
      <c r="C257" t="s">
        <v>18</v>
      </c>
      <c r="D257" t="s">
        <v>30</v>
      </c>
      <c r="E257">
        <v>-802223.64</v>
      </c>
      <c r="F257">
        <v>-771760.16</v>
      </c>
      <c r="G257">
        <v>-673372.48</v>
      </c>
      <c r="H257">
        <v>-835829.84</v>
      </c>
      <c r="I257">
        <v>-786669.75</v>
      </c>
      <c r="J257">
        <v>-707269.17</v>
      </c>
      <c r="K257">
        <v>-827122.29</v>
      </c>
      <c r="L257">
        <v>-871621.76</v>
      </c>
      <c r="M257">
        <v>-879177.16</v>
      </c>
      <c r="N257">
        <v>-761399.99</v>
      </c>
      <c r="O257">
        <v>-847727.74</v>
      </c>
      <c r="P257">
        <v>-882261.37</v>
      </c>
      <c r="Q257">
        <v>-876952.14</v>
      </c>
      <c r="R257">
        <v>-957554.82</v>
      </c>
      <c r="S257">
        <v>-858841.17</v>
      </c>
      <c r="T257">
        <v>-975727.3</v>
      </c>
      <c r="U257">
        <v>-865912.39</v>
      </c>
      <c r="V257">
        <v>-963642.66</v>
      </c>
      <c r="W257">
        <v>-979325.99</v>
      </c>
      <c r="X257">
        <v>-1068084.7</v>
      </c>
      <c r="Y257">
        <v>-1112699.03</v>
      </c>
      <c r="Z257">
        <v>-1192804.6100000001</v>
      </c>
      <c r="AA257">
        <v>-1198045.1599999999</v>
      </c>
      <c r="AB257">
        <v>-1033971.05</v>
      </c>
      <c r="AC257">
        <v>-1206470.98</v>
      </c>
      <c r="AD257">
        <v>-1239252.1399999999</v>
      </c>
    </row>
    <row r="258" spans="1:30" x14ac:dyDescent="0.3">
      <c r="A258" t="s">
        <v>96</v>
      </c>
      <c r="B258" t="s">
        <v>36</v>
      </c>
      <c r="C258" t="s">
        <v>37</v>
      </c>
      <c r="D258" t="s">
        <v>30</v>
      </c>
      <c r="E258">
        <v>-376633.07</v>
      </c>
      <c r="F258">
        <v>-406621.68</v>
      </c>
      <c r="G258">
        <v>-366053</v>
      </c>
      <c r="H258">
        <v>-349152.51</v>
      </c>
      <c r="I258">
        <v>-367848.99</v>
      </c>
      <c r="J258">
        <v>-334374.26</v>
      </c>
      <c r="K258">
        <v>-332133.88</v>
      </c>
      <c r="L258">
        <v>-293907.65000000002</v>
      </c>
      <c r="M258">
        <v>-404834.98</v>
      </c>
      <c r="N258">
        <v>-351759.31</v>
      </c>
      <c r="O258">
        <v>-411951.66</v>
      </c>
      <c r="P258">
        <v>-413221.27</v>
      </c>
      <c r="Q258">
        <v>-397855.17</v>
      </c>
      <c r="R258">
        <v>-389141.37</v>
      </c>
      <c r="S258">
        <v>-431937.28000000003</v>
      </c>
      <c r="T258">
        <v>-464545.18</v>
      </c>
      <c r="U258">
        <v>-461392.99</v>
      </c>
      <c r="V258">
        <v>-509743.15</v>
      </c>
      <c r="W258">
        <v>-436325.54</v>
      </c>
      <c r="X258">
        <v>-508523.04</v>
      </c>
      <c r="Y258">
        <v>-536160</v>
      </c>
      <c r="Z258">
        <v>-417059.96</v>
      </c>
      <c r="AA258">
        <v>-659892.46</v>
      </c>
      <c r="AB258">
        <v>-641570.14</v>
      </c>
      <c r="AC258">
        <v>-494438.93</v>
      </c>
      <c r="AD258">
        <v>-578553.72</v>
      </c>
    </row>
    <row r="259" spans="1:30" x14ac:dyDescent="0.3">
      <c r="A259" t="s">
        <v>96</v>
      </c>
      <c r="B259" t="s">
        <v>38</v>
      </c>
      <c r="C259" t="s">
        <v>30</v>
      </c>
      <c r="E259">
        <v>335805.51</v>
      </c>
      <c r="F259">
        <v>163152.6</v>
      </c>
      <c r="G259">
        <v>310831.87</v>
      </c>
      <c r="H259">
        <v>261619.47</v>
      </c>
      <c r="I259">
        <v>325179.90999999997</v>
      </c>
      <c r="J259">
        <v>575410.03</v>
      </c>
      <c r="K259">
        <v>390329.35</v>
      </c>
      <c r="L259">
        <v>405603.87</v>
      </c>
      <c r="M259">
        <v>300839.63</v>
      </c>
      <c r="N259">
        <v>519051.85</v>
      </c>
      <c r="O259">
        <v>411516.38</v>
      </c>
      <c r="P259">
        <v>501033.29</v>
      </c>
      <c r="Q259">
        <v>504205.3</v>
      </c>
      <c r="R259">
        <v>602283.05000000005</v>
      </c>
      <c r="S259">
        <v>600127.31000000006</v>
      </c>
      <c r="T259">
        <v>579470.35</v>
      </c>
      <c r="U259">
        <v>749758.77</v>
      </c>
      <c r="V259">
        <v>605253.34</v>
      </c>
      <c r="W259">
        <v>786568.88</v>
      </c>
      <c r="X259">
        <v>537991.42000000004</v>
      </c>
      <c r="Y259">
        <v>458869.63</v>
      </c>
      <c r="Z259">
        <v>637648.17000000004</v>
      </c>
      <c r="AA259">
        <v>401558.65</v>
      </c>
      <c r="AB259">
        <v>562997.76000000001</v>
      </c>
      <c r="AC259">
        <v>717645.49</v>
      </c>
      <c r="AD259">
        <v>487975.45</v>
      </c>
    </row>
    <row r="260" spans="1:30" x14ac:dyDescent="0.3">
      <c r="A260" t="s">
        <v>96</v>
      </c>
      <c r="B260" t="s">
        <v>39</v>
      </c>
      <c r="C260" t="s">
        <v>30</v>
      </c>
      <c r="E260">
        <v>-317710.65000000002</v>
      </c>
      <c r="F260">
        <v>-375212.73</v>
      </c>
      <c r="G260">
        <v>-381111.94</v>
      </c>
      <c r="H260">
        <v>-373520.01</v>
      </c>
      <c r="I260">
        <v>-380079.77</v>
      </c>
      <c r="J260">
        <v>-377889.26</v>
      </c>
      <c r="K260">
        <v>-372483.46</v>
      </c>
      <c r="L260">
        <v>-370716.22</v>
      </c>
      <c r="M260">
        <v>-416667.53</v>
      </c>
      <c r="N260">
        <v>-374911.29</v>
      </c>
      <c r="O260">
        <v>-377732.28</v>
      </c>
      <c r="P260">
        <v>-374040.47</v>
      </c>
      <c r="Q260">
        <v>-407479.81</v>
      </c>
      <c r="R260">
        <v>-382883.4</v>
      </c>
      <c r="S260">
        <v>-403303.03</v>
      </c>
      <c r="T260">
        <v>-407552.21</v>
      </c>
      <c r="U260">
        <v>-393016.94</v>
      </c>
      <c r="V260">
        <v>-407593.77</v>
      </c>
      <c r="W260">
        <v>-399684.15</v>
      </c>
      <c r="X260">
        <v>-393945.21</v>
      </c>
      <c r="Y260">
        <v>-387361.16</v>
      </c>
      <c r="Z260">
        <v>-440763.06</v>
      </c>
      <c r="AA260">
        <v>-358835.41</v>
      </c>
      <c r="AB260">
        <v>-420781.8</v>
      </c>
      <c r="AC260">
        <v>-425644.47</v>
      </c>
      <c r="AD260">
        <v>-408556.84</v>
      </c>
    </row>
    <row r="261" spans="1:30" x14ac:dyDescent="0.3">
      <c r="A261" t="s">
        <v>96</v>
      </c>
      <c r="B261" t="s">
        <v>39</v>
      </c>
      <c r="C261" t="s">
        <v>40</v>
      </c>
      <c r="D261" t="s">
        <v>30</v>
      </c>
      <c r="E261">
        <v>-306832.63</v>
      </c>
      <c r="F261">
        <v>-367714.28</v>
      </c>
      <c r="G261">
        <v>-370087.69</v>
      </c>
      <c r="H261">
        <v>-364538.51</v>
      </c>
      <c r="I261">
        <v>-369608.77</v>
      </c>
      <c r="J261">
        <v>-367078.01</v>
      </c>
      <c r="K261">
        <v>-361026.21</v>
      </c>
      <c r="L261">
        <v>-366931.07</v>
      </c>
      <c r="M261">
        <v>-406538.53</v>
      </c>
      <c r="N261">
        <v>-363409.29</v>
      </c>
      <c r="O261">
        <v>-367358.28</v>
      </c>
      <c r="P261">
        <v>-361618.97</v>
      </c>
      <c r="Q261">
        <v>-387478.81</v>
      </c>
      <c r="R261">
        <v>-381370.4</v>
      </c>
      <c r="S261">
        <v>-395087.53</v>
      </c>
      <c r="T261">
        <v>-402720.21</v>
      </c>
      <c r="U261">
        <v>-388576.94</v>
      </c>
      <c r="V261">
        <v>-402703.37</v>
      </c>
      <c r="W261">
        <v>-396712.15</v>
      </c>
      <c r="X261">
        <v>-398192.31</v>
      </c>
      <c r="Y261">
        <v>-385223.16</v>
      </c>
      <c r="Z261">
        <v>-434861.06</v>
      </c>
      <c r="AA261">
        <v>-351115.41</v>
      </c>
      <c r="AB261">
        <v>-415261.4</v>
      </c>
      <c r="AC261">
        <v>-421326.47</v>
      </c>
      <c r="AD261">
        <v>-400127.45</v>
      </c>
    </row>
    <row r="262" spans="1:30" x14ac:dyDescent="0.3">
      <c r="A262" t="s">
        <v>96</v>
      </c>
      <c r="B262" t="s">
        <v>39</v>
      </c>
      <c r="C262" t="s">
        <v>41</v>
      </c>
      <c r="D262" t="s">
        <v>30</v>
      </c>
      <c r="E262">
        <v>-10878.02</v>
      </c>
      <c r="F262">
        <v>-7498.45</v>
      </c>
      <c r="G262">
        <v>-11024.25</v>
      </c>
      <c r="H262">
        <v>-8981.5</v>
      </c>
      <c r="I262">
        <v>-10471</v>
      </c>
      <c r="J262">
        <v>-10811.25</v>
      </c>
      <c r="K262">
        <v>-11457.25</v>
      </c>
      <c r="L262">
        <v>-3785.15</v>
      </c>
      <c r="M262">
        <v>-10129</v>
      </c>
      <c r="N262">
        <v>-11502</v>
      </c>
      <c r="O262">
        <v>-10374</v>
      </c>
      <c r="P262">
        <v>-12421.5</v>
      </c>
      <c r="Q262">
        <v>-20001</v>
      </c>
      <c r="R262">
        <v>-1513</v>
      </c>
      <c r="S262">
        <v>-8215.5</v>
      </c>
      <c r="T262">
        <v>-4832</v>
      </c>
      <c r="U262">
        <v>-4440</v>
      </c>
      <c r="V262">
        <v>-4890.3999999999996</v>
      </c>
      <c r="W262">
        <v>-2972</v>
      </c>
      <c r="X262">
        <v>4247.1000000000004</v>
      </c>
      <c r="Y262">
        <v>-2138</v>
      </c>
      <c r="Z262">
        <v>-5902</v>
      </c>
      <c r="AA262">
        <v>-7720</v>
      </c>
      <c r="AB262">
        <v>-5520.4</v>
      </c>
      <c r="AC262">
        <v>-4318</v>
      </c>
      <c r="AD262">
        <v>-8429.39</v>
      </c>
    </row>
    <row r="263" spans="1:30" x14ac:dyDescent="0.3">
      <c r="A263" t="s">
        <v>96</v>
      </c>
      <c r="B263" t="s">
        <v>42</v>
      </c>
      <c r="C263" t="s">
        <v>30</v>
      </c>
      <c r="E263">
        <v>18094.86</v>
      </c>
      <c r="F263">
        <v>-212060.13</v>
      </c>
      <c r="G263">
        <v>-70280.070000000007</v>
      </c>
      <c r="H263">
        <v>-111900.54</v>
      </c>
      <c r="I263">
        <v>-54899.86</v>
      </c>
      <c r="J263">
        <v>197520.77</v>
      </c>
      <c r="K263">
        <v>17845.89</v>
      </c>
      <c r="L263">
        <v>34887.65</v>
      </c>
      <c r="M263">
        <v>-115827.9</v>
      </c>
      <c r="N263">
        <v>144140.56</v>
      </c>
      <c r="O263">
        <v>33784.1</v>
      </c>
      <c r="P263">
        <v>126992.82</v>
      </c>
      <c r="Q263">
        <v>96725.49</v>
      </c>
      <c r="R263">
        <v>219399.65</v>
      </c>
      <c r="S263">
        <v>196824.28</v>
      </c>
      <c r="T263">
        <v>171918.14</v>
      </c>
      <c r="U263">
        <v>356741.83</v>
      </c>
      <c r="V263">
        <v>197659.57</v>
      </c>
      <c r="W263">
        <v>386884.73</v>
      </c>
      <c r="X263">
        <v>144046.21</v>
      </c>
      <c r="Y263">
        <v>71508.47</v>
      </c>
      <c r="Z263">
        <v>196885.11</v>
      </c>
      <c r="AA263">
        <v>42723.24</v>
      </c>
      <c r="AB263">
        <v>142215.96</v>
      </c>
      <c r="AC263">
        <v>292001.02</v>
      </c>
      <c r="AD263">
        <v>79418.61</v>
      </c>
    </row>
    <row r="264" spans="1:30" x14ac:dyDescent="0.3">
      <c r="A264" t="s">
        <v>96</v>
      </c>
      <c r="B264" t="s">
        <v>43</v>
      </c>
      <c r="C264" t="s">
        <v>30</v>
      </c>
      <c r="E264">
        <v>-98291</v>
      </c>
    </row>
    <row r="265" spans="1:30" x14ac:dyDescent="0.3">
      <c r="A265" t="s">
        <v>96</v>
      </c>
      <c r="B265" t="s">
        <v>43</v>
      </c>
      <c r="C265" t="s">
        <v>123</v>
      </c>
      <c r="D265" t="s">
        <v>30</v>
      </c>
      <c r="E265">
        <v>-16133</v>
      </c>
    </row>
    <row r="266" spans="1:30" x14ac:dyDescent="0.3">
      <c r="A266" t="s">
        <v>96</v>
      </c>
      <c r="B266" t="s">
        <v>43</v>
      </c>
      <c r="C266" t="s">
        <v>124</v>
      </c>
      <c r="D266" t="s">
        <v>30</v>
      </c>
      <c r="E266">
        <v>-82158</v>
      </c>
    </row>
    <row r="267" spans="1:30" x14ac:dyDescent="0.3">
      <c r="A267" t="s">
        <v>96</v>
      </c>
      <c r="B267" t="s">
        <v>44</v>
      </c>
      <c r="C267" t="s">
        <v>30</v>
      </c>
      <c r="E267">
        <v>-80196.14</v>
      </c>
      <c r="F267">
        <v>-212060.13</v>
      </c>
      <c r="G267">
        <v>-70280.070000000007</v>
      </c>
      <c r="H267">
        <v>-111900.54</v>
      </c>
      <c r="I267">
        <v>-54899.86</v>
      </c>
      <c r="J267">
        <v>197520.77</v>
      </c>
      <c r="K267">
        <v>17845.89</v>
      </c>
      <c r="L267">
        <v>34887.65</v>
      </c>
      <c r="M267">
        <v>-115827.9</v>
      </c>
      <c r="N267">
        <v>144140.56</v>
      </c>
      <c r="O267">
        <v>33784.1</v>
      </c>
      <c r="P267">
        <v>126992.82</v>
      </c>
      <c r="Q267">
        <v>96725.49</v>
      </c>
      <c r="R267">
        <v>219399.65</v>
      </c>
      <c r="S267">
        <v>196824.28</v>
      </c>
      <c r="T267">
        <v>171918.14</v>
      </c>
      <c r="U267">
        <v>356741.83</v>
      </c>
      <c r="V267">
        <v>197659.57</v>
      </c>
      <c r="W267">
        <v>386884.73</v>
      </c>
      <c r="X267">
        <v>144046.21</v>
      </c>
      <c r="Y267">
        <v>71508.47</v>
      </c>
      <c r="Z267">
        <v>196885.11</v>
      </c>
      <c r="AA267">
        <v>42723.24</v>
      </c>
      <c r="AB267">
        <v>142215.96</v>
      </c>
      <c r="AC267">
        <v>292001.02</v>
      </c>
      <c r="AD267">
        <v>79418.61</v>
      </c>
    </row>
    <row r="268" spans="1:30" x14ac:dyDescent="0.3">
      <c r="A268" t="s">
        <v>96</v>
      </c>
      <c r="B268" t="s">
        <v>45</v>
      </c>
      <c r="C268" t="s">
        <v>30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</row>
    <row r="269" spans="1:30" x14ac:dyDescent="0.3">
      <c r="A269" t="s">
        <v>96</v>
      </c>
      <c r="B269" t="s">
        <v>46</v>
      </c>
      <c r="C269" t="s">
        <v>30</v>
      </c>
      <c r="E269">
        <v>-80196.14</v>
      </c>
      <c r="F269">
        <v>-212060.13</v>
      </c>
      <c r="G269">
        <v>-70280.070000000007</v>
      </c>
      <c r="H269">
        <v>-111900.54</v>
      </c>
      <c r="I269">
        <v>-54899.86</v>
      </c>
      <c r="J269">
        <v>197520.77</v>
      </c>
      <c r="K269">
        <v>17845.89</v>
      </c>
      <c r="L269">
        <v>34887.65</v>
      </c>
      <c r="M269">
        <v>-115827.9</v>
      </c>
      <c r="N269">
        <v>144140.56</v>
      </c>
      <c r="O269">
        <v>33784.1</v>
      </c>
      <c r="P269">
        <v>126992.82</v>
      </c>
      <c r="Q269">
        <v>96725.49</v>
      </c>
      <c r="R269">
        <v>219399.65</v>
      </c>
      <c r="S269">
        <v>196824.28</v>
      </c>
      <c r="T269">
        <v>171918.14</v>
      </c>
      <c r="U269">
        <v>356741.83</v>
      </c>
      <c r="V269">
        <v>197659.57</v>
      </c>
      <c r="W269">
        <v>386884.73</v>
      </c>
      <c r="X269">
        <v>144046.21</v>
      </c>
      <c r="Y269">
        <v>71508.47</v>
      </c>
      <c r="Z269">
        <v>196885.11</v>
      </c>
      <c r="AA269">
        <v>42723.24</v>
      </c>
      <c r="AB269">
        <v>142215.96</v>
      </c>
      <c r="AC269">
        <v>292001.02</v>
      </c>
      <c r="AD269">
        <v>79418.61</v>
      </c>
    </row>
    <row r="270" spans="1:30" x14ac:dyDescent="0.3">
      <c r="A270" t="s">
        <v>96</v>
      </c>
      <c r="B270" t="s">
        <v>47</v>
      </c>
      <c r="C270" t="s">
        <v>30</v>
      </c>
      <c r="E270">
        <v>-81332</v>
      </c>
      <c r="F270">
        <v>-10015</v>
      </c>
      <c r="G270">
        <v>-10016</v>
      </c>
      <c r="H270">
        <v>-10015</v>
      </c>
      <c r="I270">
        <v>-10016</v>
      </c>
      <c r="J270">
        <v>-10015</v>
      </c>
      <c r="K270">
        <v>-10017</v>
      </c>
      <c r="L270">
        <v>-10015</v>
      </c>
      <c r="M270">
        <v>-10017</v>
      </c>
      <c r="N270">
        <v>-10015</v>
      </c>
      <c r="O270">
        <v>-10017</v>
      </c>
      <c r="P270">
        <v>-10015</v>
      </c>
      <c r="Q270">
        <v>-10017</v>
      </c>
      <c r="R270">
        <v>-10015</v>
      </c>
      <c r="T270">
        <v>-20032</v>
      </c>
      <c r="U270">
        <v>-10017</v>
      </c>
      <c r="V270">
        <v>-10015</v>
      </c>
      <c r="W270">
        <v>-10017</v>
      </c>
      <c r="Y270">
        <v>-20032</v>
      </c>
      <c r="Z270">
        <v>-10015</v>
      </c>
      <c r="AA270">
        <v>-10017</v>
      </c>
      <c r="AB270">
        <v>-10015</v>
      </c>
      <c r="AC270">
        <v>-10017</v>
      </c>
      <c r="AD270">
        <v>-10015</v>
      </c>
    </row>
    <row r="271" spans="1:30" x14ac:dyDescent="0.3">
      <c r="A271" t="s">
        <v>96</v>
      </c>
      <c r="B271" t="s">
        <v>30</v>
      </c>
      <c r="C271" t="s">
        <v>30</v>
      </c>
      <c r="E271">
        <v>-161528.14000000001</v>
      </c>
      <c r="F271">
        <v>-222075.13</v>
      </c>
      <c r="G271">
        <v>-80296.070000000007</v>
      </c>
      <c r="H271">
        <v>-121915.54</v>
      </c>
      <c r="I271">
        <v>-64915.86</v>
      </c>
      <c r="J271">
        <v>187505.77</v>
      </c>
      <c r="K271">
        <v>7828.89</v>
      </c>
      <c r="L271">
        <v>24872.65</v>
      </c>
      <c r="M271">
        <v>-125844.9</v>
      </c>
      <c r="N271">
        <v>134125.56</v>
      </c>
      <c r="O271">
        <v>23767.1</v>
      </c>
      <c r="P271">
        <v>116977.82</v>
      </c>
      <c r="Q271">
        <v>86708.49</v>
      </c>
      <c r="R271">
        <v>209384.65</v>
      </c>
      <c r="S271">
        <v>196824.28</v>
      </c>
      <c r="T271">
        <v>151886.14000000001</v>
      </c>
      <c r="U271">
        <v>346724.83</v>
      </c>
      <c r="V271">
        <v>187644.57</v>
      </c>
      <c r="W271">
        <v>376867.73</v>
      </c>
      <c r="X271">
        <v>144046.21</v>
      </c>
      <c r="Y271">
        <v>51476.47</v>
      </c>
      <c r="Z271">
        <v>186870.11</v>
      </c>
      <c r="AA271">
        <v>32706.240000000002</v>
      </c>
      <c r="AB271">
        <v>132200.95999999999</v>
      </c>
      <c r="AC271">
        <v>281984.02</v>
      </c>
      <c r="AD271">
        <v>69403.61</v>
      </c>
    </row>
    <row r="272" spans="1:30" x14ac:dyDescent="0.3">
      <c r="A272" t="s">
        <v>96</v>
      </c>
      <c r="B272" t="s">
        <v>30</v>
      </c>
    </row>
    <row r="273" spans="1:30" x14ac:dyDescent="0.3">
      <c r="A273" t="s">
        <v>96</v>
      </c>
    </row>
    <row r="274" spans="1:30" x14ac:dyDescent="0.3">
      <c r="A274" t="s">
        <v>96</v>
      </c>
      <c r="B274" t="s">
        <v>138</v>
      </c>
    </row>
    <row r="275" spans="1:30" x14ac:dyDescent="0.3">
      <c r="A275" t="s">
        <v>97</v>
      </c>
      <c r="B275" t="s">
        <v>22</v>
      </c>
      <c r="E275">
        <v>202312</v>
      </c>
      <c r="F275">
        <v>202401</v>
      </c>
      <c r="G275">
        <v>202402</v>
      </c>
      <c r="H275">
        <v>202403</v>
      </c>
      <c r="I275">
        <v>202404</v>
      </c>
      <c r="J275">
        <v>202405</v>
      </c>
      <c r="K275">
        <v>202406</v>
      </c>
      <c r="L275">
        <v>202407</v>
      </c>
      <c r="M275">
        <v>202408</v>
      </c>
      <c r="N275">
        <v>202409</v>
      </c>
      <c r="O275">
        <v>202410</v>
      </c>
      <c r="P275">
        <v>202411</v>
      </c>
      <c r="Q275">
        <v>202412</v>
      </c>
      <c r="R275">
        <v>202501</v>
      </c>
      <c r="S275">
        <v>202502</v>
      </c>
      <c r="T275">
        <v>202503</v>
      </c>
      <c r="U275">
        <v>202504</v>
      </c>
      <c r="V275">
        <v>202505</v>
      </c>
      <c r="W275">
        <v>202506</v>
      </c>
      <c r="X275">
        <v>202507</v>
      </c>
      <c r="Y275">
        <v>202508</v>
      </c>
      <c r="Z275">
        <v>202509</v>
      </c>
      <c r="AA275">
        <v>202510</v>
      </c>
      <c r="AB275">
        <v>202511</v>
      </c>
      <c r="AC275">
        <v>202512</v>
      </c>
      <c r="AD275">
        <v>202601</v>
      </c>
    </row>
    <row r="276" spans="1:30" x14ac:dyDescent="0.3">
      <c r="A276" t="s">
        <v>97</v>
      </c>
      <c r="B276" t="s">
        <v>23</v>
      </c>
      <c r="E276" t="s">
        <v>24</v>
      </c>
      <c r="F276" t="s">
        <v>24</v>
      </c>
      <c r="G276" t="s">
        <v>24</v>
      </c>
      <c r="H276" t="s">
        <v>24</v>
      </c>
      <c r="I276" t="s">
        <v>24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24</v>
      </c>
      <c r="Q276" t="s">
        <v>24</v>
      </c>
      <c r="R276" t="s">
        <v>24</v>
      </c>
      <c r="S276" t="s">
        <v>24</v>
      </c>
      <c r="T276" t="s">
        <v>24</v>
      </c>
      <c r="U276" t="s">
        <v>24</v>
      </c>
      <c r="V276" t="s">
        <v>24</v>
      </c>
      <c r="W276" t="s">
        <v>24</v>
      </c>
      <c r="X276" t="s">
        <v>24</v>
      </c>
      <c r="Y276" t="s">
        <v>24</v>
      </c>
      <c r="Z276" t="s">
        <v>24</v>
      </c>
      <c r="AA276" t="s">
        <v>24</v>
      </c>
      <c r="AB276" t="s">
        <v>24</v>
      </c>
      <c r="AC276" t="s">
        <v>24</v>
      </c>
      <c r="AD276" t="s">
        <v>24</v>
      </c>
    </row>
    <row r="277" spans="1:30" x14ac:dyDescent="0.3">
      <c r="A277" t="s">
        <v>97</v>
      </c>
      <c r="B277" t="s">
        <v>25</v>
      </c>
      <c r="C277" t="s">
        <v>26</v>
      </c>
      <c r="D277" t="s">
        <v>27</v>
      </c>
      <c r="E277" t="s">
        <v>28</v>
      </c>
      <c r="F277" t="s">
        <v>28</v>
      </c>
      <c r="G277" t="s">
        <v>28</v>
      </c>
      <c r="H277" t="s">
        <v>28</v>
      </c>
      <c r="I277" t="s">
        <v>28</v>
      </c>
      <c r="J277" t="s">
        <v>28</v>
      </c>
      <c r="K277" t="s">
        <v>28</v>
      </c>
      <c r="L277" t="s">
        <v>28</v>
      </c>
      <c r="M277" t="s">
        <v>28</v>
      </c>
      <c r="N277" t="s">
        <v>28</v>
      </c>
      <c r="O277" t="s">
        <v>28</v>
      </c>
      <c r="P277" t="s">
        <v>28</v>
      </c>
      <c r="Q277" t="s">
        <v>28</v>
      </c>
      <c r="R277" t="s">
        <v>28</v>
      </c>
      <c r="S277" t="s">
        <v>28</v>
      </c>
      <c r="T277" t="s">
        <v>28</v>
      </c>
      <c r="U277" t="s">
        <v>28</v>
      </c>
      <c r="V277" t="s">
        <v>28</v>
      </c>
      <c r="W277" t="s">
        <v>28</v>
      </c>
      <c r="X277" t="s">
        <v>28</v>
      </c>
      <c r="Y277" t="s">
        <v>28</v>
      </c>
      <c r="Z277" t="s">
        <v>28</v>
      </c>
      <c r="AA277" t="s">
        <v>28</v>
      </c>
      <c r="AB277" t="s">
        <v>28</v>
      </c>
      <c r="AC277" t="s">
        <v>28</v>
      </c>
      <c r="AD277" t="s">
        <v>28</v>
      </c>
    </row>
    <row r="278" spans="1:30" x14ac:dyDescent="0.3">
      <c r="A278" t="s">
        <v>97</v>
      </c>
      <c r="B278" t="s">
        <v>29</v>
      </c>
      <c r="C278" t="s">
        <v>30</v>
      </c>
      <c r="E278">
        <v>3168821.22</v>
      </c>
      <c r="F278">
        <v>2546113.11</v>
      </c>
      <c r="G278">
        <v>2577423.14</v>
      </c>
      <c r="H278">
        <v>2568441.2200000002</v>
      </c>
      <c r="I278">
        <v>2675425.0499999998</v>
      </c>
      <c r="J278">
        <v>2685805.88</v>
      </c>
      <c r="K278">
        <v>2530563.6800000002</v>
      </c>
      <c r="L278">
        <v>2511834.98</v>
      </c>
      <c r="M278">
        <v>2509402.13</v>
      </c>
      <c r="N278">
        <v>2596208.06</v>
      </c>
      <c r="O278">
        <v>2562336.36</v>
      </c>
      <c r="P278">
        <v>3097657.46</v>
      </c>
      <c r="Q278">
        <v>2877447.41</v>
      </c>
      <c r="R278">
        <v>2935713.8</v>
      </c>
      <c r="S278">
        <v>2804165.09</v>
      </c>
      <c r="T278">
        <v>2747823.55</v>
      </c>
      <c r="U278">
        <v>2769155.88</v>
      </c>
      <c r="V278">
        <v>2768562.54</v>
      </c>
      <c r="W278">
        <v>2877255.73</v>
      </c>
      <c r="X278">
        <v>2622041.11</v>
      </c>
      <c r="Y278">
        <v>2733544.04</v>
      </c>
      <c r="Z278">
        <v>2819503.78</v>
      </c>
      <c r="AA278">
        <v>2794124.45</v>
      </c>
      <c r="AB278">
        <v>2864661.66</v>
      </c>
      <c r="AC278">
        <v>3124580.17</v>
      </c>
      <c r="AD278">
        <v>3010540.27</v>
      </c>
    </row>
    <row r="279" spans="1:30" x14ac:dyDescent="0.3">
      <c r="A279" t="s">
        <v>97</v>
      </c>
      <c r="B279" t="s">
        <v>29</v>
      </c>
      <c r="C279" t="s">
        <v>31</v>
      </c>
      <c r="D279" t="s">
        <v>30</v>
      </c>
      <c r="E279">
        <v>2752520.45</v>
      </c>
      <c r="F279">
        <v>2227739.58</v>
      </c>
      <c r="G279">
        <v>2212914.89</v>
      </c>
      <c r="H279">
        <v>2260906.17</v>
      </c>
      <c r="I279">
        <v>2288213.02</v>
      </c>
      <c r="J279">
        <v>2271422.5099999998</v>
      </c>
      <c r="K279">
        <v>2255117.84</v>
      </c>
      <c r="L279">
        <v>2209317.52</v>
      </c>
      <c r="M279">
        <v>2231739.48</v>
      </c>
      <c r="N279">
        <v>2266188.46</v>
      </c>
      <c r="O279">
        <v>2237444.36</v>
      </c>
      <c r="P279">
        <v>2757137.22</v>
      </c>
      <c r="Q279">
        <v>2585977.02</v>
      </c>
      <c r="R279">
        <v>2614866.19</v>
      </c>
      <c r="S279">
        <v>2525880.09</v>
      </c>
      <c r="T279">
        <v>2511742.83</v>
      </c>
      <c r="U279">
        <v>2485632.88</v>
      </c>
      <c r="V279">
        <v>2481571.63</v>
      </c>
      <c r="W279">
        <v>2555684.64</v>
      </c>
      <c r="X279">
        <v>2412554.11</v>
      </c>
      <c r="Y279">
        <v>2443784.69</v>
      </c>
      <c r="Z279">
        <v>2535900.9300000002</v>
      </c>
      <c r="AA279">
        <v>2440178.4500000002</v>
      </c>
      <c r="AB279">
        <v>2480282.66</v>
      </c>
      <c r="AC279">
        <v>2776581.66</v>
      </c>
      <c r="AD279">
        <v>2744979.7</v>
      </c>
    </row>
    <row r="280" spans="1:30" x14ac:dyDescent="0.3">
      <c r="A280" t="s">
        <v>97</v>
      </c>
      <c r="B280" t="s">
        <v>29</v>
      </c>
      <c r="C280" t="s">
        <v>31</v>
      </c>
      <c r="D280" t="s">
        <v>32</v>
      </c>
      <c r="E280">
        <v>2656507.25</v>
      </c>
      <c r="F280">
        <v>2181922.98</v>
      </c>
      <c r="G280">
        <v>2191660.29</v>
      </c>
      <c r="H280">
        <v>2232170.37</v>
      </c>
      <c r="I280">
        <v>2210154.62</v>
      </c>
      <c r="J280">
        <v>2242240.5099999998</v>
      </c>
      <c r="K280">
        <v>2248417.84</v>
      </c>
      <c r="L280">
        <v>2202617.92</v>
      </c>
      <c r="M280">
        <v>2176982.48</v>
      </c>
      <c r="N280">
        <v>2190955.46</v>
      </c>
      <c r="O280">
        <v>2175195.96</v>
      </c>
      <c r="P280">
        <v>2689741.62</v>
      </c>
      <c r="Q280">
        <v>2544948.02</v>
      </c>
      <c r="R280">
        <v>2573349.19</v>
      </c>
      <c r="S280">
        <v>2485824.84</v>
      </c>
      <c r="T280">
        <v>2463774.08</v>
      </c>
      <c r="U280">
        <v>2469247.63</v>
      </c>
      <c r="V280">
        <v>2469247.63</v>
      </c>
      <c r="W280">
        <v>2514585.39</v>
      </c>
      <c r="X280">
        <v>2409980.11</v>
      </c>
      <c r="Y280">
        <v>2428274.69</v>
      </c>
      <c r="Z280">
        <v>2420966.1800000002</v>
      </c>
      <c r="AA280">
        <v>2402811.2000000002</v>
      </c>
      <c r="AB280">
        <v>2479882.66</v>
      </c>
      <c r="AC280">
        <v>2720833.16</v>
      </c>
      <c r="AD280">
        <v>2717880.89</v>
      </c>
    </row>
    <row r="281" spans="1:30" x14ac:dyDescent="0.3">
      <c r="A281" t="s">
        <v>97</v>
      </c>
      <c r="B281" t="s">
        <v>29</v>
      </c>
      <c r="C281" t="s">
        <v>31</v>
      </c>
      <c r="D281" t="s">
        <v>33</v>
      </c>
      <c r="E281">
        <v>75865.2</v>
      </c>
      <c r="F281">
        <v>41216.6</v>
      </c>
      <c r="G281">
        <v>20129.599999999999</v>
      </c>
      <c r="H281">
        <v>27585.8</v>
      </c>
      <c r="I281">
        <v>65089.4</v>
      </c>
      <c r="J281">
        <v>16882</v>
      </c>
      <c r="K281">
        <v>0</v>
      </c>
      <c r="L281">
        <v>-0.4</v>
      </c>
      <c r="M281">
        <v>45482</v>
      </c>
      <c r="N281">
        <v>33543</v>
      </c>
      <c r="O281">
        <v>37538.400000000001</v>
      </c>
      <c r="P281">
        <v>33895.599999999999</v>
      </c>
      <c r="Q281">
        <v>13629</v>
      </c>
      <c r="R281">
        <v>31544</v>
      </c>
      <c r="S281">
        <v>40055.25</v>
      </c>
      <c r="T281">
        <v>29668.75</v>
      </c>
      <c r="U281">
        <v>16385.25</v>
      </c>
      <c r="V281">
        <v>11574</v>
      </c>
      <c r="W281">
        <v>21099.25</v>
      </c>
      <c r="X281">
        <v>2574</v>
      </c>
      <c r="Y281">
        <v>2710</v>
      </c>
      <c r="Z281">
        <v>90134.75</v>
      </c>
      <c r="AA281">
        <v>35607.25</v>
      </c>
      <c r="AC281">
        <v>34748.5</v>
      </c>
      <c r="AD281">
        <v>25198.81</v>
      </c>
    </row>
    <row r="282" spans="1:30" x14ac:dyDescent="0.3">
      <c r="A282" t="s">
        <v>97</v>
      </c>
      <c r="B282" t="s">
        <v>29</v>
      </c>
      <c r="C282" t="s">
        <v>31</v>
      </c>
      <c r="D282" t="s">
        <v>34</v>
      </c>
      <c r="E282">
        <v>20148</v>
      </c>
      <c r="F282">
        <v>4600</v>
      </c>
      <c r="G282">
        <v>1125</v>
      </c>
      <c r="H282">
        <v>1150</v>
      </c>
      <c r="I282">
        <v>12969</v>
      </c>
      <c r="J282">
        <v>12300</v>
      </c>
      <c r="K282">
        <v>6700</v>
      </c>
      <c r="L282">
        <v>6700</v>
      </c>
      <c r="M282">
        <v>9275</v>
      </c>
      <c r="N282">
        <v>41690</v>
      </c>
      <c r="O282">
        <v>24710</v>
      </c>
      <c r="P282">
        <v>33500</v>
      </c>
      <c r="Q282">
        <v>27400</v>
      </c>
      <c r="R282">
        <v>9973</v>
      </c>
      <c r="T282">
        <v>18300</v>
      </c>
      <c r="V282">
        <v>750</v>
      </c>
      <c r="W282">
        <v>20000</v>
      </c>
      <c r="Y282">
        <v>12800</v>
      </c>
      <c r="Z282">
        <v>24800</v>
      </c>
      <c r="AA282">
        <v>1760</v>
      </c>
      <c r="AB282">
        <v>400</v>
      </c>
      <c r="AC282">
        <v>21000</v>
      </c>
      <c r="AD282">
        <v>1900</v>
      </c>
    </row>
    <row r="283" spans="1:30" x14ac:dyDescent="0.3">
      <c r="A283" t="s">
        <v>97</v>
      </c>
      <c r="B283" t="s">
        <v>29</v>
      </c>
      <c r="C283" t="s">
        <v>35</v>
      </c>
      <c r="D283" t="s">
        <v>30</v>
      </c>
      <c r="E283">
        <v>416300.77</v>
      </c>
      <c r="F283">
        <v>318373.53000000003</v>
      </c>
      <c r="G283">
        <v>364508.25</v>
      </c>
      <c r="H283">
        <v>307535.05</v>
      </c>
      <c r="I283">
        <v>387212.03</v>
      </c>
      <c r="J283">
        <v>414383.37</v>
      </c>
      <c r="K283">
        <v>275445.84000000003</v>
      </c>
      <c r="L283">
        <v>302517.46000000002</v>
      </c>
      <c r="M283">
        <v>277662.65000000002</v>
      </c>
      <c r="N283">
        <v>330019.59999999998</v>
      </c>
      <c r="O283">
        <v>324892</v>
      </c>
      <c r="P283">
        <v>340520.24</v>
      </c>
      <c r="Q283">
        <v>291470.39</v>
      </c>
      <c r="R283">
        <v>320847.61</v>
      </c>
      <c r="S283">
        <v>278285</v>
      </c>
      <c r="T283">
        <v>236080.72</v>
      </c>
      <c r="U283">
        <v>283523</v>
      </c>
      <c r="V283">
        <v>286990.90999999997</v>
      </c>
      <c r="W283">
        <v>321571.09000000003</v>
      </c>
      <c r="X283">
        <v>209487</v>
      </c>
      <c r="Y283">
        <v>289759.34999999998</v>
      </c>
      <c r="Z283">
        <v>283602.84999999998</v>
      </c>
      <c r="AA283">
        <v>353946</v>
      </c>
      <c r="AB283">
        <v>384379</v>
      </c>
      <c r="AC283">
        <v>347998.51</v>
      </c>
      <c r="AD283">
        <v>265560.57</v>
      </c>
    </row>
    <row r="284" spans="1:30" x14ac:dyDescent="0.3">
      <c r="A284" t="s">
        <v>97</v>
      </c>
      <c r="B284" t="s">
        <v>36</v>
      </c>
      <c r="C284" t="s">
        <v>30</v>
      </c>
      <c r="E284">
        <v>-2520303.17</v>
      </c>
      <c r="F284">
        <v>-2332456.29</v>
      </c>
      <c r="G284">
        <v>-2383573.7799999998</v>
      </c>
      <c r="H284">
        <v>-2434098.7599999998</v>
      </c>
      <c r="I284">
        <v>-2443611.11</v>
      </c>
      <c r="J284">
        <v>-2422889.5299999998</v>
      </c>
      <c r="K284">
        <v>-2402477.62</v>
      </c>
      <c r="L284">
        <v>-2338467.17</v>
      </c>
      <c r="M284">
        <v>-2537920.9700000002</v>
      </c>
      <c r="N284">
        <v>-2478490.92</v>
      </c>
      <c r="O284">
        <v>-2426469.15</v>
      </c>
      <c r="P284">
        <v>-2617962.09</v>
      </c>
      <c r="Q284">
        <v>-2480925.9900000002</v>
      </c>
      <c r="R284">
        <v>-2476849.63</v>
      </c>
      <c r="S284">
        <v>-2404276.65</v>
      </c>
      <c r="T284">
        <v>-2437181.12</v>
      </c>
      <c r="U284">
        <v>-2443397.69</v>
      </c>
      <c r="V284">
        <v>-2441518.89</v>
      </c>
      <c r="W284">
        <v>-2407626.2400000002</v>
      </c>
      <c r="X284">
        <v>-2378718.9300000002</v>
      </c>
      <c r="Y284">
        <v>-2393314.85</v>
      </c>
      <c r="Z284">
        <v>-2391689.2000000002</v>
      </c>
      <c r="AA284">
        <v>-2428096.29</v>
      </c>
      <c r="AB284">
        <v>-2426112.79</v>
      </c>
      <c r="AC284">
        <v>-2505509.1</v>
      </c>
      <c r="AD284">
        <v>-2341308.48</v>
      </c>
    </row>
    <row r="285" spans="1:30" x14ac:dyDescent="0.3">
      <c r="A285" t="s">
        <v>97</v>
      </c>
      <c r="B285" t="s">
        <v>36</v>
      </c>
      <c r="C285" t="s">
        <v>18</v>
      </c>
      <c r="D285" t="s">
        <v>30</v>
      </c>
      <c r="E285">
        <v>-1763499.87</v>
      </c>
      <c r="F285">
        <v>-1616281.61</v>
      </c>
      <c r="G285">
        <v>-1687661.64</v>
      </c>
      <c r="H285">
        <v>-1723868.31</v>
      </c>
      <c r="I285">
        <v>-1738144.58</v>
      </c>
      <c r="J285">
        <v>-1734067.06</v>
      </c>
      <c r="K285">
        <v>-1784917.85</v>
      </c>
      <c r="L285">
        <v>-1756111.83</v>
      </c>
      <c r="M285">
        <v>-1884118.19</v>
      </c>
      <c r="N285">
        <v>-1766300.25</v>
      </c>
      <c r="O285">
        <v>-1778872.3200000001</v>
      </c>
      <c r="P285">
        <v>-1890514.21</v>
      </c>
      <c r="Q285">
        <v>-1798018.01</v>
      </c>
      <c r="R285">
        <v>-1801007.76</v>
      </c>
      <c r="S285">
        <v>-1730066.01</v>
      </c>
      <c r="T285">
        <v>-1735679.71</v>
      </c>
      <c r="U285">
        <v>-1770391.83</v>
      </c>
      <c r="V285">
        <v>-1756104</v>
      </c>
      <c r="W285">
        <v>-1702342.63</v>
      </c>
      <c r="X285">
        <v>-1697754.09</v>
      </c>
      <c r="Y285">
        <v>-1687007.65</v>
      </c>
      <c r="Z285">
        <v>-1757738.58</v>
      </c>
      <c r="AA285">
        <v>-1705786.74</v>
      </c>
      <c r="AB285">
        <v>-1692749.91</v>
      </c>
      <c r="AC285">
        <v>-1692014.62</v>
      </c>
      <c r="AD285">
        <v>-1833474.35</v>
      </c>
    </row>
    <row r="286" spans="1:30" x14ac:dyDescent="0.3">
      <c r="A286" t="s">
        <v>97</v>
      </c>
      <c r="B286" t="s">
        <v>36</v>
      </c>
      <c r="C286" t="s">
        <v>37</v>
      </c>
      <c r="D286" t="s">
        <v>30</v>
      </c>
      <c r="E286">
        <v>-756803.3</v>
      </c>
      <c r="F286">
        <v>-716174.68</v>
      </c>
      <c r="G286">
        <v>-695912.14</v>
      </c>
      <c r="H286">
        <v>-710230.45</v>
      </c>
      <c r="I286">
        <v>-705466.53</v>
      </c>
      <c r="J286">
        <v>-688822.47</v>
      </c>
      <c r="K286">
        <v>-617559.77</v>
      </c>
      <c r="L286">
        <v>-582355.34</v>
      </c>
      <c r="M286">
        <v>-653802.78</v>
      </c>
      <c r="N286">
        <v>-712190.67</v>
      </c>
      <c r="O286">
        <v>-647596.82999999996</v>
      </c>
      <c r="P286">
        <v>-727447.88</v>
      </c>
      <c r="Q286">
        <v>-682907.98</v>
      </c>
      <c r="R286">
        <v>-675841.87</v>
      </c>
      <c r="S286">
        <v>-674210.64</v>
      </c>
      <c r="T286">
        <v>-701501.41</v>
      </c>
      <c r="U286">
        <v>-673005.86</v>
      </c>
      <c r="V286">
        <v>-685414.89</v>
      </c>
      <c r="W286">
        <v>-705283.61</v>
      </c>
      <c r="X286">
        <v>-680964.84</v>
      </c>
      <c r="Y286">
        <v>-706307.2</v>
      </c>
      <c r="Z286">
        <v>-633950.62</v>
      </c>
      <c r="AA286">
        <v>-722309.55</v>
      </c>
      <c r="AB286">
        <v>-733362.88</v>
      </c>
      <c r="AC286">
        <v>-813494.48</v>
      </c>
      <c r="AD286">
        <v>-507834.13</v>
      </c>
    </row>
    <row r="287" spans="1:30" x14ac:dyDescent="0.3">
      <c r="A287" t="s">
        <v>97</v>
      </c>
      <c r="B287" t="s">
        <v>38</v>
      </c>
      <c r="C287" t="s">
        <v>30</v>
      </c>
      <c r="E287">
        <v>648518.05000000005</v>
      </c>
      <c r="F287">
        <v>213656.82</v>
      </c>
      <c r="G287">
        <v>193849.36</v>
      </c>
      <c r="H287">
        <v>134342.46</v>
      </c>
      <c r="I287">
        <v>231813.94</v>
      </c>
      <c r="J287">
        <v>262916.34999999998</v>
      </c>
      <c r="K287">
        <v>128086.06</v>
      </c>
      <c r="L287">
        <v>173367.81</v>
      </c>
      <c r="M287">
        <v>-28518.84</v>
      </c>
      <c r="N287">
        <v>117717.14</v>
      </c>
      <c r="O287">
        <v>135867.21</v>
      </c>
      <c r="P287">
        <v>479695.37</v>
      </c>
      <c r="Q287">
        <v>396521.42</v>
      </c>
      <c r="R287">
        <v>458864.17</v>
      </c>
      <c r="S287">
        <v>399888.44</v>
      </c>
      <c r="T287">
        <v>310642.43</v>
      </c>
      <c r="U287">
        <v>325758.19</v>
      </c>
      <c r="V287">
        <v>327043.65000000002</v>
      </c>
      <c r="W287">
        <v>469629.49</v>
      </c>
      <c r="X287">
        <v>243322.18</v>
      </c>
      <c r="Y287">
        <v>340229.19</v>
      </c>
      <c r="Z287">
        <v>427814.58</v>
      </c>
      <c r="AA287">
        <v>366028.16</v>
      </c>
      <c r="AB287">
        <v>438548.87</v>
      </c>
      <c r="AC287">
        <v>619071.06999999995</v>
      </c>
      <c r="AD287">
        <v>669231.79</v>
      </c>
    </row>
    <row r="288" spans="1:30" x14ac:dyDescent="0.3">
      <c r="A288" t="s">
        <v>97</v>
      </c>
      <c r="B288" t="s">
        <v>39</v>
      </c>
      <c r="C288" t="s">
        <v>30</v>
      </c>
      <c r="E288">
        <v>-298199.05</v>
      </c>
      <c r="F288">
        <v>-381244.93</v>
      </c>
      <c r="G288">
        <v>-400019.97</v>
      </c>
      <c r="H288">
        <v>-382336.52</v>
      </c>
      <c r="I288">
        <v>-386479.33</v>
      </c>
      <c r="J288">
        <v>-381197.64</v>
      </c>
      <c r="K288">
        <v>-403027.86</v>
      </c>
      <c r="L288">
        <v>-378507.23</v>
      </c>
      <c r="M288">
        <v>-412216.3</v>
      </c>
      <c r="N288">
        <v>-392925.39</v>
      </c>
      <c r="O288">
        <v>-432490.15</v>
      </c>
      <c r="P288">
        <v>-439780.73</v>
      </c>
      <c r="Q288">
        <v>-407013.03</v>
      </c>
      <c r="R288">
        <v>-402103.85</v>
      </c>
      <c r="S288">
        <v>-399699.63</v>
      </c>
      <c r="T288">
        <v>-407196.68</v>
      </c>
      <c r="U288">
        <v>-400694.68</v>
      </c>
      <c r="V288">
        <v>-415078.3</v>
      </c>
      <c r="W288">
        <v>-396279.59</v>
      </c>
      <c r="X288">
        <v>-395962.93</v>
      </c>
      <c r="Y288">
        <v>-419216.49</v>
      </c>
      <c r="Z288">
        <v>-412855.23</v>
      </c>
      <c r="AA288">
        <v>-422349.94</v>
      </c>
      <c r="AB288">
        <v>-384793.17</v>
      </c>
      <c r="AC288">
        <v>-430901.11</v>
      </c>
      <c r="AD288">
        <v>-470041.7</v>
      </c>
    </row>
    <row r="289" spans="1:30" x14ac:dyDescent="0.3">
      <c r="A289" t="s">
        <v>97</v>
      </c>
      <c r="B289" t="s">
        <v>39</v>
      </c>
      <c r="C289" t="s">
        <v>40</v>
      </c>
      <c r="D289" t="s">
        <v>30</v>
      </c>
      <c r="E289">
        <v>-316803.28000000003</v>
      </c>
      <c r="F289">
        <v>-411905.06</v>
      </c>
      <c r="G289">
        <v>-419734.52</v>
      </c>
      <c r="H289">
        <v>-408992.27</v>
      </c>
      <c r="I289">
        <v>-404273.68</v>
      </c>
      <c r="J289">
        <v>-407214.18</v>
      </c>
      <c r="K289">
        <v>-426960.59</v>
      </c>
      <c r="L289">
        <v>-402195.71</v>
      </c>
      <c r="M289">
        <v>-432998.08</v>
      </c>
      <c r="N289">
        <v>-410931.3</v>
      </c>
      <c r="O289">
        <v>-448303.77</v>
      </c>
      <c r="P289">
        <v>-455937.33</v>
      </c>
      <c r="Q289">
        <v>-430624.67</v>
      </c>
      <c r="R289">
        <v>-421105.5</v>
      </c>
      <c r="S289">
        <v>-423396.59</v>
      </c>
      <c r="T289">
        <v>-430140.21</v>
      </c>
      <c r="U289">
        <v>-423754.21</v>
      </c>
      <c r="V289">
        <v>-436040.79</v>
      </c>
      <c r="W289">
        <v>-421851.87</v>
      </c>
      <c r="X289">
        <v>-416955.21</v>
      </c>
      <c r="Y289">
        <v>-436794.9</v>
      </c>
      <c r="Z289">
        <v>-429858.26</v>
      </c>
      <c r="AA289">
        <v>-442023.12</v>
      </c>
      <c r="AB289">
        <v>-411040.55</v>
      </c>
      <c r="AC289">
        <v>-443543.22</v>
      </c>
      <c r="AD289">
        <v>-471232</v>
      </c>
    </row>
    <row r="290" spans="1:30" x14ac:dyDescent="0.3">
      <c r="A290" t="s">
        <v>97</v>
      </c>
      <c r="B290" t="s">
        <v>39</v>
      </c>
      <c r="C290" t="s">
        <v>41</v>
      </c>
      <c r="D290" t="s">
        <v>30</v>
      </c>
      <c r="E290">
        <v>18604.23</v>
      </c>
      <c r="F290">
        <v>30660.13</v>
      </c>
      <c r="G290">
        <v>19714.55</v>
      </c>
      <c r="H290">
        <v>26655.75</v>
      </c>
      <c r="I290">
        <v>17794.349999999999</v>
      </c>
      <c r="J290">
        <v>26016.54</v>
      </c>
      <c r="K290">
        <v>23932.73</v>
      </c>
      <c r="L290">
        <v>23688.48</v>
      </c>
      <c r="M290">
        <v>20781.78</v>
      </c>
      <c r="N290">
        <v>18005.91</v>
      </c>
      <c r="O290">
        <v>15813.62</v>
      </c>
      <c r="P290">
        <v>16156.6</v>
      </c>
      <c r="Q290">
        <v>23611.64</v>
      </c>
      <c r="R290">
        <v>19001.650000000001</v>
      </c>
      <c r="S290">
        <v>23696.959999999999</v>
      </c>
      <c r="T290">
        <v>22943.53</v>
      </c>
      <c r="U290">
        <v>23059.53</v>
      </c>
      <c r="V290">
        <v>20962.490000000002</v>
      </c>
      <c r="W290">
        <v>25572.28</v>
      </c>
      <c r="X290">
        <v>20992.28</v>
      </c>
      <c r="Y290">
        <v>17578.41</v>
      </c>
      <c r="Z290">
        <v>17003.03</v>
      </c>
      <c r="AA290">
        <v>19673.18</v>
      </c>
      <c r="AB290">
        <v>26247.38</v>
      </c>
      <c r="AC290">
        <v>12642.11</v>
      </c>
      <c r="AD290">
        <v>1190.3</v>
      </c>
    </row>
    <row r="291" spans="1:30" x14ac:dyDescent="0.3">
      <c r="A291" t="s">
        <v>97</v>
      </c>
      <c r="B291" t="s">
        <v>42</v>
      </c>
      <c r="C291" t="s">
        <v>30</v>
      </c>
      <c r="E291">
        <v>350319</v>
      </c>
      <c r="F291">
        <v>-167588.10999999999</v>
      </c>
      <c r="G291">
        <v>-206170.61</v>
      </c>
      <c r="H291">
        <v>-247994.06</v>
      </c>
      <c r="I291">
        <v>-154665.39000000001</v>
      </c>
      <c r="J291">
        <v>-118281.29</v>
      </c>
      <c r="K291">
        <v>-274941.8</v>
      </c>
      <c r="L291">
        <v>-205139.42</v>
      </c>
      <c r="M291">
        <v>-440735.14</v>
      </c>
      <c r="N291">
        <v>-275208.25</v>
      </c>
      <c r="O291">
        <v>-296622.94</v>
      </c>
      <c r="P291">
        <v>39914.639999999999</v>
      </c>
      <c r="Q291">
        <v>-10491.61</v>
      </c>
      <c r="R291">
        <v>56760.32</v>
      </c>
      <c r="S291">
        <v>188.81</v>
      </c>
      <c r="T291">
        <v>-96554.25</v>
      </c>
      <c r="U291">
        <v>-74936.490000000005</v>
      </c>
      <c r="V291">
        <v>-88034.65</v>
      </c>
      <c r="W291">
        <v>73349.899999999994</v>
      </c>
      <c r="X291">
        <v>-152640.75</v>
      </c>
      <c r="Y291">
        <v>-78987.3</v>
      </c>
      <c r="Z291">
        <v>14959.35</v>
      </c>
      <c r="AA291">
        <v>-56321.78</v>
      </c>
      <c r="AB291">
        <v>53755.7</v>
      </c>
      <c r="AC291">
        <v>188169.96</v>
      </c>
      <c r="AD291">
        <v>199190.09</v>
      </c>
    </row>
    <row r="292" spans="1:30" x14ac:dyDescent="0.3">
      <c r="A292" t="s">
        <v>97</v>
      </c>
      <c r="B292" t="s">
        <v>43</v>
      </c>
      <c r="C292" t="s">
        <v>30</v>
      </c>
      <c r="E292">
        <v>-277533</v>
      </c>
    </row>
    <row r="293" spans="1:30" x14ac:dyDescent="0.3">
      <c r="A293" t="s">
        <v>97</v>
      </c>
      <c r="B293" t="s">
        <v>43</v>
      </c>
      <c r="C293" t="s">
        <v>123</v>
      </c>
      <c r="D293" t="s">
        <v>30</v>
      </c>
      <c r="E293">
        <v>-91817</v>
      </c>
    </row>
    <row r="294" spans="1:30" x14ac:dyDescent="0.3">
      <c r="A294" t="s">
        <v>97</v>
      </c>
      <c r="B294" t="s">
        <v>43</v>
      </c>
      <c r="C294" t="s">
        <v>124</v>
      </c>
      <c r="D294" t="s">
        <v>30</v>
      </c>
      <c r="E294">
        <v>-185716</v>
      </c>
    </row>
    <row r="295" spans="1:30" x14ac:dyDescent="0.3">
      <c r="A295" t="s">
        <v>97</v>
      </c>
      <c r="B295" t="s">
        <v>44</v>
      </c>
      <c r="C295" t="s">
        <v>30</v>
      </c>
      <c r="E295">
        <v>72786</v>
      </c>
      <c r="F295">
        <v>-167588.10999999999</v>
      </c>
      <c r="G295">
        <v>-206170.61</v>
      </c>
      <c r="H295">
        <v>-247994.06</v>
      </c>
      <c r="I295">
        <v>-154665.39000000001</v>
      </c>
      <c r="J295">
        <v>-118281.29</v>
      </c>
      <c r="K295">
        <v>-274941.8</v>
      </c>
      <c r="L295">
        <v>-205139.42</v>
      </c>
      <c r="M295">
        <v>-440735.14</v>
      </c>
      <c r="N295">
        <v>-275208.25</v>
      </c>
      <c r="O295">
        <v>-296622.94</v>
      </c>
      <c r="P295">
        <v>39914.639999999999</v>
      </c>
      <c r="Q295">
        <v>-10491.61</v>
      </c>
      <c r="R295">
        <v>56760.32</v>
      </c>
      <c r="S295">
        <v>188.81</v>
      </c>
      <c r="T295">
        <v>-96554.25</v>
      </c>
      <c r="U295">
        <v>-74936.490000000005</v>
      </c>
      <c r="V295">
        <v>-88034.65</v>
      </c>
      <c r="W295">
        <v>73349.899999999994</v>
      </c>
      <c r="X295">
        <v>-152640.75</v>
      </c>
      <c r="Y295">
        <v>-78987.3</v>
      </c>
      <c r="Z295">
        <v>14959.35</v>
      </c>
      <c r="AA295">
        <v>-56321.78</v>
      </c>
      <c r="AB295">
        <v>53755.7</v>
      </c>
      <c r="AC295">
        <v>188169.96</v>
      </c>
      <c r="AD295">
        <v>199190.09</v>
      </c>
    </row>
    <row r="296" spans="1:30" x14ac:dyDescent="0.3">
      <c r="A296" t="s">
        <v>97</v>
      </c>
      <c r="B296" t="s">
        <v>45</v>
      </c>
      <c r="C296" t="s">
        <v>30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</row>
    <row r="297" spans="1:30" x14ac:dyDescent="0.3">
      <c r="A297" t="s">
        <v>97</v>
      </c>
      <c r="B297" t="s">
        <v>46</v>
      </c>
      <c r="C297" t="s">
        <v>30</v>
      </c>
      <c r="E297">
        <v>72786</v>
      </c>
      <c r="F297">
        <v>-167588.10999999999</v>
      </c>
      <c r="G297">
        <v>-206170.61</v>
      </c>
      <c r="H297">
        <v>-247994.06</v>
      </c>
      <c r="I297">
        <v>-154665.39000000001</v>
      </c>
      <c r="J297">
        <v>-118281.29</v>
      </c>
      <c r="K297">
        <v>-274941.8</v>
      </c>
      <c r="L297">
        <v>-205139.42</v>
      </c>
      <c r="M297">
        <v>-440735.14</v>
      </c>
      <c r="N297">
        <v>-275208.25</v>
      </c>
      <c r="O297">
        <v>-296622.94</v>
      </c>
      <c r="P297">
        <v>39914.639999999999</v>
      </c>
      <c r="Q297">
        <v>-10491.61</v>
      </c>
      <c r="R297">
        <v>56760.32</v>
      </c>
      <c r="S297">
        <v>188.81</v>
      </c>
      <c r="T297">
        <v>-96554.25</v>
      </c>
      <c r="U297">
        <v>-74936.490000000005</v>
      </c>
      <c r="V297">
        <v>-88034.65</v>
      </c>
      <c r="W297">
        <v>73349.899999999994</v>
      </c>
      <c r="X297">
        <v>-152640.75</v>
      </c>
      <c r="Y297">
        <v>-78987.3</v>
      </c>
      <c r="Z297">
        <v>14959.35</v>
      </c>
      <c r="AA297">
        <v>-56321.78</v>
      </c>
      <c r="AB297">
        <v>53755.7</v>
      </c>
      <c r="AC297">
        <v>188169.96</v>
      </c>
      <c r="AD297">
        <v>199190.09</v>
      </c>
    </row>
    <row r="298" spans="1:30" x14ac:dyDescent="0.3">
      <c r="A298" t="s">
        <v>97</v>
      </c>
      <c r="B298" t="s">
        <v>48</v>
      </c>
      <c r="C298" t="s">
        <v>30</v>
      </c>
      <c r="P298">
        <v>-29.86</v>
      </c>
      <c r="AB298">
        <v>-0.67</v>
      </c>
    </row>
    <row r="299" spans="1:30" x14ac:dyDescent="0.3">
      <c r="A299" t="s">
        <v>97</v>
      </c>
      <c r="B299" t="s">
        <v>30</v>
      </c>
      <c r="C299" t="s">
        <v>30</v>
      </c>
      <c r="E299">
        <v>72786</v>
      </c>
      <c r="F299">
        <v>-167588.10999999999</v>
      </c>
      <c r="G299">
        <v>-206170.61</v>
      </c>
      <c r="H299">
        <v>-247994.06</v>
      </c>
      <c r="I299">
        <v>-154665.39000000001</v>
      </c>
      <c r="J299">
        <v>-118281.29</v>
      </c>
      <c r="K299">
        <v>-274941.8</v>
      </c>
      <c r="L299">
        <v>-205139.42</v>
      </c>
      <c r="M299">
        <v>-440735.14</v>
      </c>
      <c r="N299">
        <v>-275208.25</v>
      </c>
      <c r="O299">
        <v>-296622.94</v>
      </c>
      <c r="P299">
        <v>39884.78</v>
      </c>
      <c r="Q299">
        <v>-10491.61</v>
      </c>
      <c r="R299">
        <v>56760.32</v>
      </c>
      <c r="S299">
        <v>188.81</v>
      </c>
      <c r="T299">
        <v>-96554.25</v>
      </c>
      <c r="U299">
        <v>-74936.490000000005</v>
      </c>
      <c r="V299">
        <v>-88034.65</v>
      </c>
      <c r="W299">
        <v>73349.899999999994</v>
      </c>
      <c r="X299">
        <v>-152640.75</v>
      </c>
      <c r="Y299">
        <v>-78987.3</v>
      </c>
      <c r="Z299">
        <v>14959.35</v>
      </c>
      <c r="AA299">
        <v>-56321.78</v>
      </c>
      <c r="AB299">
        <v>53755.03</v>
      </c>
      <c r="AC299">
        <v>188169.96</v>
      </c>
      <c r="AD299">
        <v>199190.09</v>
      </c>
    </row>
    <row r="300" spans="1:30" x14ac:dyDescent="0.3">
      <c r="A300" t="s">
        <v>97</v>
      </c>
      <c r="B300" t="s">
        <v>30</v>
      </c>
    </row>
    <row r="301" spans="1:30" x14ac:dyDescent="0.3">
      <c r="A301" t="s">
        <v>97</v>
      </c>
    </row>
    <row r="302" spans="1:30" x14ac:dyDescent="0.3">
      <c r="A302" t="s">
        <v>97</v>
      </c>
      <c r="B302" t="s">
        <v>139</v>
      </c>
    </row>
    <row r="303" spans="1:30" x14ac:dyDescent="0.3">
      <c r="A303" t="s">
        <v>98</v>
      </c>
      <c r="B303" t="s">
        <v>22</v>
      </c>
      <c r="E303">
        <v>202312</v>
      </c>
      <c r="F303">
        <v>202401</v>
      </c>
      <c r="G303">
        <v>202402</v>
      </c>
      <c r="H303">
        <v>202403</v>
      </c>
      <c r="I303">
        <v>202404</v>
      </c>
      <c r="J303">
        <v>202405</v>
      </c>
      <c r="K303">
        <v>202406</v>
      </c>
      <c r="L303">
        <v>202407</v>
      </c>
      <c r="M303">
        <v>202408</v>
      </c>
      <c r="N303">
        <v>202409</v>
      </c>
      <c r="O303">
        <v>202410</v>
      </c>
      <c r="P303">
        <v>202411</v>
      </c>
      <c r="Q303">
        <v>202412</v>
      </c>
      <c r="R303">
        <v>202501</v>
      </c>
      <c r="S303">
        <v>202502</v>
      </c>
      <c r="T303">
        <v>202503</v>
      </c>
      <c r="U303">
        <v>202504</v>
      </c>
      <c r="V303">
        <v>202505</v>
      </c>
      <c r="W303">
        <v>202506</v>
      </c>
      <c r="X303">
        <v>202507</v>
      </c>
      <c r="Y303">
        <v>202508</v>
      </c>
      <c r="Z303">
        <v>202509</v>
      </c>
      <c r="AA303">
        <v>202510</v>
      </c>
      <c r="AB303">
        <v>202511</v>
      </c>
      <c r="AC303">
        <v>202512</v>
      </c>
      <c r="AD303">
        <v>202601</v>
      </c>
    </row>
    <row r="304" spans="1:30" x14ac:dyDescent="0.3">
      <c r="A304" t="s">
        <v>98</v>
      </c>
      <c r="B304" t="s">
        <v>23</v>
      </c>
      <c r="E304" t="s">
        <v>24</v>
      </c>
      <c r="F304" t="s">
        <v>24</v>
      </c>
      <c r="G304" t="s">
        <v>24</v>
      </c>
      <c r="H304" t="s">
        <v>24</v>
      </c>
      <c r="I304" t="s">
        <v>24</v>
      </c>
      <c r="J304" t="s">
        <v>24</v>
      </c>
      <c r="K304" t="s">
        <v>24</v>
      </c>
      <c r="L304" t="s">
        <v>24</v>
      </c>
      <c r="M304" t="s">
        <v>24</v>
      </c>
      <c r="N304" t="s">
        <v>24</v>
      </c>
      <c r="O304" t="s">
        <v>24</v>
      </c>
      <c r="P304" t="s">
        <v>24</v>
      </c>
      <c r="Q304" t="s">
        <v>24</v>
      </c>
      <c r="R304" t="s">
        <v>24</v>
      </c>
      <c r="S304" t="s">
        <v>24</v>
      </c>
      <c r="T304" t="s">
        <v>24</v>
      </c>
      <c r="U304" t="s">
        <v>24</v>
      </c>
      <c r="V304" t="s">
        <v>24</v>
      </c>
      <c r="W304" t="s">
        <v>24</v>
      </c>
      <c r="X304" t="s">
        <v>24</v>
      </c>
      <c r="Y304" t="s">
        <v>24</v>
      </c>
      <c r="Z304" t="s">
        <v>24</v>
      </c>
      <c r="AA304" t="s">
        <v>24</v>
      </c>
      <c r="AB304" t="s">
        <v>24</v>
      </c>
      <c r="AC304" t="s">
        <v>24</v>
      </c>
      <c r="AD304" t="s">
        <v>24</v>
      </c>
    </row>
    <row r="305" spans="1:30" x14ac:dyDescent="0.3">
      <c r="A305" t="s">
        <v>98</v>
      </c>
      <c r="B305" t="s">
        <v>25</v>
      </c>
      <c r="C305" t="s">
        <v>26</v>
      </c>
      <c r="D305" t="s">
        <v>27</v>
      </c>
      <c r="E305" t="s">
        <v>28</v>
      </c>
      <c r="F305" t="s">
        <v>28</v>
      </c>
      <c r="G305" t="s">
        <v>28</v>
      </c>
      <c r="H305" t="s">
        <v>28</v>
      </c>
      <c r="I305" t="s">
        <v>28</v>
      </c>
      <c r="J305" t="s">
        <v>28</v>
      </c>
      <c r="K305" t="s">
        <v>28</v>
      </c>
      <c r="L305" t="s">
        <v>28</v>
      </c>
      <c r="M305" t="s">
        <v>28</v>
      </c>
      <c r="N305" t="s">
        <v>28</v>
      </c>
      <c r="O305" t="s">
        <v>28</v>
      </c>
      <c r="P305" t="s">
        <v>28</v>
      </c>
      <c r="Q305" t="s">
        <v>28</v>
      </c>
      <c r="R305" t="s">
        <v>28</v>
      </c>
      <c r="S305" t="s">
        <v>28</v>
      </c>
      <c r="T305" t="s">
        <v>28</v>
      </c>
      <c r="U305" t="s">
        <v>28</v>
      </c>
      <c r="V305" t="s">
        <v>28</v>
      </c>
      <c r="W305" t="s">
        <v>28</v>
      </c>
      <c r="X305" t="s">
        <v>28</v>
      </c>
      <c r="Y305" t="s">
        <v>28</v>
      </c>
      <c r="Z305" t="s">
        <v>28</v>
      </c>
      <c r="AA305" t="s">
        <v>28</v>
      </c>
      <c r="AB305" t="s">
        <v>28</v>
      </c>
      <c r="AC305" t="s">
        <v>28</v>
      </c>
      <c r="AD305" t="s">
        <v>28</v>
      </c>
    </row>
    <row r="306" spans="1:30" x14ac:dyDescent="0.3">
      <c r="A306" t="s">
        <v>98</v>
      </c>
      <c r="B306" t="s">
        <v>29</v>
      </c>
      <c r="C306" t="s">
        <v>30</v>
      </c>
      <c r="E306">
        <v>639398.22</v>
      </c>
      <c r="F306">
        <v>586442.30000000005</v>
      </c>
      <c r="G306">
        <v>579928.17000000004</v>
      </c>
      <c r="H306">
        <v>592320.81999999995</v>
      </c>
      <c r="I306">
        <v>592363.78</v>
      </c>
      <c r="J306">
        <v>596596.67000000004</v>
      </c>
      <c r="K306">
        <v>602230.07999999996</v>
      </c>
      <c r="L306">
        <v>601685.34</v>
      </c>
      <c r="M306">
        <v>597229.65</v>
      </c>
      <c r="N306">
        <v>665768</v>
      </c>
      <c r="O306">
        <v>599456.29</v>
      </c>
      <c r="P306">
        <v>588577.05000000005</v>
      </c>
      <c r="Q306">
        <v>591449.07999999996</v>
      </c>
      <c r="R306">
        <v>630639.94999999995</v>
      </c>
      <c r="S306">
        <v>612917.76000000001</v>
      </c>
      <c r="T306">
        <v>613798.56000000006</v>
      </c>
      <c r="U306">
        <v>611443.38</v>
      </c>
      <c r="V306">
        <v>611443.38</v>
      </c>
      <c r="W306">
        <v>611883.43999999994</v>
      </c>
      <c r="X306">
        <v>609340.43000000005</v>
      </c>
      <c r="Y306">
        <v>598537.16</v>
      </c>
      <c r="Z306">
        <v>617643.54</v>
      </c>
      <c r="AA306">
        <v>610607.69999999995</v>
      </c>
      <c r="AB306">
        <v>618083.66</v>
      </c>
      <c r="AC306">
        <v>595017.44999999995</v>
      </c>
      <c r="AD306">
        <v>614364.66</v>
      </c>
    </row>
    <row r="307" spans="1:30" x14ac:dyDescent="0.3">
      <c r="A307" t="s">
        <v>98</v>
      </c>
      <c r="B307" t="s">
        <v>29</v>
      </c>
      <c r="C307" t="s">
        <v>31</v>
      </c>
      <c r="D307" t="s">
        <v>30</v>
      </c>
      <c r="E307">
        <v>594848.22</v>
      </c>
      <c r="F307">
        <v>546192.30000000005</v>
      </c>
      <c r="G307">
        <v>539428.17000000004</v>
      </c>
      <c r="H307">
        <v>551320.81999999995</v>
      </c>
      <c r="I307">
        <v>551863.78</v>
      </c>
      <c r="J307">
        <v>555597.06999999995</v>
      </c>
      <c r="K307">
        <v>561980.07999999996</v>
      </c>
      <c r="L307">
        <v>561435.34</v>
      </c>
      <c r="M307">
        <v>556979.65</v>
      </c>
      <c r="N307">
        <v>556987.38</v>
      </c>
      <c r="O307">
        <v>558706.29</v>
      </c>
      <c r="P307">
        <v>547577.05000000005</v>
      </c>
      <c r="Q307">
        <v>551449.07999999996</v>
      </c>
      <c r="R307">
        <v>600639.94999999995</v>
      </c>
      <c r="S307">
        <v>582417.76</v>
      </c>
      <c r="T307">
        <v>583548.56000000006</v>
      </c>
      <c r="U307">
        <v>580193.38</v>
      </c>
      <c r="V307">
        <v>580193.38</v>
      </c>
      <c r="W307">
        <v>582133.43999999994</v>
      </c>
      <c r="X307">
        <v>579340.43000000005</v>
      </c>
      <c r="Y307">
        <v>568287.16</v>
      </c>
      <c r="Z307">
        <v>587893.54</v>
      </c>
      <c r="AA307">
        <v>572660.69999999995</v>
      </c>
      <c r="AB307">
        <v>558083.66</v>
      </c>
      <c r="AC307">
        <v>565017.44999999995</v>
      </c>
      <c r="AD307">
        <v>584364.66</v>
      </c>
    </row>
    <row r="308" spans="1:30" x14ac:dyDescent="0.3">
      <c r="A308" t="s">
        <v>98</v>
      </c>
      <c r="B308" t="s">
        <v>29</v>
      </c>
      <c r="C308" t="s">
        <v>31</v>
      </c>
      <c r="D308" t="s">
        <v>32</v>
      </c>
      <c r="E308">
        <v>576629.42000000004</v>
      </c>
      <c r="F308">
        <v>538419.9</v>
      </c>
      <c r="G308">
        <v>536473.77</v>
      </c>
      <c r="H308">
        <v>550570.62</v>
      </c>
      <c r="I308">
        <v>543463.78</v>
      </c>
      <c r="J308">
        <v>554797.06999999995</v>
      </c>
      <c r="K308">
        <v>561980.07999999996</v>
      </c>
      <c r="L308">
        <v>561435.34</v>
      </c>
      <c r="M308">
        <v>551572.65</v>
      </c>
      <c r="N308">
        <v>551227.38</v>
      </c>
      <c r="O308">
        <v>557956.29</v>
      </c>
      <c r="P308">
        <v>546787.05000000005</v>
      </c>
      <c r="Q308">
        <v>551449.07999999996</v>
      </c>
      <c r="R308">
        <v>597099.94999999995</v>
      </c>
      <c r="S308">
        <v>582417.76</v>
      </c>
      <c r="T308">
        <v>583148.56000000006</v>
      </c>
      <c r="U308">
        <v>580193.38</v>
      </c>
      <c r="V308">
        <v>580193.38</v>
      </c>
      <c r="W308">
        <v>582133.43999999994</v>
      </c>
      <c r="X308">
        <v>579340.43000000005</v>
      </c>
      <c r="Y308">
        <v>568287.16</v>
      </c>
      <c r="Z308">
        <v>569373.54</v>
      </c>
      <c r="AA308">
        <v>571560.69999999995</v>
      </c>
      <c r="AB308">
        <v>558083.66</v>
      </c>
      <c r="AC308">
        <v>561806.44999999995</v>
      </c>
      <c r="AD308">
        <v>584364.66</v>
      </c>
    </row>
    <row r="309" spans="1:30" x14ac:dyDescent="0.3">
      <c r="A309" t="s">
        <v>98</v>
      </c>
      <c r="B309" t="s">
        <v>29</v>
      </c>
      <c r="C309" t="s">
        <v>31</v>
      </c>
      <c r="D309" t="s">
        <v>33</v>
      </c>
      <c r="E309">
        <v>15918.8</v>
      </c>
      <c r="F309">
        <v>7372.4</v>
      </c>
      <c r="G309">
        <v>2954.4</v>
      </c>
      <c r="H309">
        <v>0.2</v>
      </c>
      <c r="I309">
        <v>9150</v>
      </c>
      <c r="J309">
        <v>0</v>
      </c>
      <c r="K309">
        <v>0</v>
      </c>
      <c r="L309">
        <v>0</v>
      </c>
      <c r="M309">
        <v>4657</v>
      </c>
      <c r="N309">
        <v>5760</v>
      </c>
      <c r="O309">
        <v>0</v>
      </c>
      <c r="P309">
        <v>790</v>
      </c>
      <c r="Q309">
        <v>0</v>
      </c>
      <c r="R309">
        <v>3540</v>
      </c>
      <c r="S309">
        <v>0</v>
      </c>
      <c r="Z309">
        <v>17770</v>
      </c>
      <c r="AA309">
        <v>1100</v>
      </c>
      <c r="AC309">
        <v>3211</v>
      </c>
    </row>
    <row r="310" spans="1:30" x14ac:dyDescent="0.3">
      <c r="A310" t="s">
        <v>98</v>
      </c>
      <c r="B310" t="s">
        <v>29</v>
      </c>
      <c r="C310" t="s">
        <v>31</v>
      </c>
      <c r="D310" t="s">
        <v>34</v>
      </c>
      <c r="E310">
        <v>2300</v>
      </c>
      <c r="F310">
        <v>400</v>
      </c>
      <c r="H310">
        <v>750</v>
      </c>
      <c r="I310">
        <v>-750</v>
      </c>
      <c r="J310">
        <v>800</v>
      </c>
      <c r="M310">
        <v>750</v>
      </c>
      <c r="O310">
        <v>750</v>
      </c>
      <c r="T310">
        <v>400</v>
      </c>
      <c r="Z310">
        <v>750</v>
      </c>
    </row>
    <row r="311" spans="1:30" x14ac:dyDescent="0.3">
      <c r="A311" t="s">
        <v>98</v>
      </c>
      <c r="B311" t="s">
        <v>29</v>
      </c>
      <c r="C311" t="s">
        <v>35</v>
      </c>
      <c r="D311" t="s">
        <v>30</v>
      </c>
      <c r="E311">
        <v>44550</v>
      </c>
      <c r="F311">
        <v>40250</v>
      </c>
      <c r="G311">
        <v>40500</v>
      </c>
      <c r="H311">
        <v>41000</v>
      </c>
      <c r="I311">
        <v>40500</v>
      </c>
      <c r="J311">
        <v>40999.599999999999</v>
      </c>
      <c r="K311">
        <v>40250</v>
      </c>
      <c r="L311">
        <v>40250</v>
      </c>
      <c r="M311">
        <v>40250</v>
      </c>
      <c r="N311">
        <v>108780.62</v>
      </c>
      <c r="O311">
        <v>40750</v>
      </c>
      <c r="P311">
        <v>41000</v>
      </c>
      <c r="Q311">
        <v>40000</v>
      </c>
      <c r="R311">
        <v>30000</v>
      </c>
      <c r="S311">
        <v>30500</v>
      </c>
      <c r="T311">
        <v>30250</v>
      </c>
      <c r="U311">
        <v>31250</v>
      </c>
      <c r="V311">
        <v>31250</v>
      </c>
      <c r="W311">
        <v>29750</v>
      </c>
      <c r="X311">
        <v>30000</v>
      </c>
      <c r="Y311">
        <v>30250</v>
      </c>
      <c r="Z311">
        <v>29750</v>
      </c>
      <c r="AA311">
        <v>37947</v>
      </c>
      <c r="AB311">
        <v>60000</v>
      </c>
      <c r="AC311">
        <v>30000</v>
      </c>
      <c r="AD311">
        <v>30000</v>
      </c>
    </row>
    <row r="312" spans="1:30" x14ac:dyDescent="0.3">
      <c r="A312" t="s">
        <v>98</v>
      </c>
      <c r="B312" t="s">
        <v>36</v>
      </c>
      <c r="C312" t="s">
        <v>30</v>
      </c>
      <c r="E312">
        <v>-104173.3</v>
      </c>
      <c r="F312">
        <v>-80607.289999999994</v>
      </c>
      <c r="G312">
        <v>-66610.899999999994</v>
      </c>
      <c r="H312">
        <v>-80267.95</v>
      </c>
      <c r="I312">
        <v>-72602.05</v>
      </c>
      <c r="J312">
        <v>-83683.44</v>
      </c>
      <c r="K312">
        <v>-94539.06</v>
      </c>
      <c r="L312">
        <v>-72724.62</v>
      </c>
      <c r="M312">
        <v>-64885.34</v>
      </c>
      <c r="N312">
        <v>-92999.11</v>
      </c>
      <c r="O312">
        <v>-79832.37</v>
      </c>
      <c r="P312">
        <v>-73858.39</v>
      </c>
      <c r="Q312">
        <v>-89420.92</v>
      </c>
      <c r="R312">
        <v>-57296.41</v>
      </c>
      <c r="S312">
        <v>-84295.54</v>
      </c>
      <c r="T312">
        <v>-92368.26</v>
      </c>
      <c r="U312">
        <v>-71527.710000000006</v>
      </c>
      <c r="V312">
        <v>-77125.710000000006</v>
      </c>
      <c r="W312">
        <v>-122452.25</v>
      </c>
      <c r="X312">
        <v>-79868.92</v>
      </c>
      <c r="Y312">
        <v>-65236.4</v>
      </c>
      <c r="Z312">
        <v>-79457.48</v>
      </c>
      <c r="AA312">
        <v>-92663.57</v>
      </c>
      <c r="AB312">
        <v>-74457.53</v>
      </c>
      <c r="AC312">
        <v>-63953.4</v>
      </c>
      <c r="AD312">
        <v>-80681.149999999994</v>
      </c>
    </row>
    <row r="313" spans="1:30" x14ac:dyDescent="0.3">
      <c r="A313" t="s">
        <v>98</v>
      </c>
      <c r="B313" t="s">
        <v>36</v>
      </c>
      <c r="C313" t="s">
        <v>37</v>
      </c>
      <c r="D313" t="s">
        <v>30</v>
      </c>
      <c r="E313">
        <v>-104173.3</v>
      </c>
      <c r="F313">
        <v>-80607.289999999994</v>
      </c>
      <c r="G313">
        <v>-66610.899999999994</v>
      </c>
      <c r="H313">
        <v>-80267.95</v>
      </c>
      <c r="I313">
        <v>-72602.05</v>
      </c>
      <c r="J313">
        <v>-83683.44</v>
      </c>
      <c r="K313">
        <v>-94539.06</v>
      </c>
      <c r="L313">
        <v>-72724.62</v>
      </c>
      <c r="M313">
        <v>-64885.34</v>
      </c>
      <c r="N313">
        <v>-92999.11</v>
      </c>
      <c r="O313">
        <v>-79832.37</v>
      </c>
      <c r="P313">
        <v>-73858.39</v>
      </c>
      <c r="Q313">
        <v>-89420.92</v>
      </c>
      <c r="R313">
        <v>-57296.41</v>
      </c>
      <c r="S313">
        <v>-84295.54</v>
      </c>
      <c r="T313">
        <v>-92368.26</v>
      </c>
      <c r="U313">
        <v>-71527.710000000006</v>
      </c>
      <c r="V313">
        <v>-77125.710000000006</v>
      </c>
      <c r="W313">
        <v>-122452.25</v>
      </c>
      <c r="X313">
        <v>-79868.92</v>
      </c>
      <c r="Y313">
        <v>-65236.4</v>
      </c>
      <c r="Z313">
        <v>-79457.48</v>
      </c>
      <c r="AA313">
        <v>-92663.57</v>
      </c>
      <c r="AB313">
        <v>-74457.53</v>
      </c>
      <c r="AC313">
        <v>-63953.4</v>
      </c>
      <c r="AD313">
        <v>-80681.149999999994</v>
      </c>
    </row>
    <row r="314" spans="1:30" x14ac:dyDescent="0.3">
      <c r="A314" t="s">
        <v>98</v>
      </c>
      <c r="B314" t="s">
        <v>38</v>
      </c>
      <c r="C314" t="s">
        <v>30</v>
      </c>
      <c r="E314">
        <v>535224.92000000004</v>
      </c>
      <c r="F314">
        <v>505835.01</v>
      </c>
      <c r="G314">
        <v>513317.27</v>
      </c>
      <c r="H314">
        <v>512052.87</v>
      </c>
      <c r="I314">
        <v>519761.73</v>
      </c>
      <c r="J314">
        <v>512913.23</v>
      </c>
      <c r="K314">
        <v>507691.02</v>
      </c>
      <c r="L314">
        <v>528960.72</v>
      </c>
      <c r="M314">
        <v>532344.31000000006</v>
      </c>
      <c r="N314">
        <v>572768.89</v>
      </c>
      <c r="O314">
        <v>519623.92</v>
      </c>
      <c r="P314">
        <v>514718.66</v>
      </c>
      <c r="Q314">
        <v>502028.16</v>
      </c>
      <c r="R314">
        <v>573343.54</v>
      </c>
      <c r="S314">
        <v>528622.22</v>
      </c>
      <c r="T314">
        <v>521430.3</v>
      </c>
      <c r="U314">
        <v>539915.67000000004</v>
      </c>
      <c r="V314">
        <v>534317.67000000004</v>
      </c>
      <c r="W314">
        <v>489431.19</v>
      </c>
      <c r="X314">
        <v>529471.51</v>
      </c>
      <c r="Y314">
        <v>533300.76</v>
      </c>
      <c r="Z314">
        <v>538186.06000000006</v>
      </c>
      <c r="AA314">
        <v>517944.13</v>
      </c>
      <c r="AB314">
        <v>543626.13</v>
      </c>
      <c r="AC314">
        <v>531064.05000000005</v>
      </c>
      <c r="AD314">
        <v>533683.51</v>
      </c>
    </row>
    <row r="315" spans="1:30" x14ac:dyDescent="0.3">
      <c r="A315" t="s">
        <v>98</v>
      </c>
      <c r="B315" t="s">
        <v>39</v>
      </c>
      <c r="C315" t="s">
        <v>30</v>
      </c>
      <c r="E315">
        <v>-2063.81</v>
      </c>
      <c r="F315">
        <v>-43079.360000000001</v>
      </c>
      <c r="G315">
        <v>-45413.56</v>
      </c>
      <c r="H315">
        <v>-45702.48</v>
      </c>
      <c r="I315">
        <v>-48089.73</v>
      </c>
      <c r="J315">
        <v>-47518.52</v>
      </c>
      <c r="K315">
        <v>-46756.49</v>
      </c>
      <c r="L315">
        <v>-43940.09</v>
      </c>
      <c r="M315">
        <v>-45738.15</v>
      </c>
      <c r="N315">
        <v>-47773.33</v>
      </c>
      <c r="O315">
        <v>-48807.64</v>
      </c>
      <c r="P315">
        <v>-51382</v>
      </c>
      <c r="Q315">
        <v>-50623.59</v>
      </c>
      <c r="R315">
        <v>-39098.42</v>
      </c>
      <c r="S315">
        <v>-39400.28</v>
      </c>
      <c r="T315">
        <v>-34594.019999999997</v>
      </c>
      <c r="U315">
        <v>-36243.69</v>
      </c>
      <c r="V315">
        <v>-38113.160000000003</v>
      </c>
      <c r="W315">
        <v>-37893.72</v>
      </c>
      <c r="X315">
        <v>-38958.76</v>
      </c>
      <c r="Y315">
        <v>-37358.239999999998</v>
      </c>
      <c r="Z315">
        <v>-38579.57</v>
      </c>
      <c r="AA315">
        <v>-34881.370000000003</v>
      </c>
      <c r="AB315">
        <v>-33107.32</v>
      </c>
      <c r="AC315">
        <v>-39993.089999999997</v>
      </c>
      <c r="AD315">
        <v>-29454.5</v>
      </c>
    </row>
    <row r="316" spans="1:30" x14ac:dyDescent="0.3">
      <c r="A316" t="s">
        <v>98</v>
      </c>
      <c r="B316" t="s">
        <v>39</v>
      </c>
      <c r="C316" t="s">
        <v>40</v>
      </c>
      <c r="D316" t="s">
        <v>30</v>
      </c>
      <c r="E316">
        <v>-2063.81</v>
      </c>
      <c r="F316">
        <v>-43079.360000000001</v>
      </c>
      <c r="G316">
        <v>-45413.56</v>
      </c>
      <c r="H316">
        <v>-45702.48</v>
      </c>
      <c r="I316">
        <v>-48089.73</v>
      </c>
      <c r="J316">
        <v>-47518.52</v>
      </c>
      <c r="K316">
        <v>-46756.49</v>
      </c>
      <c r="L316">
        <v>-43940.09</v>
      </c>
      <c r="M316">
        <v>-45738.15</v>
      </c>
      <c r="N316">
        <v>-47773.33</v>
      </c>
      <c r="O316">
        <v>-48807.64</v>
      </c>
      <c r="P316">
        <v>-51382</v>
      </c>
      <c r="Q316">
        <v>-50623.59</v>
      </c>
      <c r="R316">
        <v>-39098.42</v>
      </c>
      <c r="S316">
        <v>-39400.28</v>
      </c>
      <c r="T316">
        <v>-34594.019999999997</v>
      </c>
      <c r="U316">
        <v>-36243.69</v>
      </c>
      <c r="V316">
        <v>-38113.160000000003</v>
      </c>
      <c r="W316">
        <v>-37893.72</v>
      </c>
      <c r="X316">
        <v>-38958.76</v>
      </c>
      <c r="Y316">
        <v>-37358.239999999998</v>
      </c>
      <c r="Z316">
        <v>-38579.57</v>
      </c>
      <c r="AA316">
        <v>-34881.370000000003</v>
      </c>
      <c r="AB316">
        <v>-33107.32</v>
      </c>
      <c r="AC316">
        <v>-39993.089999999997</v>
      </c>
      <c r="AD316">
        <v>-44754.5</v>
      </c>
    </row>
    <row r="317" spans="1:30" x14ac:dyDescent="0.3">
      <c r="A317" t="s">
        <v>98</v>
      </c>
      <c r="B317" t="s">
        <v>39</v>
      </c>
      <c r="C317" t="s">
        <v>41</v>
      </c>
      <c r="D317" t="s">
        <v>30</v>
      </c>
      <c r="AD317">
        <v>15300</v>
      </c>
    </row>
    <row r="318" spans="1:30" x14ac:dyDescent="0.3">
      <c r="A318" t="s">
        <v>98</v>
      </c>
      <c r="B318" t="s">
        <v>42</v>
      </c>
      <c r="C318" t="s">
        <v>30</v>
      </c>
      <c r="E318">
        <v>533161.11</v>
      </c>
      <c r="F318">
        <v>462755.65</v>
      </c>
      <c r="G318">
        <v>467903.71</v>
      </c>
      <c r="H318">
        <v>466350.39</v>
      </c>
      <c r="I318">
        <v>471672</v>
      </c>
      <c r="J318">
        <v>465394.71</v>
      </c>
      <c r="K318">
        <v>460934.53</v>
      </c>
      <c r="L318">
        <v>485020.63</v>
      </c>
      <c r="M318">
        <v>486606.16</v>
      </c>
      <c r="N318">
        <v>524995.56000000006</v>
      </c>
      <c r="O318">
        <v>470816.28</v>
      </c>
      <c r="P318">
        <v>463336.66</v>
      </c>
      <c r="Q318">
        <v>451404.57</v>
      </c>
      <c r="R318">
        <v>534245.12</v>
      </c>
      <c r="S318">
        <v>489221.94</v>
      </c>
      <c r="T318">
        <v>486836.28</v>
      </c>
      <c r="U318">
        <v>503671.98</v>
      </c>
      <c r="V318">
        <v>496204.51</v>
      </c>
      <c r="W318">
        <v>451537.47</v>
      </c>
      <c r="X318">
        <v>490512.75</v>
      </c>
      <c r="Y318">
        <v>495942.52</v>
      </c>
      <c r="Z318">
        <v>499606.49</v>
      </c>
      <c r="AA318">
        <v>483062.76</v>
      </c>
      <c r="AB318">
        <v>510518.81</v>
      </c>
      <c r="AC318">
        <v>491070.96</v>
      </c>
      <c r="AD318">
        <v>504229.01</v>
      </c>
    </row>
    <row r="319" spans="1:30" x14ac:dyDescent="0.3">
      <c r="A319" t="s">
        <v>98</v>
      </c>
      <c r="B319" t="s">
        <v>44</v>
      </c>
      <c r="C319" t="s">
        <v>30</v>
      </c>
      <c r="E319">
        <v>533161.11</v>
      </c>
      <c r="F319">
        <v>462755.65</v>
      </c>
      <c r="G319">
        <v>467903.71</v>
      </c>
      <c r="H319">
        <v>466350.39</v>
      </c>
      <c r="I319">
        <v>471672</v>
      </c>
      <c r="J319">
        <v>465394.71</v>
      </c>
      <c r="K319">
        <v>460934.53</v>
      </c>
      <c r="L319">
        <v>485020.63</v>
      </c>
      <c r="M319">
        <v>486606.16</v>
      </c>
      <c r="N319">
        <v>524995.56000000006</v>
      </c>
      <c r="O319">
        <v>470816.28</v>
      </c>
      <c r="P319">
        <v>463336.66</v>
      </c>
      <c r="Q319">
        <v>451404.57</v>
      </c>
      <c r="R319">
        <v>534245.12</v>
      </c>
      <c r="S319">
        <v>489221.94</v>
      </c>
      <c r="T319">
        <v>486836.28</v>
      </c>
      <c r="U319">
        <v>503671.98</v>
      </c>
      <c r="V319">
        <v>496204.51</v>
      </c>
      <c r="W319">
        <v>451537.47</v>
      </c>
      <c r="X319">
        <v>490512.75</v>
      </c>
      <c r="Y319">
        <v>495942.52</v>
      </c>
      <c r="Z319">
        <v>499606.49</v>
      </c>
      <c r="AA319">
        <v>483062.76</v>
      </c>
      <c r="AB319">
        <v>510518.81</v>
      </c>
      <c r="AC319">
        <v>491070.96</v>
      </c>
      <c r="AD319">
        <v>504229.01</v>
      </c>
    </row>
    <row r="320" spans="1:30" x14ac:dyDescent="0.3">
      <c r="A320" t="s">
        <v>98</v>
      </c>
      <c r="B320" t="s">
        <v>45</v>
      </c>
      <c r="C320" t="s">
        <v>30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</row>
    <row r="321" spans="1:30" x14ac:dyDescent="0.3">
      <c r="A321" t="s">
        <v>98</v>
      </c>
      <c r="B321" t="s">
        <v>46</v>
      </c>
      <c r="C321" t="s">
        <v>30</v>
      </c>
      <c r="E321">
        <v>533161.11</v>
      </c>
      <c r="F321">
        <v>462755.65</v>
      </c>
      <c r="G321">
        <v>467903.71</v>
      </c>
      <c r="H321">
        <v>466350.39</v>
      </c>
      <c r="I321">
        <v>471672</v>
      </c>
      <c r="J321">
        <v>465394.71</v>
      </c>
      <c r="K321">
        <v>460934.53</v>
      </c>
      <c r="L321">
        <v>485020.63</v>
      </c>
      <c r="M321">
        <v>486606.16</v>
      </c>
      <c r="N321">
        <v>524995.56000000006</v>
      </c>
      <c r="O321">
        <v>470816.28</v>
      </c>
      <c r="P321">
        <v>463336.66</v>
      </c>
      <c r="Q321">
        <v>451404.57</v>
      </c>
      <c r="R321">
        <v>534245.12</v>
      </c>
      <c r="S321">
        <v>489221.94</v>
      </c>
      <c r="T321">
        <v>486836.28</v>
      </c>
      <c r="U321">
        <v>503671.98</v>
      </c>
      <c r="V321">
        <v>496204.51</v>
      </c>
      <c r="W321">
        <v>451537.47</v>
      </c>
      <c r="X321">
        <v>490512.75</v>
      </c>
      <c r="Y321">
        <v>495942.52</v>
      </c>
      <c r="Z321">
        <v>499606.49</v>
      </c>
      <c r="AA321">
        <v>483062.76</v>
      </c>
      <c r="AB321">
        <v>510518.81</v>
      </c>
      <c r="AC321">
        <v>491070.96</v>
      </c>
      <c r="AD321">
        <v>504229.01</v>
      </c>
    </row>
    <row r="322" spans="1:30" x14ac:dyDescent="0.3">
      <c r="A322" t="s">
        <v>98</v>
      </c>
      <c r="B322" t="s">
        <v>48</v>
      </c>
      <c r="C322" t="s">
        <v>30</v>
      </c>
      <c r="J322">
        <v>-0.6</v>
      </c>
      <c r="P322">
        <v>-1.99</v>
      </c>
    </row>
    <row r="323" spans="1:30" x14ac:dyDescent="0.3">
      <c r="A323" t="s">
        <v>98</v>
      </c>
      <c r="B323" t="s">
        <v>30</v>
      </c>
      <c r="C323" t="s">
        <v>30</v>
      </c>
      <c r="E323">
        <v>533161.11</v>
      </c>
      <c r="F323">
        <v>462755.65</v>
      </c>
      <c r="G323">
        <v>467903.71</v>
      </c>
      <c r="H323">
        <v>466350.39</v>
      </c>
      <c r="I323">
        <v>471672</v>
      </c>
      <c r="J323">
        <v>465394.11</v>
      </c>
      <c r="K323">
        <v>460934.53</v>
      </c>
      <c r="L323">
        <v>485020.63</v>
      </c>
      <c r="M323">
        <v>486606.16</v>
      </c>
      <c r="N323">
        <v>524995.56000000006</v>
      </c>
      <c r="O323">
        <v>470816.28</v>
      </c>
      <c r="P323">
        <v>463334.67</v>
      </c>
      <c r="Q323">
        <v>451404.57</v>
      </c>
      <c r="R323">
        <v>534245.12</v>
      </c>
      <c r="S323">
        <v>489221.94</v>
      </c>
      <c r="T323">
        <v>486836.28</v>
      </c>
      <c r="U323">
        <v>503671.98</v>
      </c>
      <c r="V323">
        <v>496204.51</v>
      </c>
      <c r="W323">
        <v>451537.47</v>
      </c>
      <c r="X323">
        <v>490512.75</v>
      </c>
      <c r="Y323">
        <v>495942.52</v>
      </c>
      <c r="Z323">
        <v>499606.49</v>
      </c>
      <c r="AA323">
        <v>483062.76</v>
      </c>
      <c r="AB323">
        <v>510518.81</v>
      </c>
      <c r="AC323">
        <v>491070.96</v>
      </c>
      <c r="AD323">
        <v>504229.01</v>
      </c>
    </row>
    <row r="324" spans="1:30" x14ac:dyDescent="0.3">
      <c r="A324" t="s">
        <v>98</v>
      </c>
      <c r="B324" t="s">
        <v>30</v>
      </c>
    </row>
    <row r="325" spans="1:30" x14ac:dyDescent="0.3">
      <c r="A325" t="s">
        <v>98</v>
      </c>
    </row>
    <row r="326" spans="1:30" x14ac:dyDescent="0.3">
      <c r="A326" t="s">
        <v>98</v>
      </c>
      <c r="B326" t="s">
        <v>140</v>
      </c>
    </row>
    <row r="327" spans="1:30" x14ac:dyDescent="0.3">
      <c r="A327" t="s">
        <v>99</v>
      </c>
      <c r="B327" t="s">
        <v>22</v>
      </c>
      <c r="E327">
        <v>202312</v>
      </c>
      <c r="F327">
        <v>202401</v>
      </c>
      <c r="G327">
        <v>202402</v>
      </c>
      <c r="H327">
        <v>202403</v>
      </c>
      <c r="I327">
        <v>202404</v>
      </c>
      <c r="J327">
        <v>202405</v>
      </c>
      <c r="K327">
        <v>202406</v>
      </c>
      <c r="L327">
        <v>202407</v>
      </c>
      <c r="M327">
        <v>202408</v>
      </c>
      <c r="N327">
        <v>202409</v>
      </c>
      <c r="O327">
        <v>202410</v>
      </c>
      <c r="P327">
        <v>202411</v>
      </c>
      <c r="Q327">
        <v>202412</v>
      </c>
      <c r="R327">
        <v>202501</v>
      </c>
      <c r="S327">
        <v>202502</v>
      </c>
      <c r="T327">
        <v>202503</v>
      </c>
      <c r="U327">
        <v>202504</v>
      </c>
      <c r="V327">
        <v>202505</v>
      </c>
      <c r="W327">
        <v>202506</v>
      </c>
      <c r="X327">
        <v>202507</v>
      </c>
      <c r="Y327">
        <v>202508</v>
      </c>
      <c r="Z327">
        <v>202509</v>
      </c>
      <c r="AA327">
        <v>202510</v>
      </c>
      <c r="AB327">
        <v>202511</v>
      </c>
      <c r="AC327">
        <v>202512</v>
      </c>
      <c r="AD327">
        <v>202601</v>
      </c>
    </row>
    <row r="328" spans="1:30" x14ac:dyDescent="0.3">
      <c r="A328" t="s">
        <v>99</v>
      </c>
      <c r="B328" t="s">
        <v>23</v>
      </c>
      <c r="E328" t="s">
        <v>24</v>
      </c>
      <c r="F328" t="s">
        <v>24</v>
      </c>
      <c r="G328" t="s">
        <v>24</v>
      </c>
      <c r="H328" t="s">
        <v>24</v>
      </c>
      <c r="I328" t="s">
        <v>24</v>
      </c>
      <c r="J328" t="s">
        <v>24</v>
      </c>
      <c r="K328" t="s">
        <v>24</v>
      </c>
      <c r="L328" t="s">
        <v>24</v>
      </c>
      <c r="M328" t="s">
        <v>24</v>
      </c>
      <c r="N328" t="s">
        <v>24</v>
      </c>
      <c r="O328" t="s">
        <v>24</v>
      </c>
      <c r="P328" t="s">
        <v>24</v>
      </c>
      <c r="Q328" t="s">
        <v>24</v>
      </c>
      <c r="R328" t="s">
        <v>24</v>
      </c>
      <c r="S328" t="s">
        <v>24</v>
      </c>
      <c r="T328" t="s">
        <v>24</v>
      </c>
      <c r="U328" t="s">
        <v>24</v>
      </c>
      <c r="V328" t="s">
        <v>24</v>
      </c>
      <c r="W328" t="s">
        <v>24</v>
      </c>
      <c r="X328" t="s">
        <v>24</v>
      </c>
      <c r="Y328" t="s">
        <v>24</v>
      </c>
      <c r="Z328" t="s">
        <v>24</v>
      </c>
      <c r="AA328" t="s">
        <v>24</v>
      </c>
      <c r="AB328" t="s">
        <v>24</v>
      </c>
      <c r="AC328" t="s">
        <v>24</v>
      </c>
      <c r="AD328" t="s">
        <v>24</v>
      </c>
    </row>
    <row r="329" spans="1:30" x14ac:dyDescent="0.3">
      <c r="A329" t="s">
        <v>99</v>
      </c>
      <c r="B329" t="s">
        <v>25</v>
      </c>
      <c r="C329" t="s">
        <v>26</v>
      </c>
      <c r="D329" t="s">
        <v>27</v>
      </c>
      <c r="E329" t="s">
        <v>28</v>
      </c>
      <c r="F329" t="s">
        <v>28</v>
      </c>
      <c r="G329" t="s">
        <v>28</v>
      </c>
      <c r="H329" t="s">
        <v>28</v>
      </c>
      <c r="I329" t="s">
        <v>28</v>
      </c>
      <c r="J329" t="s">
        <v>28</v>
      </c>
      <c r="K329" t="s">
        <v>28</v>
      </c>
      <c r="L329" t="s">
        <v>28</v>
      </c>
      <c r="M329" t="s">
        <v>28</v>
      </c>
      <c r="N329" t="s">
        <v>28</v>
      </c>
      <c r="O329" t="s">
        <v>28</v>
      </c>
      <c r="P329" t="s">
        <v>28</v>
      </c>
      <c r="Q329" t="s">
        <v>28</v>
      </c>
      <c r="R329" t="s">
        <v>28</v>
      </c>
      <c r="S329" t="s">
        <v>28</v>
      </c>
      <c r="T329" t="s">
        <v>28</v>
      </c>
      <c r="U329" t="s">
        <v>28</v>
      </c>
      <c r="V329" t="s">
        <v>28</v>
      </c>
      <c r="W329" t="s">
        <v>28</v>
      </c>
      <c r="X329" t="s">
        <v>28</v>
      </c>
      <c r="Y329" t="s">
        <v>28</v>
      </c>
      <c r="Z329" t="s">
        <v>28</v>
      </c>
      <c r="AA329" t="s">
        <v>28</v>
      </c>
      <c r="AB329" t="s">
        <v>28</v>
      </c>
      <c r="AC329" t="s">
        <v>28</v>
      </c>
      <c r="AD329" t="s">
        <v>28</v>
      </c>
    </row>
    <row r="330" spans="1:30" x14ac:dyDescent="0.3">
      <c r="A330" t="s">
        <v>99</v>
      </c>
      <c r="B330" t="s">
        <v>29</v>
      </c>
      <c r="C330" t="s">
        <v>30</v>
      </c>
      <c r="E330">
        <v>1613452</v>
      </c>
      <c r="F330">
        <v>1533082.63</v>
      </c>
      <c r="G330">
        <v>1482049.84</v>
      </c>
      <c r="H330">
        <v>1531742.22</v>
      </c>
      <c r="I330">
        <v>1533609.62</v>
      </c>
      <c r="J330">
        <v>1530081.3</v>
      </c>
      <c r="K330">
        <v>1468965.43</v>
      </c>
      <c r="L330">
        <v>1446310.77</v>
      </c>
      <c r="M330">
        <v>1447718.12</v>
      </c>
      <c r="N330">
        <v>1504934.93</v>
      </c>
      <c r="O330">
        <v>1434412.51</v>
      </c>
      <c r="P330">
        <v>1424909.12</v>
      </c>
      <c r="Q330">
        <v>1398492.96</v>
      </c>
      <c r="R330">
        <v>1531586.44</v>
      </c>
      <c r="S330">
        <v>1497521.88</v>
      </c>
      <c r="T330">
        <v>1479394.65</v>
      </c>
      <c r="U330">
        <v>1480596.25</v>
      </c>
      <c r="V330">
        <v>1481096.65</v>
      </c>
      <c r="W330">
        <v>1512230.23</v>
      </c>
      <c r="X330">
        <v>1560817.8</v>
      </c>
      <c r="Y330">
        <v>1534241.2</v>
      </c>
      <c r="Z330">
        <v>1773302.92</v>
      </c>
      <c r="AA330">
        <v>1615408.78</v>
      </c>
      <c r="AB330">
        <v>1607711.05</v>
      </c>
      <c r="AC330">
        <v>1687084.76</v>
      </c>
      <c r="AD330">
        <v>1793789.66</v>
      </c>
    </row>
    <row r="331" spans="1:30" x14ac:dyDescent="0.3">
      <c r="A331" t="s">
        <v>99</v>
      </c>
      <c r="B331" t="s">
        <v>29</v>
      </c>
      <c r="C331" t="s">
        <v>31</v>
      </c>
      <c r="D331" t="s">
        <v>30</v>
      </c>
      <c r="E331">
        <v>1542001.5</v>
      </c>
      <c r="F331">
        <v>1478925.86</v>
      </c>
      <c r="G331">
        <v>1413696.61</v>
      </c>
      <c r="H331">
        <v>1463841.22</v>
      </c>
      <c r="I331">
        <v>1470298.62</v>
      </c>
      <c r="J331">
        <v>1433280.3</v>
      </c>
      <c r="K331">
        <v>1407134.43</v>
      </c>
      <c r="L331">
        <v>1396942.77</v>
      </c>
      <c r="M331">
        <v>1395750.12</v>
      </c>
      <c r="N331">
        <v>1397448.93</v>
      </c>
      <c r="O331">
        <v>1383164.51</v>
      </c>
      <c r="P331">
        <v>1411509.12</v>
      </c>
      <c r="Q331">
        <v>1388426.96</v>
      </c>
      <c r="R331">
        <v>1518266.44</v>
      </c>
      <c r="S331">
        <v>1488552.28</v>
      </c>
      <c r="T331">
        <v>1470827.05</v>
      </c>
      <c r="U331">
        <v>1471868.65</v>
      </c>
      <c r="V331">
        <v>1472668.65</v>
      </c>
      <c r="W331">
        <v>1505096.63</v>
      </c>
      <c r="X331">
        <v>1473184.2</v>
      </c>
      <c r="Y331">
        <v>1487831.2</v>
      </c>
      <c r="Z331">
        <v>1535796.92</v>
      </c>
      <c r="AA331">
        <v>1481427.78</v>
      </c>
      <c r="AB331">
        <v>1496211.05</v>
      </c>
      <c r="AC331">
        <v>1577814.76</v>
      </c>
      <c r="AD331">
        <v>1631289.66</v>
      </c>
    </row>
    <row r="332" spans="1:30" x14ac:dyDescent="0.3">
      <c r="A332" t="s">
        <v>99</v>
      </c>
      <c r="B332" t="s">
        <v>29</v>
      </c>
      <c r="C332" t="s">
        <v>31</v>
      </c>
      <c r="D332" t="s">
        <v>32</v>
      </c>
      <c r="E332">
        <v>1502318</v>
      </c>
      <c r="F332">
        <v>1448774.21</v>
      </c>
      <c r="G332">
        <v>1384729.02</v>
      </c>
      <c r="H332">
        <v>1432301.22</v>
      </c>
      <c r="I332">
        <v>1414515.64</v>
      </c>
      <c r="J332">
        <v>1411702.42</v>
      </c>
      <c r="K332">
        <v>1388974.74</v>
      </c>
      <c r="L332">
        <v>1378302.77</v>
      </c>
      <c r="M332">
        <v>1354574.76</v>
      </c>
      <c r="N332">
        <v>1354122.53</v>
      </c>
      <c r="O332">
        <v>1345243.51</v>
      </c>
      <c r="P332">
        <v>1379934.12</v>
      </c>
      <c r="Q332">
        <v>1357846.96</v>
      </c>
      <c r="R332">
        <v>1464253.09</v>
      </c>
      <c r="S332">
        <v>1437456.28</v>
      </c>
      <c r="T332">
        <v>1443127.05</v>
      </c>
      <c r="U332">
        <v>1446468.65</v>
      </c>
      <c r="V332">
        <v>1446468.65</v>
      </c>
      <c r="W332">
        <v>1473266.63</v>
      </c>
      <c r="X332">
        <v>1462384.2</v>
      </c>
      <c r="Y332">
        <v>1457332.8</v>
      </c>
      <c r="Z332">
        <v>1468581.92</v>
      </c>
      <c r="AA332">
        <v>1453627.78</v>
      </c>
      <c r="AB332">
        <v>1469211.05</v>
      </c>
      <c r="AC332">
        <v>1516423.76</v>
      </c>
      <c r="AD332">
        <v>1614409.66</v>
      </c>
    </row>
    <row r="333" spans="1:30" x14ac:dyDescent="0.3">
      <c r="A333" t="s">
        <v>99</v>
      </c>
      <c r="B333" t="s">
        <v>29</v>
      </c>
      <c r="C333" t="s">
        <v>31</v>
      </c>
      <c r="D333" t="s">
        <v>33</v>
      </c>
      <c r="E333">
        <v>24220</v>
      </c>
      <c r="F333">
        <v>14310.15</v>
      </c>
      <c r="G333">
        <v>897.19</v>
      </c>
      <c r="H333">
        <v>3305</v>
      </c>
      <c r="I333">
        <v>36982.980000000003</v>
      </c>
      <c r="J333">
        <v>2577.88</v>
      </c>
      <c r="K333">
        <v>-0.31</v>
      </c>
      <c r="L333">
        <v>0</v>
      </c>
      <c r="M333">
        <v>22695.360000000001</v>
      </c>
      <c r="N333">
        <v>9223</v>
      </c>
      <c r="O333">
        <v>7181</v>
      </c>
      <c r="P333">
        <v>0</v>
      </c>
      <c r="Q333">
        <v>0</v>
      </c>
      <c r="R333">
        <v>23360.35</v>
      </c>
      <c r="S333">
        <v>15423</v>
      </c>
      <c r="W333">
        <v>4830</v>
      </c>
      <c r="Z333">
        <v>41015</v>
      </c>
      <c r="AC333">
        <v>23991</v>
      </c>
    </row>
    <row r="334" spans="1:30" x14ac:dyDescent="0.3">
      <c r="A334" t="s">
        <v>99</v>
      </c>
      <c r="B334" t="s">
        <v>29</v>
      </c>
      <c r="C334" t="s">
        <v>31</v>
      </c>
      <c r="D334" t="s">
        <v>34</v>
      </c>
      <c r="E334">
        <v>15463.5</v>
      </c>
      <c r="F334">
        <v>15841.5</v>
      </c>
      <c r="G334">
        <v>28070.400000000001</v>
      </c>
      <c r="H334">
        <v>28235</v>
      </c>
      <c r="I334">
        <v>18800</v>
      </c>
      <c r="J334">
        <v>19000</v>
      </c>
      <c r="K334">
        <v>18160</v>
      </c>
      <c r="L334">
        <v>18640</v>
      </c>
      <c r="M334">
        <v>18480</v>
      </c>
      <c r="N334">
        <v>34103.4</v>
      </c>
      <c r="O334">
        <v>30740</v>
      </c>
      <c r="P334">
        <v>31575</v>
      </c>
      <c r="Q334">
        <v>30580</v>
      </c>
      <c r="R334">
        <v>30653</v>
      </c>
      <c r="S334">
        <v>35673</v>
      </c>
      <c r="T334">
        <v>27700</v>
      </c>
      <c r="U334">
        <v>25400</v>
      </c>
      <c r="V334">
        <v>26200</v>
      </c>
      <c r="W334">
        <v>27000</v>
      </c>
      <c r="X334">
        <v>10800</v>
      </c>
      <c r="Y334">
        <v>30498.400000000001</v>
      </c>
      <c r="Z334">
        <v>26200</v>
      </c>
      <c r="AA334">
        <v>27800</v>
      </c>
      <c r="AB334">
        <v>27000</v>
      </c>
      <c r="AC334">
        <v>37400</v>
      </c>
      <c r="AD334">
        <v>16880</v>
      </c>
    </row>
    <row r="335" spans="1:30" x14ac:dyDescent="0.3">
      <c r="A335" t="s">
        <v>99</v>
      </c>
      <c r="B335" t="s">
        <v>29</v>
      </c>
      <c r="C335" t="s">
        <v>35</v>
      </c>
      <c r="D335" t="s">
        <v>30</v>
      </c>
      <c r="E335">
        <v>71450.5</v>
      </c>
      <c r="F335">
        <v>54156.77</v>
      </c>
      <c r="G335">
        <v>68353.23</v>
      </c>
      <c r="H335">
        <v>67901</v>
      </c>
      <c r="I335">
        <v>63311</v>
      </c>
      <c r="J335">
        <v>96801</v>
      </c>
      <c r="K335">
        <v>61831</v>
      </c>
      <c r="L335">
        <v>49368</v>
      </c>
      <c r="M335">
        <v>51968</v>
      </c>
      <c r="N335">
        <v>107486</v>
      </c>
      <c r="O335">
        <v>51248</v>
      </c>
      <c r="P335">
        <v>13400</v>
      </c>
      <c r="Q335">
        <v>10066</v>
      </c>
      <c r="R335">
        <v>13320</v>
      </c>
      <c r="S335">
        <v>8969.6</v>
      </c>
      <c r="T335">
        <v>8567.6</v>
      </c>
      <c r="U335">
        <v>8727.6</v>
      </c>
      <c r="V335">
        <v>8428</v>
      </c>
      <c r="W335">
        <v>7133.6</v>
      </c>
      <c r="X335">
        <v>87633.600000000006</v>
      </c>
      <c r="Y335">
        <v>46410</v>
      </c>
      <c r="Z335">
        <v>237506</v>
      </c>
      <c r="AA335">
        <v>133981</v>
      </c>
      <c r="AB335">
        <v>111500</v>
      </c>
      <c r="AC335">
        <v>109270</v>
      </c>
      <c r="AD335">
        <v>162500</v>
      </c>
    </row>
    <row r="336" spans="1:30" x14ac:dyDescent="0.3">
      <c r="A336" t="s">
        <v>99</v>
      </c>
      <c r="B336" t="s">
        <v>36</v>
      </c>
      <c r="C336" t="s">
        <v>30</v>
      </c>
      <c r="E336">
        <v>-1307039.58</v>
      </c>
      <c r="F336">
        <v>-1238794.3400000001</v>
      </c>
      <c r="G336">
        <v>-1206733.22</v>
      </c>
      <c r="H336">
        <v>-1275637.69</v>
      </c>
      <c r="I336">
        <v>-1275447.8600000001</v>
      </c>
      <c r="J336">
        <v>-1286420.78</v>
      </c>
      <c r="K336">
        <v>-1109834.53</v>
      </c>
      <c r="L336">
        <v>-1109626.24</v>
      </c>
      <c r="M336">
        <v>-1293406.06</v>
      </c>
      <c r="N336">
        <v>-1230724.56</v>
      </c>
      <c r="O336">
        <v>-1189556.69</v>
      </c>
      <c r="P336">
        <v>-1093511.76</v>
      </c>
      <c r="Q336">
        <v>-1184815.7</v>
      </c>
      <c r="R336">
        <v>-1081109.22</v>
      </c>
      <c r="S336">
        <v>-1121386.3500000001</v>
      </c>
      <c r="T336">
        <v>-1154460.73</v>
      </c>
      <c r="U336">
        <v>-1424158.22</v>
      </c>
      <c r="V336">
        <v>-1267586.74</v>
      </c>
      <c r="W336">
        <v>-1087216.57</v>
      </c>
      <c r="X336">
        <v>-1176884.48</v>
      </c>
      <c r="Y336">
        <v>-1174994.25</v>
      </c>
      <c r="Z336">
        <v>-1302141.3799999999</v>
      </c>
      <c r="AA336">
        <v>-1159501.06</v>
      </c>
      <c r="AB336">
        <v>-1389895.8</v>
      </c>
      <c r="AC336">
        <v>-1158390.08</v>
      </c>
      <c r="AD336">
        <v>-1256147.8600000001</v>
      </c>
    </row>
    <row r="337" spans="1:30" x14ac:dyDescent="0.3">
      <c r="A337" t="s">
        <v>99</v>
      </c>
      <c r="B337" t="s">
        <v>36</v>
      </c>
      <c r="C337" t="s">
        <v>18</v>
      </c>
      <c r="D337" t="s">
        <v>30</v>
      </c>
      <c r="E337">
        <v>-766169.5</v>
      </c>
      <c r="F337">
        <v>-845027.87</v>
      </c>
      <c r="G337">
        <v>-802764.12</v>
      </c>
      <c r="H337">
        <v>-819760.24</v>
      </c>
      <c r="I337">
        <v>-825608.08</v>
      </c>
      <c r="J337">
        <v>-823604.46</v>
      </c>
      <c r="K337">
        <v>-697577.94</v>
      </c>
      <c r="L337">
        <v>-734404.87</v>
      </c>
      <c r="M337">
        <v>-770284.49</v>
      </c>
      <c r="N337">
        <v>-715262.28</v>
      </c>
      <c r="O337">
        <v>-665950.24</v>
      </c>
      <c r="P337">
        <v>-561173.77</v>
      </c>
      <c r="Q337">
        <v>-644997.49</v>
      </c>
      <c r="R337">
        <v>-578005.39</v>
      </c>
      <c r="S337">
        <v>-695890.68</v>
      </c>
      <c r="T337">
        <v>-711993.26</v>
      </c>
      <c r="U337">
        <v>-1001840.83</v>
      </c>
      <c r="V337">
        <v>-863444.03</v>
      </c>
      <c r="W337">
        <v>-702951.35</v>
      </c>
      <c r="X337">
        <v>-769469.37</v>
      </c>
      <c r="Y337">
        <v>-893973.1</v>
      </c>
      <c r="Z337">
        <v>-883278.94</v>
      </c>
      <c r="AA337">
        <v>-787090.19</v>
      </c>
      <c r="AB337">
        <v>-977373.81</v>
      </c>
      <c r="AC337">
        <v>-823135.11</v>
      </c>
      <c r="AD337">
        <v>-890994.91</v>
      </c>
    </row>
    <row r="338" spans="1:30" x14ac:dyDescent="0.3">
      <c r="A338" t="s">
        <v>99</v>
      </c>
      <c r="B338" t="s">
        <v>36</v>
      </c>
      <c r="C338" t="s">
        <v>37</v>
      </c>
      <c r="D338" t="s">
        <v>30</v>
      </c>
      <c r="E338">
        <v>-540870.07999999996</v>
      </c>
      <c r="F338">
        <v>-393766.47</v>
      </c>
      <c r="G338">
        <v>-403969.1</v>
      </c>
      <c r="H338">
        <v>-455877.45</v>
      </c>
      <c r="I338">
        <v>-449839.78</v>
      </c>
      <c r="J338">
        <v>-462816.32</v>
      </c>
      <c r="K338">
        <v>-412256.59</v>
      </c>
      <c r="L338">
        <v>-375221.37</v>
      </c>
      <c r="M338">
        <v>-523121.57</v>
      </c>
      <c r="N338">
        <v>-515462.28</v>
      </c>
      <c r="O338">
        <v>-523606.45</v>
      </c>
      <c r="P338">
        <v>-532337.99</v>
      </c>
      <c r="Q338">
        <v>-539818.21</v>
      </c>
      <c r="R338">
        <v>-503103.83</v>
      </c>
      <c r="S338">
        <v>-425495.67</v>
      </c>
      <c r="T338">
        <v>-442467.47</v>
      </c>
      <c r="U338">
        <v>-422317.39</v>
      </c>
      <c r="V338">
        <v>-404142.71</v>
      </c>
      <c r="W338">
        <v>-384265.22</v>
      </c>
      <c r="X338">
        <v>-407415.11</v>
      </c>
      <c r="Y338">
        <v>-281021.15000000002</v>
      </c>
      <c r="Z338">
        <v>-418862.44</v>
      </c>
      <c r="AA338">
        <v>-372410.87</v>
      </c>
      <c r="AB338">
        <v>-412521.99</v>
      </c>
      <c r="AC338">
        <v>-335254.96999999997</v>
      </c>
      <c r="AD338">
        <v>-365152.95</v>
      </c>
    </row>
    <row r="339" spans="1:30" x14ac:dyDescent="0.3">
      <c r="A339" t="s">
        <v>99</v>
      </c>
      <c r="B339" t="s">
        <v>38</v>
      </c>
      <c r="C339" t="s">
        <v>30</v>
      </c>
      <c r="E339">
        <v>306412.42</v>
      </c>
      <c r="F339">
        <v>294288.28999999998</v>
      </c>
      <c r="G339">
        <v>275316.62</v>
      </c>
      <c r="H339">
        <v>256104.53</v>
      </c>
      <c r="I339">
        <v>258161.76</v>
      </c>
      <c r="J339">
        <v>243660.52</v>
      </c>
      <c r="K339">
        <v>359130.9</v>
      </c>
      <c r="L339">
        <v>336684.53</v>
      </c>
      <c r="M339">
        <v>154312.06</v>
      </c>
      <c r="N339">
        <v>274210.37</v>
      </c>
      <c r="O339">
        <v>244855.82</v>
      </c>
      <c r="P339">
        <v>331397.36</v>
      </c>
      <c r="Q339">
        <v>213677.26</v>
      </c>
      <c r="R339">
        <v>450477.22</v>
      </c>
      <c r="S339">
        <v>376135.53</v>
      </c>
      <c r="T339">
        <v>324933.92</v>
      </c>
      <c r="U339">
        <v>56438.03</v>
      </c>
      <c r="V339">
        <v>213509.91</v>
      </c>
      <c r="W339">
        <v>425013.66</v>
      </c>
      <c r="X339">
        <v>383933.32</v>
      </c>
      <c r="Y339">
        <v>359246.95</v>
      </c>
      <c r="Z339">
        <v>471161.54</v>
      </c>
      <c r="AA339">
        <v>455907.72</v>
      </c>
      <c r="AB339">
        <v>217815.25</v>
      </c>
      <c r="AC339">
        <v>528694.68000000005</v>
      </c>
      <c r="AD339">
        <v>537641.80000000005</v>
      </c>
    </row>
    <row r="340" spans="1:30" x14ac:dyDescent="0.3">
      <c r="A340" t="s">
        <v>99</v>
      </c>
      <c r="B340" t="s">
        <v>39</v>
      </c>
      <c r="C340" t="s">
        <v>30</v>
      </c>
      <c r="E340">
        <v>-109797.25</v>
      </c>
      <c r="F340">
        <v>-148797</v>
      </c>
      <c r="G340">
        <v>-136093.62</v>
      </c>
      <c r="H340">
        <v>-155724.39000000001</v>
      </c>
      <c r="I340">
        <v>-185244.94</v>
      </c>
      <c r="J340">
        <v>-156551.59</v>
      </c>
      <c r="K340">
        <v>-118391.86</v>
      </c>
      <c r="L340">
        <v>-151794.66</v>
      </c>
      <c r="M340">
        <v>-169289.47</v>
      </c>
      <c r="N340">
        <v>-179410.38</v>
      </c>
      <c r="O340">
        <v>-173376.51</v>
      </c>
      <c r="P340">
        <v>-200165.58</v>
      </c>
      <c r="Q340">
        <v>-184092.81</v>
      </c>
      <c r="R340">
        <v>-210099.19</v>
      </c>
      <c r="S340">
        <v>-187929.34</v>
      </c>
      <c r="T340">
        <v>-178464.67</v>
      </c>
      <c r="U340">
        <v>-175440.77</v>
      </c>
      <c r="V340">
        <v>-182752.84</v>
      </c>
      <c r="W340">
        <v>-173331.48</v>
      </c>
      <c r="X340">
        <v>-149003.25</v>
      </c>
      <c r="Y340">
        <v>-159971.97</v>
      </c>
      <c r="Z340">
        <v>-189110.62</v>
      </c>
      <c r="AA340">
        <v>-173944</v>
      </c>
      <c r="AB340">
        <v>-163059.25</v>
      </c>
      <c r="AC340">
        <v>-181776.52</v>
      </c>
      <c r="AD340">
        <v>-200208.47</v>
      </c>
    </row>
    <row r="341" spans="1:30" x14ac:dyDescent="0.3">
      <c r="A341" t="s">
        <v>99</v>
      </c>
      <c r="B341" t="s">
        <v>39</v>
      </c>
      <c r="C341" t="s">
        <v>40</v>
      </c>
      <c r="D341" t="s">
        <v>30</v>
      </c>
      <c r="E341">
        <v>-107877.25</v>
      </c>
      <c r="F341">
        <v>-146367.01</v>
      </c>
      <c r="G341">
        <v>-134089.85</v>
      </c>
      <c r="H341">
        <v>-153804.39000000001</v>
      </c>
      <c r="I341">
        <v>-183218.94</v>
      </c>
      <c r="J341">
        <v>-153356.84</v>
      </c>
      <c r="K341">
        <v>-116434.21</v>
      </c>
      <c r="L341">
        <v>-151196.66</v>
      </c>
      <c r="M341">
        <v>-166398.07</v>
      </c>
      <c r="N341">
        <v>-176375.67999999999</v>
      </c>
      <c r="O341">
        <v>-168332.51</v>
      </c>
      <c r="P341">
        <v>-184339.58</v>
      </c>
      <c r="Q341">
        <v>-182141.36</v>
      </c>
      <c r="R341">
        <v>-201346.34</v>
      </c>
      <c r="S341">
        <v>-187875.69</v>
      </c>
      <c r="T341">
        <v>-178390.67</v>
      </c>
      <c r="U341">
        <v>-172915.64</v>
      </c>
      <c r="V341">
        <v>-180267.56</v>
      </c>
      <c r="W341">
        <v>-170845.58</v>
      </c>
      <c r="X341">
        <v>-146931.22</v>
      </c>
      <c r="Y341">
        <v>-157909.19</v>
      </c>
      <c r="Z341">
        <v>-187036.73</v>
      </c>
      <c r="AA341">
        <v>-171596.02</v>
      </c>
      <c r="AB341">
        <v>-160784.72</v>
      </c>
      <c r="AC341">
        <v>-179745.18</v>
      </c>
      <c r="AD341">
        <v>-196223.86</v>
      </c>
    </row>
    <row r="342" spans="1:30" x14ac:dyDescent="0.3">
      <c r="A342" t="s">
        <v>99</v>
      </c>
      <c r="B342" t="s">
        <v>39</v>
      </c>
      <c r="C342" t="s">
        <v>41</v>
      </c>
      <c r="D342" t="s">
        <v>30</v>
      </c>
      <c r="E342">
        <v>-1920</v>
      </c>
      <c r="F342">
        <v>-2429.9899999999998</v>
      </c>
      <c r="G342">
        <v>-2003.77</v>
      </c>
      <c r="H342">
        <v>-1920</v>
      </c>
      <c r="I342">
        <v>-2026</v>
      </c>
      <c r="J342">
        <v>-3194.75</v>
      </c>
      <c r="K342">
        <v>-1957.65</v>
      </c>
      <c r="L342">
        <v>-598</v>
      </c>
      <c r="M342">
        <v>-2891.4</v>
      </c>
      <c r="N342">
        <v>-3034.7</v>
      </c>
      <c r="O342">
        <v>-5044</v>
      </c>
      <c r="P342">
        <v>-15826</v>
      </c>
      <c r="Q342">
        <v>-1951.45</v>
      </c>
      <c r="R342">
        <v>-8752.85</v>
      </c>
      <c r="S342">
        <v>-53.65</v>
      </c>
      <c r="T342">
        <v>-74</v>
      </c>
      <c r="U342">
        <v>-2525.13</v>
      </c>
      <c r="V342">
        <v>-2485.2800000000002</v>
      </c>
      <c r="W342">
        <v>-2485.9</v>
      </c>
      <c r="X342">
        <v>-2072.0300000000002</v>
      </c>
      <c r="Y342">
        <v>-2062.7800000000002</v>
      </c>
      <c r="Z342">
        <v>-2073.89</v>
      </c>
      <c r="AA342">
        <v>-2347.98</v>
      </c>
      <c r="AB342">
        <v>-2274.5300000000002</v>
      </c>
      <c r="AC342">
        <v>-2031.34</v>
      </c>
      <c r="AD342">
        <v>-3984.61</v>
      </c>
    </row>
    <row r="343" spans="1:30" x14ac:dyDescent="0.3">
      <c r="A343" t="s">
        <v>99</v>
      </c>
      <c r="B343" t="s">
        <v>42</v>
      </c>
      <c r="C343" t="s">
        <v>30</v>
      </c>
      <c r="E343">
        <v>196615.17</v>
      </c>
      <c r="F343">
        <v>145491.29</v>
      </c>
      <c r="G343">
        <v>139223</v>
      </c>
      <c r="H343">
        <v>100380.14</v>
      </c>
      <c r="I343">
        <v>72916.820000000007</v>
      </c>
      <c r="J343">
        <v>87108.93</v>
      </c>
      <c r="K343">
        <v>240739.04</v>
      </c>
      <c r="L343">
        <v>184889.87</v>
      </c>
      <c r="M343">
        <v>-14977.41</v>
      </c>
      <c r="N343">
        <v>94799.99</v>
      </c>
      <c r="O343">
        <v>71479.31</v>
      </c>
      <c r="P343">
        <v>131231.78</v>
      </c>
      <c r="Q343">
        <v>29584.45</v>
      </c>
      <c r="R343">
        <v>240378.03</v>
      </c>
      <c r="S343">
        <v>188206.19</v>
      </c>
      <c r="T343">
        <v>146469.25</v>
      </c>
      <c r="U343">
        <v>-119002.74</v>
      </c>
      <c r="V343">
        <v>30757.07</v>
      </c>
      <c r="W343">
        <v>251682.18</v>
      </c>
      <c r="X343">
        <v>234930.07</v>
      </c>
      <c r="Y343">
        <v>199274.98</v>
      </c>
      <c r="Z343">
        <v>282050.92</v>
      </c>
      <c r="AA343">
        <v>281963.71999999997</v>
      </c>
      <c r="AB343">
        <v>54756</v>
      </c>
      <c r="AC343">
        <v>346918.16</v>
      </c>
      <c r="AD343">
        <v>337433.33</v>
      </c>
    </row>
    <row r="344" spans="1:30" x14ac:dyDescent="0.3">
      <c r="A344" t="s">
        <v>99</v>
      </c>
      <c r="B344" t="s">
        <v>43</v>
      </c>
      <c r="C344" t="s">
        <v>30</v>
      </c>
      <c r="E344">
        <v>-122518</v>
      </c>
    </row>
    <row r="345" spans="1:30" x14ac:dyDescent="0.3">
      <c r="A345" t="s">
        <v>99</v>
      </c>
      <c r="B345" t="s">
        <v>43</v>
      </c>
      <c r="C345" t="s">
        <v>123</v>
      </c>
      <c r="D345" t="s">
        <v>30</v>
      </c>
      <c r="E345">
        <v>-42582</v>
      </c>
    </row>
    <row r="346" spans="1:30" x14ac:dyDescent="0.3">
      <c r="A346" t="s">
        <v>99</v>
      </c>
      <c r="B346" t="s">
        <v>43</v>
      </c>
      <c r="C346" t="s">
        <v>124</v>
      </c>
      <c r="D346" t="s">
        <v>30</v>
      </c>
      <c r="E346">
        <v>-79936</v>
      </c>
    </row>
    <row r="347" spans="1:30" x14ac:dyDescent="0.3">
      <c r="A347" t="s">
        <v>99</v>
      </c>
      <c r="B347" t="s">
        <v>44</v>
      </c>
      <c r="C347" t="s">
        <v>30</v>
      </c>
      <c r="E347">
        <v>74097.17</v>
      </c>
      <c r="F347">
        <v>145491.29</v>
      </c>
      <c r="G347">
        <v>139223</v>
      </c>
      <c r="H347">
        <v>100380.14</v>
      </c>
      <c r="I347">
        <v>72916.820000000007</v>
      </c>
      <c r="J347">
        <v>87108.93</v>
      </c>
      <c r="K347">
        <v>240739.04</v>
      </c>
      <c r="L347">
        <v>184889.87</v>
      </c>
      <c r="M347">
        <v>-14977.41</v>
      </c>
      <c r="N347">
        <v>94799.99</v>
      </c>
      <c r="O347">
        <v>71479.31</v>
      </c>
      <c r="P347">
        <v>131231.78</v>
      </c>
      <c r="Q347">
        <v>29584.45</v>
      </c>
      <c r="R347">
        <v>240378.03</v>
      </c>
      <c r="S347">
        <v>188206.19</v>
      </c>
      <c r="T347">
        <v>146469.25</v>
      </c>
      <c r="U347">
        <v>-119002.74</v>
      </c>
      <c r="V347">
        <v>30757.07</v>
      </c>
      <c r="W347">
        <v>251682.18</v>
      </c>
      <c r="X347">
        <v>234930.07</v>
      </c>
      <c r="Y347">
        <v>199274.98</v>
      </c>
      <c r="Z347">
        <v>282050.92</v>
      </c>
      <c r="AA347">
        <v>281963.71999999997</v>
      </c>
      <c r="AB347">
        <v>54756</v>
      </c>
      <c r="AC347">
        <v>346918.16</v>
      </c>
      <c r="AD347">
        <v>337433.33</v>
      </c>
    </row>
    <row r="348" spans="1:30" x14ac:dyDescent="0.3">
      <c r="A348" t="s">
        <v>99</v>
      </c>
      <c r="B348" t="s">
        <v>45</v>
      </c>
      <c r="C348" t="s">
        <v>30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</row>
    <row r="349" spans="1:30" x14ac:dyDescent="0.3">
      <c r="A349" t="s">
        <v>99</v>
      </c>
      <c r="B349" t="s">
        <v>46</v>
      </c>
      <c r="C349" t="s">
        <v>30</v>
      </c>
      <c r="E349">
        <v>74097.17</v>
      </c>
      <c r="F349">
        <v>145491.29</v>
      </c>
      <c r="G349">
        <v>139223</v>
      </c>
      <c r="H349">
        <v>100380.14</v>
      </c>
      <c r="I349">
        <v>72916.820000000007</v>
      </c>
      <c r="J349">
        <v>87108.93</v>
      </c>
      <c r="K349">
        <v>240739.04</v>
      </c>
      <c r="L349">
        <v>184889.87</v>
      </c>
      <c r="M349">
        <v>-14977.41</v>
      </c>
      <c r="N349">
        <v>94799.99</v>
      </c>
      <c r="O349">
        <v>71479.31</v>
      </c>
      <c r="P349">
        <v>131231.78</v>
      </c>
      <c r="Q349">
        <v>29584.45</v>
      </c>
      <c r="R349">
        <v>240378.03</v>
      </c>
      <c r="S349">
        <v>188206.19</v>
      </c>
      <c r="T349">
        <v>146469.25</v>
      </c>
      <c r="U349">
        <v>-119002.74</v>
      </c>
      <c r="V349">
        <v>30757.07</v>
      </c>
      <c r="W349">
        <v>251682.18</v>
      </c>
      <c r="X349">
        <v>234930.07</v>
      </c>
      <c r="Y349">
        <v>199274.98</v>
      </c>
      <c r="Z349">
        <v>282050.92</v>
      </c>
      <c r="AA349">
        <v>281963.71999999997</v>
      </c>
      <c r="AB349">
        <v>54756</v>
      </c>
      <c r="AC349">
        <v>346918.16</v>
      </c>
      <c r="AD349">
        <v>337433.33</v>
      </c>
    </row>
    <row r="350" spans="1:30" x14ac:dyDescent="0.3">
      <c r="A350" t="s">
        <v>99</v>
      </c>
      <c r="B350" t="s">
        <v>48</v>
      </c>
      <c r="C350" t="s">
        <v>30</v>
      </c>
      <c r="N350">
        <v>-119</v>
      </c>
      <c r="P350">
        <v>-4.49</v>
      </c>
    </row>
    <row r="351" spans="1:30" x14ac:dyDescent="0.3">
      <c r="A351" t="s">
        <v>99</v>
      </c>
      <c r="B351" t="s">
        <v>30</v>
      </c>
      <c r="C351" t="s">
        <v>30</v>
      </c>
      <c r="E351">
        <v>74097.17</v>
      </c>
      <c r="F351">
        <v>145491.29</v>
      </c>
      <c r="G351">
        <v>139223</v>
      </c>
      <c r="H351">
        <v>100380.14</v>
      </c>
      <c r="I351">
        <v>72916.820000000007</v>
      </c>
      <c r="J351">
        <v>87108.93</v>
      </c>
      <c r="K351">
        <v>240739.04</v>
      </c>
      <c r="L351">
        <v>184889.87</v>
      </c>
      <c r="M351">
        <v>-14977.41</v>
      </c>
      <c r="N351">
        <v>94680.99</v>
      </c>
      <c r="O351">
        <v>71479.31</v>
      </c>
      <c r="P351">
        <v>131227.29</v>
      </c>
      <c r="Q351">
        <v>29584.45</v>
      </c>
      <c r="R351">
        <v>240378.03</v>
      </c>
      <c r="S351">
        <v>188206.19</v>
      </c>
      <c r="T351">
        <v>146469.25</v>
      </c>
      <c r="U351">
        <v>-119002.74</v>
      </c>
      <c r="V351">
        <v>30757.07</v>
      </c>
      <c r="W351">
        <v>251682.18</v>
      </c>
      <c r="X351">
        <v>234930.07</v>
      </c>
      <c r="Y351">
        <v>199274.98</v>
      </c>
      <c r="Z351">
        <v>282050.92</v>
      </c>
      <c r="AA351">
        <v>281963.71999999997</v>
      </c>
      <c r="AB351">
        <v>54756</v>
      </c>
      <c r="AC351">
        <v>346918.16</v>
      </c>
      <c r="AD351">
        <v>337433.33</v>
      </c>
    </row>
    <row r="352" spans="1:30" x14ac:dyDescent="0.3">
      <c r="A352" t="s">
        <v>99</v>
      </c>
      <c r="B352" t="s">
        <v>30</v>
      </c>
    </row>
    <row r="353" spans="1:30" x14ac:dyDescent="0.3">
      <c r="A353" t="s">
        <v>99</v>
      </c>
    </row>
    <row r="354" spans="1:30" x14ac:dyDescent="0.3">
      <c r="A354" t="s">
        <v>99</v>
      </c>
      <c r="B354" t="s">
        <v>141</v>
      </c>
    </row>
    <row r="355" spans="1:30" x14ac:dyDescent="0.3">
      <c r="A355" t="s">
        <v>100</v>
      </c>
      <c r="B355" t="s">
        <v>22</v>
      </c>
      <c r="E355">
        <v>202312</v>
      </c>
      <c r="F355">
        <v>202401</v>
      </c>
      <c r="G355">
        <v>202402</v>
      </c>
      <c r="H355">
        <v>202403</v>
      </c>
      <c r="I355">
        <v>202404</v>
      </c>
      <c r="J355">
        <v>202405</v>
      </c>
      <c r="K355">
        <v>202406</v>
      </c>
      <c r="L355">
        <v>202407</v>
      </c>
      <c r="M355">
        <v>202408</v>
      </c>
      <c r="N355">
        <v>202409</v>
      </c>
      <c r="O355">
        <v>202410</v>
      </c>
      <c r="P355">
        <v>202411</v>
      </c>
      <c r="Q355">
        <v>202412</v>
      </c>
      <c r="R355">
        <v>202501</v>
      </c>
      <c r="S355">
        <v>202502</v>
      </c>
      <c r="T355">
        <v>202503</v>
      </c>
      <c r="U355">
        <v>202504</v>
      </c>
      <c r="V355">
        <v>202505</v>
      </c>
      <c r="W355">
        <v>202506</v>
      </c>
      <c r="X355">
        <v>202507</v>
      </c>
      <c r="Y355">
        <v>202508</v>
      </c>
      <c r="Z355">
        <v>202509</v>
      </c>
      <c r="AA355">
        <v>202510</v>
      </c>
      <c r="AB355">
        <v>202511</v>
      </c>
      <c r="AC355">
        <v>202512</v>
      </c>
      <c r="AD355">
        <v>202601</v>
      </c>
    </row>
    <row r="356" spans="1:30" x14ac:dyDescent="0.3">
      <c r="A356" t="s">
        <v>100</v>
      </c>
      <c r="B356" t="s">
        <v>23</v>
      </c>
      <c r="E356" t="s">
        <v>24</v>
      </c>
      <c r="F356" t="s">
        <v>24</v>
      </c>
      <c r="G356" t="s">
        <v>24</v>
      </c>
      <c r="H356" t="s">
        <v>24</v>
      </c>
      <c r="I356" t="s">
        <v>24</v>
      </c>
      <c r="J356" t="s">
        <v>24</v>
      </c>
      <c r="K356" t="s">
        <v>24</v>
      </c>
      <c r="L356" t="s">
        <v>24</v>
      </c>
      <c r="M356" t="s">
        <v>24</v>
      </c>
      <c r="N356" t="s">
        <v>24</v>
      </c>
      <c r="O356" t="s">
        <v>24</v>
      </c>
      <c r="P356" t="s">
        <v>24</v>
      </c>
      <c r="Q356" t="s">
        <v>24</v>
      </c>
      <c r="R356" t="s">
        <v>24</v>
      </c>
      <c r="S356" t="s">
        <v>24</v>
      </c>
      <c r="T356" t="s">
        <v>24</v>
      </c>
      <c r="U356" t="s">
        <v>24</v>
      </c>
      <c r="V356" t="s">
        <v>24</v>
      </c>
      <c r="W356" t="s">
        <v>24</v>
      </c>
      <c r="X356" t="s">
        <v>24</v>
      </c>
      <c r="Y356" t="s">
        <v>24</v>
      </c>
      <c r="Z356" t="s">
        <v>24</v>
      </c>
      <c r="AA356" t="s">
        <v>24</v>
      </c>
      <c r="AB356" t="s">
        <v>24</v>
      </c>
      <c r="AC356" t="s">
        <v>24</v>
      </c>
      <c r="AD356" t="s">
        <v>24</v>
      </c>
    </row>
    <row r="357" spans="1:30" x14ac:dyDescent="0.3">
      <c r="A357" t="s">
        <v>100</v>
      </c>
      <c r="B357" t="s">
        <v>25</v>
      </c>
      <c r="C357" t="s">
        <v>26</v>
      </c>
      <c r="D357" t="s">
        <v>27</v>
      </c>
      <c r="E357" t="s">
        <v>28</v>
      </c>
      <c r="F357" t="s">
        <v>28</v>
      </c>
      <c r="G357" t="s">
        <v>28</v>
      </c>
      <c r="H357" t="s">
        <v>28</v>
      </c>
      <c r="I357" t="s">
        <v>28</v>
      </c>
      <c r="J357" t="s">
        <v>28</v>
      </c>
      <c r="K357" t="s">
        <v>28</v>
      </c>
      <c r="L357" t="s">
        <v>28</v>
      </c>
      <c r="M357" t="s">
        <v>28</v>
      </c>
      <c r="N357" t="s">
        <v>28</v>
      </c>
      <c r="O357" t="s">
        <v>28</v>
      </c>
      <c r="P357" t="s">
        <v>28</v>
      </c>
      <c r="Q357" t="s">
        <v>28</v>
      </c>
      <c r="R357" t="s">
        <v>28</v>
      </c>
      <c r="S357" t="s">
        <v>28</v>
      </c>
      <c r="T357" t="s">
        <v>28</v>
      </c>
      <c r="U357" t="s">
        <v>28</v>
      </c>
      <c r="V357" t="s">
        <v>28</v>
      </c>
      <c r="W357" t="s">
        <v>28</v>
      </c>
      <c r="X357" t="s">
        <v>28</v>
      </c>
      <c r="Y357" t="s">
        <v>28</v>
      </c>
      <c r="Z357" t="s">
        <v>28</v>
      </c>
      <c r="AA357" t="s">
        <v>28</v>
      </c>
      <c r="AB357" t="s">
        <v>28</v>
      </c>
      <c r="AC357" t="s">
        <v>28</v>
      </c>
      <c r="AD357" t="s">
        <v>28</v>
      </c>
    </row>
    <row r="358" spans="1:30" x14ac:dyDescent="0.3">
      <c r="A358" t="s">
        <v>100</v>
      </c>
      <c r="B358" t="s">
        <v>29</v>
      </c>
      <c r="C358" t="s">
        <v>30</v>
      </c>
      <c r="E358">
        <v>2104929</v>
      </c>
      <c r="F358">
        <v>1856866</v>
      </c>
      <c r="G358">
        <v>1858997</v>
      </c>
      <c r="H358">
        <v>1884396</v>
      </c>
      <c r="I358">
        <v>1968292.22</v>
      </c>
      <c r="J358">
        <v>1895145.22</v>
      </c>
      <c r="K358">
        <v>1898745.22</v>
      </c>
      <c r="L358">
        <v>1851042.05</v>
      </c>
      <c r="M358">
        <v>1932316.22</v>
      </c>
      <c r="N358">
        <v>1945070.22</v>
      </c>
      <c r="O358">
        <v>2025650.22</v>
      </c>
      <c r="P358">
        <v>2293055.2200000002</v>
      </c>
      <c r="Q358">
        <v>2204290.25</v>
      </c>
      <c r="R358">
        <v>2484011</v>
      </c>
      <c r="S358">
        <v>2389447</v>
      </c>
      <c r="T358">
        <v>2360170</v>
      </c>
      <c r="U358">
        <v>2429292.65</v>
      </c>
      <c r="V358">
        <v>2362542</v>
      </c>
      <c r="W358">
        <v>2464543.66</v>
      </c>
      <c r="X358">
        <v>2355395.19</v>
      </c>
      <c r="Y358">
        <v>2338794.35</v>
      </c>
      <c r="Z358">
        <v>2512627.1800000002</v>
      </c>
      <c r="AA358">
        <v>2489671.89</v>
      </c>
      <c r="AB358">
        <v>2492049.19</v>
      </c>
      <c r="AC358">
        <v>2551929.36</v>
      </c>
      <c r="AD358">
        <v>2405174.2200000002</v>
      </c>
    </row>
    <row r="359" spans="1:30" x14ac:dyDescent="0.3">
      <c r="A359" t="s">
        <v>100</v>
      </c>
      <c r="B359" t="s">
        <v>29</v>
      </c>
      <c r="C359" t="s">
        <v>31</v>
      </c>
      <c r="D359" t="s">
        <v>30</v>
      </c>
      <c r="E359">
        <v>1803560</v>
      </c>
      <c r="F359">
        <v>1618871</v>
      </c>
      <c r="G359">
        <v>1601017</v>
      </c>
      <c r="H359">
        <v>1634491</v>
      </c>
      <c r="I359">
        <v>1713199</v>
      </c>
      <c r="J359">
        <v>1640813</v>
      </c>
      <c r="K359">
        <v>1662404</v>
      </c>
      <c r="L359">
        <v>1655499</v>
      </c>
      <c r="M359">
        <v>1707128</v>
      </c>
      <c r="N359">
        <v>1708796</v>
      </c>
      <c r="O359">
        <v>1753008</v>
      </c>
      <c r="P359">
        <v>1956250</v>
      </c>
      <c r="Q359">
        <v>1917915</v>
      </c>
      <c r="R359">
        <v>2220451</v>
      </c>
      <c r="S359">
        <v>2100960</v>
      </c>
      <c r="T359">
        <v>2090993</v>
      </c>
      <c r="U359">
        <v>2155732</v>
      </c>
      <c r="V359">
        <v>2107541</v>
      </c>
      <c r="W359">
        <v>2151958.66</v>
      </c>
      <c r="X359">
        <v>2111800.19</v>
      </c>
      <c r="Y359">
        <v>2131219.35</v>
      </c>
      <c r="Z359">
        <v>2199725.1800000002</v>
      </c>
      <c r="AA359">
        <v>2178753.89</v>
      </c>
      <c r="AB359">
        <v>2149774.19</v>
      </c>
      <c r="AC359">
        <v>2253929.36</v>
      </c>
      <c r="AD359">
        <v>2261604.2200000002</v>
      </c>
    </row>
    <row r="360" spans="1:30" x14ac:dyDescent="0.3">
      <c r="A360" t="s">
        <v>100</v>
      </c>
      <c r="B360" t="s">
        <v>29</v>
      </c>
      <c r="C360" t="s">
        <v>31</v>
      </c>
      <c r="D360" t="s">
        <v>32</v>
      </c>
      <c r="E360">
        <v>1761650</v>
      </c>
      <c r="F360">
        <v>1588915</v>
      </c>
      <c r="G360">
        <v>1583472</v>
      </c>
      <c r="H360">
        <v>1623341</v>
      </c>
      <c r="I360">
        <v>1634285</v>
      </c>
      <c r="J360">
        <v>1631728</v>
      </c>
      <c r="K360">
        <v>1639794</v>
      </c>
      <c r="L360">
        <v>1644169</v>
      </c>
      <c r="M360">
        <v>1656158</v>
      </c>
      <c r="N360">
        <v>1673195</v>
      </c>
      <c r="O360">
        <v>1698489</v>
      </c>
      <c r="P360">
        <v>1892860</v>
      </c>
      <c r="Q360">
        <v>1863604</v>
      </c>
      <c r="R360">
        <v>2170966</v>
      </c>
      <c r="S360">
        <v>2082455</v>
      </c>
      <c r="T360">
        <v>2078663</v>
      </c>
      <c r="U360">
        <v>2079511</v>
      </c>
      <c r="V360">
        <v>2079511</v>
      </c>
      <c r="W360">
        <v>2128468.66</v>
      </c>
      <c r="X360">
        <v>2097450.19</v>
      </c>
      <c r="Y360">
        <v>2107259.35</v>
      </c>
      <c r="Z360">
        <v>2124640.1800000002</v>
      </c>
      <c r="AA360">
        <v>2150733.89</v>
      </c>
      <c r="AB360">
        <v>2120064.19</v>
      </c>
      <c r="AC360">
        <v>2245979.36</v>
      </c>
      <c r="AD360">
        <v>2130950.2200000002</v>
      </c>
    </row>
    <row r="361" spans="1:30" x14ac:dyDescent="0.3">
      <c r="A361" t="s">
        <v>100</v>
      </c>
      <c r="B361" t="s">
        <v>29</v>
      </c>
      <c r="C361" t="s">
        <v>31</v>
      </c>
      <c r="D361" t="s">
        <v>33</v>
      </c>
      <c r="E361">
        <v>41910</v>
      </c>
      <c r="F361">
        <v>20320</v>
      </c>
      <c r="G361">
        <v>17545</v>
      </c>
      <c r="H361">
        <v>11150</v>
      </c>
      <c r="I361">
        <v>75305</v>
      </c>
      <c r="J361">
        <v>5526</v>
      </c>
      <c r="K361">
        <v>8590</v>
      </c>
      <c r="L361">
        <v>2400</v>
      </c>
      <c r="M361">
        <v>27920</v>
      </c>
      <c r="N361">
        <v>22110</v>
      </c>
      <c r="O361">
        <v>42050</v>
      </c>
      <c r="P361">
        <v>6420</v>
      </c>
      <c r="Q361">
        <v>4800</v>
      </c>
      <c r="R361">
        <v>27290</v>
      </c>
      <c r="S361">
        <v>7785</v>
      </c>
      <c r="T361">
        <v>-2440</v>
      </c>
      <c r="U361">
        <v>40245</v>
      </c>
      <c r="V361">
        <v>14680</v>
      </c>
      <c r="W361">
        <v>11850</v>
      </c>
      <c r="X361">
        <v>3300</v>
      </c>
      <c r="Y361">
        <v>5200</v>
      </c>
      <c r="Z361">
        <v>48835</v>
      </c>
      <c r="AA361">
        <v>9900</v>
      </c>
      <c r="AB361">
        <v>900</v>
      </c>
      <c r="AC361">
        <v>4200</v>
      </c>
      <c r="AD361">
        <v>123870</v>
      </c>
    </row>
    <row r="362" spans="1:30" x14ac:dyDescent="0.3">
      <c r="A362" t="s">
        <v>100</v>
      </c>
      <c r="B362" t="s">
        <v>29</v>
      </c>
      <c r="C362" t="s">
        <v>31</v>
      </c>
      <c r="D362" t="s">
        <v>34</v>
      </c>
      <c r="E362">
        <v>0</v>
      </c>
      <c r="F362">
        <v>9636</v>
      </c>
      <c r="I362">
        <v>3609</v>
      </c>
      <c r="J362">
        <v>3559</v>
      </c>
      <c r="K362">
        <v>14020</v>
      </c>
      <c r="L362">
        <v>8930</v>
      </c>
      <c r="M362">
        <v>23050</v>
      </c>
      <c r="N362">
        <v>13491</v>
      </c>
      <c r="O362">
        <v>12469</v>
      </c>
      <c r="P362">
        <v>56970</v>
      </c>
      <c r="Q362">
        <v>49511</v>
      </c>
      <c r="R362">
        <v>22195</v>
      </c>
      <c r="S362">
        <v>10720</v>
      </c>
      <c r="T362">
        <v>14770</v>
      </c>
      <c r="U362">
        <v>35976</v>
      </c>
      <c r="V362">
        <v>13350</v>
      </c>
      <c r="W362">
        <v>11640</v>
      </c>
      <c r="X362">
        <v>11050</v>
      </c>
      <c r="Y362">
        <v>18760</v>
      </c>
      <c r="Z362">
        <v>26250</v>
      </c>
      <c r="AA362">
        <v>18120</v>
      </c>
      <c r="AB362">
        <v>28810</v>
      </c>
      <c r="AC362">
        <v>3750</v>
      </c>
      <c r="AD362">
        <v>6784</v>
      </c>
    </row>
    <row r="363" spans="1:30" x14ac:dyDescent="0.3">
      <c r="A363" t="s">
        <v>100</v>
      </c>
      <c r="B363" t="s">
        <v>29</v>
      </c>
      <c r="C363" t="s">
        <v>35</v>
      </c>
      <c r="D363" t="s">
        <v>30</v>
      </c>
      <c r="E363">
        <v>301369</v>
      </c>
      <c r="F363">
        <v>237995</v>
      </c>
      <c r="G363">
        <v>257980</v>
      </c>
      <c r="H363">
        <v>249905</v>
      </c>
      <c r="I363">
        <v>255093.22</v>
      </c>
      <c r="J363">
        <v>254332.22</v>
      </c>
      <c r="K363">
        <v>236341.22</v>
      </c>
      <c r="L363">
        <v>195543.05</v>
      </c>
      <c r="M363">
        <v>225188.22</v>
      </c>
      <c r="N363">
        <v>236274.22</v>
      </c>
      <c r="O363">
        <v>272642.21999999997</v>
      </c>
      <c r="P363">
        <v>336805.22</v>
      </c>
      <c r="Q363">
        <v>286375.25</v>
      </c>
      <c r="R363">
        <v>263560</v>
      </c>
      <c r="S363">
        <v>288487</v>
      </c>
      <c r="T363">
        <v>269177</v>
      </c>
      <c r="U363">
        <v>273560.65000000002</v>
      </c>
      <c r="V363">
        <v>255001</v>
      </c>
      <c r="W363">
        <v>312585</v>
      </c>
      <c r="X363">
        <v>243595</v>
      </c>
      <c r="Y363">
        <v>207575</v>
      </c>
      <c r="Z363">
        <v>312902</v>
      </c>
      <c r="AA363">
        <v>310918</v>
      </c>
      <c r="AB363">
        <v>342275</v>
      </c>
      <c r="AC363">
        <v>298000</v>
      </c>
      <c r="AD363">
        <v>143570</v>
      </c>
    </row>
    <row r="364" spans="1:30" x14ac:dyDescent="0.3">
      <c r="A364" t="s">
        <v>100</v>
      </c>
      <c r="B364" t="s">
        <v>36</v>
      </c>
      <c r="C364" t="s">
        <v>30</v>
      </c>
      <c r="E364">
        <v>-1594498.62</v>
      </c>
      <c r="F364">
        <v>-1439106.93</v>
      </c>
      <c r="G364">
        <v>-1450126.98</v>
      </c>
      <c r="H364">
        <v>-1222238.1499999999</v>
      </c>
      <c r="I364">
        <v>-1646431.22</v>
      </c>
      <c r="J364">
        <v>-1464240.85</v>
      </c>
      <c r="K364">
        <v>-1387263.98</v>
      </c>
      <c r="L364">
        <v>-1363502.47</v>
      </c>
      <c r="M364">
        <v>-1420519.73</v>
      </c>
      <c r="N364">
        <v>-1165129.67</v>
      </c>
      <c r="O364">
        <v>-1467149.41</v>
      </c>
      <c r="P364">
        <v>-1423095.41</v>
      </c>
      <c r="Q364">
        <v>-1464051.69</v>
      </c>
      <c r="R364">
        <v>-1480667.14</v>
      </c>
      <c r="S364">
        <v>-1426180.34</v>
      </c>
      <c r="T364">
        <v>-1602686.61</v>
      </c>
      <c r="U364">
        <v>-1531184.52</v>
      </c>
      <c r="V364">
        <v>-1568862.32</v>
      </c>
      <c r="W364">
        <v>-1644166.25</v>
      </c>
      <c r="X364">
        <v>-1755874.95</v>
      </c>
      <c r="Y364">
        <v>-1632024.27</v>
      </c>
      <c r="Z364">
        <v>-1584904.94</v>
      </c>
      <c r="AA364">
        <v>-1592139.99</v>
      </c>
      <c r="AB364">
        <v>-1818377.88</v>
      </c>
      <c r="AC364">
        <v>-1693569.3</v>
      </c>
      <c r="AD364">
        <v>-1629211.58</v>
      </c>
    </row>
    <row r="365" spans="1:30" x14ac:dyDescent="0.3">
      <c r="A365" t="s">
        <v>100</v>
      </c>
      <c r="B365" t="s">
        <v>36</v>
      </c>
      <c r="C365" t="s">
        <v>18</v>
      </c>
      <c r="D365" t="s">
        <v>30</v>
      </c>
      <c r="E365">
        <v>-1013138.39</v>
      </c>
      <c r="F365">
        <v>-842467.73</v>
      </c>
      <c r="G365">
        <v>-956713.42</v>
      </c>
      <c r="H365">
        <v>-776270.84</v>
      </c>
      <c r="I365">
        <v>-1055803.98</v>
      </c>
      <c r="J365">
        <v>-910145.03</v>
      </c>
      <c r="K365">
        <v>-792824.99</v>
      </c>
      <c r="L365">
        <v>-886763.21</v>
      </c>
      <c r="M365">
        <v>-844508.18</v>
      </c>
      <c r="N365">
        <v>-843611.63</v>
      </c>
      <c r="O365">
        <v>-839487.83</v>
      </c>
      <c r="P365">
        <v>-797302.85</v>
      </c>
      <c r="Q365">
        <v>-943947.08</v>
      </c>
      <c r="R365">
        <v>-923177.16</v>
      </c>
      <c r="S365">
        <v>-961029.14</v>
      </c>
      <c r="T365">
        <v>-991437.14</v>
      </c>
      <c r="U365">
        <v>-943222.7</v>
      </c>
      <c r="V365">
        <v>-973969.54</v>
      </c>
      <c r="W365">
        <v>-999912.19</v>
      </c>
      <c r="X365">
        <v>-1146233.26</v>
      </c>
      <c r="Y365">
        <v>-1010754.35</v>
      </c>
      <c r="Z365">
        <v>-1024291.51</v>
      </c>
      <c r="AA365">
        <v>-985513.16</v>
      </c>
      <c r="AB365">
        <v>-1081118.33</v>
      </c>
      <c r="AC365">
        <v>-1054668.47</v>
      </c>
      <c r="AD365">
        <v>-1148624.3500000001</v>
      </c>
    </row>
    <row r="366" spans="1:30" x14ac:dyDescent="0.3">
      <c r="A366" t="s">
        <v>100</v>
      </c>
      <c r="B366" t="s">
        <v>36</v>
      </c>
      <c r="C366" t="s">
        <v>37</v>
      </c>
      <c r="D366" t="s">
        <v>30</v>
      </c>
      <c r="E366">
        <v>-581360.23</v>
      </c>
      <c r="F366">
        <v>-596639.19999999995</v>
      </c>
      <c r="G366">
        <v>-493413.56</v>
      </c>
      <c r="H366">
        <v>-445967.31</v>
      </c>
      <c r="I366">
        <v>-590627.24</v>
      </c>
      <c r="J366">
        <v>-554095.81999999995</v>
      </c>
      <c r="K366">
        <v>-594438.99</v>
      </c>
      <c r="L366">
        <v>-476739.26</v>
      </c>
      <c r="M366">
        <v>-576011.55000000005</v>
      </c>
      <c r="N366">
        <v>-321518.03999999998</v>
      </c>
      <c r="O366">
        <v>-627661.57999999996</v>
      </c>
      <c r="P366">
        <v>-625792.56000000006</v>
      </c>
      <c r="Q366">
        <v>-520104.61</v>
      </c>
      <c r="R366">
        <v>-557489.98</v>
      </c>
      <c r="S366">
        <v>-465151.2</v>
      </c>
      <c r="T366">
        <v>-611249.47</v>
      </c>
      <c r="U366">
        <v>-587961.81999999995</v>
      </c>
      <c r="V366">
        <v>-594892.78</v>
      </c>
      <c r="W366">
        <v>-644254.06000000006</v>
      </c>
      <c r="X366">
        <v>-609641.68999999994</v>
      </c>
      <c r="Y366">
        <v>-621269.92000000004</v>
      </c>
      <c r="Z366">
        <v>-560613.43000000005</v>
      </c>
      <c r="AA366">
        <v>-606626.82999999996</v>
      </c>
      <c r="AB366">
        <v>-737259.55</v>
      </c>
      <c r="AC366">
        <v>-638900.82999999996</v>
      </c>
      <c r="AD366">
        <v>-480587.23</v>
      </c>
    </row>
    <row r="367" spans="1:30" x14ac:dyDescent="0.3">
      <c r="A367" t="s">
        <v>100</v>
      </c>
      <c r="B367" t="s">
        <v>38</v>
      </c>
      <c r="C367" t="s">
        <v>30</v>
      </c>
      <c r="E367">
        <v>510430.38</v>
      </c>
      <c r="F367">
        <v>417759.07</v>
      </c>
      <c r="G367">
        <v>408870.02</v>
      </c>
      <c r="H367">
        <v>662157.85</v>
      </c>
      <c r="I367">
        <v>321861</v>
      </c>
      <c r="J367">
        <v>430904.37</v>
      </c>
      <c r="K367">
        <v>511481.24</v>
      </c>
      <c r="L367">
        <v>487539.58</v>
      </c>
      <c r="M367">
        <v>511796.49</v>
      </c>
      <c r="N367">
        <v>779940.55</v>
      </c>
      <c r="O367">
        <v>558500.81000000006</v>
      </c>
      <c r="P367">
        <v>869959.81</v>
      </c>
      <c r="Q367">
        <v>740238.56</v>
      </c>
      <c r="R367">
        <v>1003343.86</v>
      </c>
      <c r="S367">
        <v>963266.66</v>
      </c>
      <c r="T367">
        <v>757483.39</v>
      </c>
      <c r="U367">
        <v>898108.13</v>
      </c>
      <c r="V367">
        <v>793679.68</v>
      </c>
      <c r="W367">
        <v>820377.41</v>
      </c>
      <c r="X367">
        <v>599520.24</v>
      </c>
      <c r="Y367">
        <v>706770.08</v>
      </c>
      <c r="Z367">
        <v>927722.24</v>
      </c>
      <c r="AA367">
        <v>897531.9</v>
      </c>
      <c r="AB367">
        <v>673671.31</v>
      </c>
      <c r="AC367">
        <v>858360.06</v>
      </c>
      <c r="AD367">
        <v>775962.64</v>
      </c>
    </row>
    <row r="368" spans="1:30" x14ac:dyDescent="0.3">
      <c r="A368" t="s">
        <v>100</v>
      </c>
      <c r="B368" t="s">
        <v>39</v>
      </c>
      <c r="C368" t="s">
        <v>30</v>
      </c>
      <c r="E368">
        <v>-186408.58</v>
      </c>
      <c r="F368">
        <v>-214886.87</v>
      </c>
      <c r="G368">
        <v>-247899.39</v>
      </c>
      <c r="H368">
        <v>-228382.64</v>
      </c>
      <c r="I368">
        <v>-234488.05</v>
      </c>
      <c r="J368">
        <v>-223092.18</v>
      </c>
      <c r="K368">
        <v>-217866.86</v>
      </c>
      <c r="L368">
        <v>-267467.44</v>
      </c>
      <c r="M368">
        <v>-238822.55</v>
      </c>
      <c r="N368">
        <v>-244076.34</v>
      </c>
      <c r="O368">
        <v>-293880.06</v>
      </c>
      <c r="P368">
        <v>-268398.03000000003</v>
      </c>
      <c r="Q368">
        <v>-235269.38</v>
      </c>
      <c r="R368">
        <v>-268558.28999999998</v>
      </c>
      <c r="S368">
        <v>-292801.56</v>
      </c>
      <c r="T368">
        <v>-275068.49</v>
      </c>
      <c r="U368">
        <v>-254625.27</v>
      </c>
      <c r="V368">
        <v>-283645.59000000003</v>
      </c>
      <c r="W368">
        <v>-254462.44</v>
      </c>
      <c r="X368">
        <v>-255442.1</v>
      </c>
      <c r="Y368">
        <v>-264462.03000000003</v>
      </c>
      <c r="Z368">
        <v>-293241.8</v>
      </c>
      <c r="AA368">
        <v>-300794.03000000003</v>
      </c>
      <c r="AB368">
        <v>-283347.09999999998</v>
      </c>
      <c r="AC368">
        <v>-292044.14</v>
      </c>
      <c r="AD368">
        <v>-317987.84999999998</v>
      </c>
    </row>
    <row r="369" spans="1:30" x14ac:dyDescent="0.3">
      <c r="A369" t="s">
        <v>100</v>
      </c>
      <c r="B369" t="s">
        <v>39</v>
      </c>
      <c r="C369" t="s">
        <v>40</v>
      </c>
      <c r="D369" t="s">
        <v>30</v>
      </c>
      <c r="E369">
        <v>-178049.94</v>
      </c>
      <c r="F369">
        <v>-209732.21</v>
      </c>
      <c r="G369">
        <v>-238462.73</v>
      </c>
      <c r="H369">
        <v>-224077.96</v>
      </c>
      <c r="I369">
        <v>-230183.39</v>
      </c>
      <c r="J369">
        <v>-218787.52</v>
      </c>
      <c r="K369">
        <v>-213117.74</v>
      </c>
      <c r="L369">
        <v>-262165.34000000003</v>
      </c>
      <c r="M369">
        <v>-230555.95</v>
      </c>
      <c r="N369">
        <v>-242844.72</v>
      </c>
      <c r="O369">
        <v>-286006.96000000002</v>
      </c>
      <c r="P369">
        <v>-259390.62</v>
      </c>
      <c r="Q369">
        <v>-230218.71</v>
      </c>
      <c r="R369">
        <v>-256411.35</v>
      </c>
      <c r="S369">
        <v>-287812.08</v>
      </c>
      <c r="T369">
        <v>-270584.53999999998</v>
      </c>
      <c r="U369">
        <v>-254468.02</v>
      </c>
      <c r="V369">
        <v>-285734.94</v>
      </c>
      <c r="W369">
        <v>-256679.44</v>
      </c>
      <c r="X369">
        <v>-253225.1</v>
      </c>
      <c r="Y369">
        <v>-262245.03000000003</v>
      </c>
      <c r="Z369">
        <v>-291022.8</v>
      </c>
      <c r="AA369">
        <v>-300466.96000000002</v>
      </c>
      <c r="AB369">
        <v>-282013.77</v>
      </c>
      <c r="AC369">
        <v>-290707.11</v>
      </c>
      <c r="AD369">
        <v>-314811.18</v>
      </c>
    </row>
    <row r="370" spans="1:30" x14ac:dyDescent="0.3">
      <c r="A370" t="s">
        <v>100</v>
      </c>
      <c r="B370" t="s">
        <v>39</v>
      </c>
      <c r="C370" t="s">
        <v>41</v>
      </c>
      <c r="D370" t="s">
        <v>30</v>
      </c>
      <c r="E370">
        <v>-8358.64</v>
      </c>
      <c r="F370">
        <v>-5154.66</v>
      </c>
      <c r="G370">
        <v>-9436.66</v>
      </c>
      <c r="H370">
        <v>-4304.68</v>
      </c>
      <c r="I370">
        <v>-4304.66</v>
      </c>
      <c r="J370">
        <v>-4304.66</v>
      </c>
      <c r="K370">
        <v>-4749.12</v>
      </c>
      <c r="L370">
        <v>-5302.1</v>
      </c>
      <c r="M370">
        <v>-8266.6</v>
      </c>
      <c r="N370">
        <v>-1231.6199999999999</v>
      </c>
      <c r="O370">
        <v>-7873.1</v>
      </c>
      <c r="P370">
        <v>-9007.41</v>
      </c>
      <c r="Q370">
        <v>-5050.67</v>
      </c>
      <c r="R370">
        <v>-12146.94</v>
      </c>
      <c r="S370">
        <v>-4989.4799999999996</v>
      </c>
      <c r="T370">
        <v>-4483.95</v>
      </c>
      <c r="U370">
        <v>-157.25</v>
      </c>
      <c r="V370">
        <v>2089.35</v>
      </c>
      <c r="W370">
        <v>2217</v>
      </c>
      <c r="X370">
        <v>-2217</v>
      </c>
      <c r="Y370">
        <v>-2217</v>
      </c>
      <c r="Z370">
        <v>-2219</v>
      </c>
      <c r="AA370">
        <v>-327.07</v>
      </c>
      <c r="AB370">
        <v>-1333.33</v>
      </c>
      <c r="AC370">
        <v>-1337.03</v>
      </c>
      <c r="AD370">
        <v>-3176.67</v>
      </c>
    </row>
    <row r="371" spans="1:30" x14ac:dyDescent="0.3">
      <c r="A371" t="s">
        <v>100</v>
      </c>
      <c r="B371" t="s">
        <v>42</v>
      </c>
      <c r="C371" t="s">
        <v>30</v>
      </c>
      <c r="E371">
        <v>324021.8</v>
      </c>
      <c r="F371">
        <v>202872.2</v>
      </c>
      <c r="G371">
        <v>160970.63</v>
      </c>
      <c r="H371">
        <v>433775.21</v>
      </c>
      <c r="I371">
        <v>87372.95</v>
      </c>
      <c r="J371">
        <v>207812.19</v>
      </c>
      <c r="K371">
        <v>293614.38</v>
      </c>
      <c r="L371">
        <v>220072.14</v>
      </c>
      <c r="M371">
        <v>272973.94</v>
      </c>
      <c r="N371">
        <v>535864.21</v>
      </c>
      <c r="O371">
        <v>264620.75</v>
      </c>
      <c r="P371">
        <v>601561.78</v>
      </c>
      <c r="Q371">
        <v>504969.18</v>
      </c>
      <c r="R371">
        <v>734785.57</v>
      </c>
      <c r="S371">
        <v>670465.1</v>
      </c>
      <c r="T371">
        <v>482414.9</v>
      </c>
      <c r="U371">
        <v>643482.86</v>
      </c>
      <c r="V371">
        <v>510034.09</v>
      </c>
      <c r="W371">
        <v>565914.97</v>
      </c>
      <c r="X371">
        <v>344078.14</v>
      </c>
      <c r="Y371">
        <v>442308.05</v>
      </c>
      <c r="Z371">
        <v>634480.43999999994</v>
      </c>
      <c r="AA371">
        <v>596737.87</v>
      </c>
      <c r="AB371">
        <v>390324.21</v>
      </c>
      <c r="AC371">
        <v>566315.92000000004</v>
      </c>
      <c r="AD371">
        <v>457974.79</v>
      </c>
    </row>
    <row r="372" spans="1:30" x14ac:dyDescent="0.3">
      <c r="A372" t="s">
        <v>100</v>
      </c>
      <c r="B372" t="s">
        <v>43</v>
      </c>
      <c r="C372" t="s">
        <v>30</v>
      </c>
      <c r="E372">
        <v>-134088</v>
      </c>
    </row>
    <row r="373" spans="1:30" x14ac:dyDescent="0.3">
      <c r="A373" t="s">
        <v>100</v>
      </c>
      <c r="B373" t="s">
        <v>43</v>
      </c>
      <c r="C373" t="s">
        <v>123</v>
      </c>
      <c r="D373" t="s">
        <v>30</v>
      </c>
      <c r="E373">
        <v>-51041</v>
      </c>
    </row>
    <row r="374" spans="1:30" x14ac:dyDescent="0.3">
      <c r="A374" t="s">
        <v>100</v>
      </c>
      <c r="B374" t="s">
        <v>43</v>
      </c>
      <c r="C374" t="s">
        <v>124</v>
      </c>
      <c r="D374" t="s">
        <v>30</v>
      </c>
      <c r="E374">
        <v>-83047</v>
      </c>
    </row>
    <row r="375" spans="1:30" x14ac:dyDescent="0.3">
      <c r="A375" t="s">
        <v>100</v>
      </c>
      <c r="B375" t="s">
        <v>44</v>
      </c>
      <c r="C375" t="s">
        <v>30</v>
      </c>
      <c r="E375">
        <v>189933.8</v>
      </c>
      <c r="F375">
        <v>202872.2</v>
      </c>
      <c r="G375">
        <v>160970.63</v>
      </c>
      <c r="H375">
        <v>433775.21</v>
      </c>
      <c r="I375">
        <v>87372.95</v>
      </c>
      <c r="J375">
        <v>207812.19</v>
      </c>
      <c r="K375">
        <v>293614.38</v>
      </c>
      <c r="L375">
        <v>220072.14</v>
      </c>
      <c r="M375">
        <v>272973.94</v>
      </c>
      <c r="N375">
        <v>535864.21</v>
      </c>
      <c r="O375">
        <v>264620.75</v>
      </c>
      <c r="P375">
        <v>601561.78</v>
      </c>
      <c r="Q375">
        <v>504969.18</v>
      </c>
      <c r="R375">
        <v>734785.57</v>
      </c>
      <c r="S375">
        <v>670465.1</v>
      </c>
      <c r="T375">
        <v>482414.9</v>
      </c>
      <c r="U375">
        <v>643482.86</v>
      </c>
      <c r="V375">
        <v>510034.09</v>
      </c>
      <c r="W375">
        <v>565914.97</v>
      </c>
      <c r="X375">
        <v>344078.14</v>
      </c>
      <c r="Y375">
        <v>442308.05</v>
      </c>
      <c r="Z375">
        <v>634480.43999999994</v>
      </c>
      <c r="AA375">
        <v>596737.87</v>
      </c>
      <c r="AB375">
        <v>390324.21</v>
      </c>
      <c r="AC375">
        <v>566315.92000000004</v>
      </c>
      <c r="AD375">
        <v>457974.79</v>
      </c>
    </row>
    <row r="376" spans="1:30" x14ac:dyDescent="0.3">
      <c r="A376" t="s">
        <v>100</v>
      </c>
      <c r="B376" t="s">
        <v>45</v>
      </c>
      <c r="C376" t="s">
        <v>30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</row>
    <row r="377" spans="1:30" x14ac:dyDescent="0.3">
      <c r="A377" t="s">
        <v>100</v>
      </c>
      <c r="B377" t="s">
        <v>46</v>
      </c>
      <c r="C377" t="s">
        <v>30</v>
      </c>
      <c r="E377">
        <v>189933.8</v>
      </c>
      <c r="F377">
        <v>202872.2</v>
      </c>
      <c r="G377">
        <v>160970.63</v>
      </c>
      <c r="H377">
        <v>433775.21</v>
      </c>
      <c r="I377">
        <v>87372.95</v>
      </c>
      <c r="J377">
        <v>207812.19</v>
      </c>
      <c r="K377">
        <v>293614.38</v>
      </c>
      <c r="L377">
        <v>220072.14</v>
      </c>
      <c r="M377">
        <v>272973.94</v>
      </c>
      <c r="N377">
        <v>535864.21</v>
      </c>
      <c r="O377">
        <v>264620.75</v>
      </c>
      <c r="P377">
        <v>601561.78</v>
      </c>
      <c r="Q377">
        <v>504969.18</v>
      </c>
      <c r="R377">
        <v>734785.57</v>
      </c>
      <c r="S377">
        <v>670465.1</v>
      </c>
      <c r="T377">
        <v>482414.9</v>
      </c>
      <c r="U377">
        <v>643482.86</v>
      </c>
      <c r="V377">
        <v>510034.09</v>
      </c>
      <c r="W377">
        <v>565914.97</v>
      </c>
      <c r="X377">
        <v>344078.14</v>
      </c>
      <c r="Y377">
        <v>442308.05</v>
      </c>
      <c r="Z377">
        <v>634480.43999999994</v>
      </c>
      <c r="AA377">
        <v>596737.87</v>
      </c>
      <c r="AB377">
        <v>390324.21</v>
      </c>
      <c r="AC377">
        <v>566315.92000000004</v>
      </c>
      <c r="AD377">
        <v>457974.79</v>
      </c>
    </row>
    <row r="378" spans="1:30" x14ac:dyDescent="0.3">
      <c r="A378" t="s">
        <v>100</v>
      </c>
      <c r="B378" t="s">
        <v>48</v>
      </c>
      <c r="C378" t="s">
        <v>30</v>
      </c>
      <c r="M378">
        <v>-4048</v>
      </c>
      <c r="N378">
        <v>-266.76</v>
      </c>
      <c r="P378">
        <v>-258</v>
      </c>
      <c r="R378">
        <v>-78</v>
      </c>
      <c r="S378">
        <v>2</v>
      </c>
      <c r="T378">
        <v>-106</v>
      </c>
      <c r="Z378">
        <v>-664284</v>
      </c>
    </row>
    <row r="379" spans="1:30" x14ac:dyDescent="0.3">
      <c r="A379" t="s">
        <v>100</v>
      </c>
      <c r="B379" t="s">
        <v>30</v>
      </c>
      <c r="C379" t="s">
        <v>30</v>
      </c>
      <c r="E379">
        <v>189933.8</v>
      </c>
      <c r="F379">
        <v>202872.2</v>
      </c>
      <c r="G379">
        <v>160970.63</v>
      </c>
      <c r="H379">
        <v>433775.21</v>
      </c>
      <c r="I379">
        <v>87372.95</v>
      </c>
      <c r="J379">
        <v>207812.19</v>
      </c>
      <c r="K379">
        <v>293614.38</v>
      </c>
      <c r="L379">
        <v>220072.14</v>
      </c>
      <c r="M379">
        <v>268925.94</v>
      </c>
      <c r="N379">
        <v>535597.44999999995</v>
      </c>
      <c r="O379">
        <v>264620.75</v>
      </c>
      <c r="P379">
        <v>601303.78</v>
      </c>
      <c r="Q379">
        <v>504969.18</v>
      </c>
      <c r="R379">
        <v>734707.57</v>
      </c>
      <c r="S379">
        <v>670467.1</v>
      </c>
      <c r="T379">
        <v>482308.9</v>
      </c>
      <c r="U379">
        <v>643482.86</v>
      </c>
      <c r="V379">
        <v>510034.09</v>
      </c>
      <c r="W379">
        <v>565914.97</v>
      </c>
      <c r="X379">
        <v>344078.14</v>
      </c>
      <c r="Y379">
        <v>442308.05</v>
      </c>
      <c r="Z379">
        <v>-29803.56</v>
      </c>
      <c r="AA379">
        <v>596737.87</v>
      </c>
      <c r="AB379">
        <v>390324.21</v>
      </c>
      <c r="AC379">
        <v>566315.92000000004</v>
      </c>
      <c r="AD379">
        <v>457974.79</v>
      </c>
    </row>
    <row r="380" spans="1:30" x14ac:dyDescent="0.3">
      <c r="A380" t="s">
        <v>100</v>
      </c>
      <c r="B380" t="s">
        <v>30</v>
      </c>
    </row>
    <row r="381" spans="1:30" x14ac:dyDescent="0.3">
      <c r="A381" t="s">
        <v>100</v>
      </c>
    </row>
    <row r="382" spans="1:30" x14ac:dyDescent="0.3">
      <c r="A382" t="s">
        <v>100</v>
      </c>
      <c r="B382" t="s">
        <v>142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11F40-8DC6-4609-B76A-26C976DE7C85}">
  <dimension ref="B4:AF105"/>
  <sheetViews>
    <sheetView zoomScale="80" zoomScaleNormal="80" workbookViewId="0">
      <pane xSplit="2" ySplit="3" topLeftCell="Z28" activePane="bottomRight" state="frozen"/>
      <selection pane="topRight" activeCell="C1" sqref="C1"/>
      <selection pane="bottomLeft" activeCell="A4" sqref="A4"/>
      <selection pane="bottomRight" activeCell="AB36" sqref="AB36:AC36"/>
    </sheetView>
  </sheetViews>
  <sheetFormatPr defaultRowHeight="14.4" x14ac:dyDescent="0.3"/>
  <cols>
    <col min="2" max="2" width="40" bestFit="1" customWidth="1"/>
    <col min="3" max="3" width="12.5546875" customWidth="1"/>
    <col min="4" max="4" width="12.5546875" bestFit="1" customWidth="1"/>
    <col min="5" max="5" width="12.109375" bestFit="1" customWidth="1"/>
    <col min="6" max="12" width="12.5546875" bestFit="1" customWidth="1"/>
    <col min="13" max="13" width="12.109375" bestFit="1" customWidth="1"/>
    <col min="14" max="14" width="12.5546875" bestFit="1" customWidth="1"/>
    <col min="15" max="18" width="12.109375" bestFit="1" customWidth="1"/>
    <col min="19" max="19" width="12.5546875" bestFit="1" customWidth="1"/>
    <col min="20" max="20" width="12.109375" bestFit="1" customWidth="1"/>
    <col min="21" max="21" width="12.5546875" bestFit="1" customWidth="1"/>
    <col min="22" max="22" width="12.88671875" customWidth="1"/>
    <col min="23" max="23" width="13.44140625" customWidth="1"/>
    <col min="24" max="24" width="12.33203125" customWidth="1"/>
    <col min="25" max="25" width="11.5546875" bestFit="1" customWidth="1"/>
    <col min="26" max="26" width="12.33203125" customWidth="1"/>
    <col min="27" max="27" width="11.6640625" customWidth="1"/>
    <col min="28" max="28" width="12.5546875" customWidth="1"/>
    <col min="29" max="29" width="18.88671875" bestFit="1" customWidth="1"/>
  </cols>
  <sheetData>
    <row r="4" spans="2:31" x14ac:dyDescent="0.3">
      <c r="B4" s="3" t="s">
        <v>14</v>
      </c>
      <c r="C4">
        <v>202312</v>
      </c>
      <c r="D4">
        <v>202401</v>
      </c>
      <c r="E4">
        <v>202402</v>
      </c>
      <c r="F4">
        <v>202403</v>
      </c>
      <c r="G4">
        <v>202404</v>
      </c>
      <c r="H4">
        <v>202405</v>
      </c>
      <c r="I4">
        <v>202406</v>
      </c>
      <c r="J4">
        <v>202407</v>
      </c>
      <c r="K4">
        <v>202408</v>
      </c>
      <c r="L4">
        <v>202409</v>
      </c>
      <c r="M4">
        <v>202410</v>
      </c>
      <c r="N4">
        <v>202411</v>
      </c>
      <c r="O4">
        <v>202412</v>
      </c>
      <c r="P4">
        <v>202501</v>
      </c>
      <c r="Q4">
        <v>202502</v>
      </c>
      <c r="R4">
        <v>202503</v>
      </c>
      <c r="S4">
        <v>202504</v>
      </c>
      <c r="T4">
        <v>202505</v>
      </c>
      <c r="U4">
        <v>202506</v>
      </c>
      <c r="V4">
        <v>202507</v>
      </c>
      <c r="W4">
        <v>202508</v>
      </c>
      <c r="X4">
        <v>202509</v>
      </c>
      <c r="Y4">
        <v>202510</v>
      </c>
      <c r="Z4">
        <v>202511</v>
      </c>
      <c r="AA4">
        <v>202512</v>
      </c>
      <c r="AB4">
        <v>202601</v>
      </c>
      <c r="AC4">
        <v>202602</v>
      </c>
      <c r="AD4" t="s">
        <v>119</v>
      </c>
      <c r="AE4" t="s">
        <v>113</v>
      </c>
    </row>
    <row r="5" spans="2:31" x14ac:dyDescent="0.3">
      <c r="B5" t="s">
        <v>12</v>
      </c>
      <c r="C5">
        <v>5094</v>
      </c>
      <c r="D5">
        <v>5121</v>
      </c>
      <c r="E5">
        <v>5169</v>
      </c>
      <c r="F5">
        <v>5181</v>
      </c>
      <c r="G5">
        <v>5163</v>
      </c>
      <c r="H5">
        <v>5188</v>
      </c>
      <c r="I5">
        <v>5209</v>
      </c>
      <c r="J5">
        <v>5191</v>
      </c>
      <c r="K5">
        <v>5206</v>
      </c>
      <c r="L5">
        <v>5220</v>
      </c>
      <c r="M5">
        <v>5284</v>
      </c>
      <c r="N5">
        <v>5400</v>
      </c>
      <c r="O5">
        <v>5493</v>
      </c>
      <c r="P5">
        <v>6477</v>
      </c>
      <c r="Q5">
        <v>6493</v>
      </c>
      <c r="R5">
        <v>6484</v>
      </c>
      <c r="S5">
        <v>6465</v>
      </c>
      <c r="T5">
        <v>6467</v>
      </c>
      <c r="U5">
        <v>6437</v>
      </c>
      <c r="V5">
        <v>6417</v>
      </c>
      <c r="W5">
        <v>6399</v>
      </c>
      <c r="X5">
        <v>6404</v>
      </c>
      <c r="Y5">
        <v>6376</v>
      </c>
      <c r="Z5">
        <v>6338</v>
      </c>
      <c r="AA5">
        <v>6299</v>
      </c>
      <c r="AB5">
        <v>6276</v>
      </c>
      <c r="AC5">
        <v>6258</v>
      </c>
      <c r="AD5">
        <v>4020</v>
      </c>
      <c r="AE5">
        <f>AC5-AB5</f>
        <v>-18</v>
      </c>
    </row>
    <row r="6" spans="2:31" x14ac:dyDescent="0.3">
      <c r="B6" t="s">
        <v>0</v>
      </c>
      <c r="C6">
        <v>5557</v>
      </c>
      <c r="D6">
        <v>5568</v>
      </c>
      <c r="E6">
        <v>5578</v>
      </c>
      <c r="F6">
        <v>5589</v>
      </c>
      <c r="G6">
        <v>5608</v>
      </c>
      <c r="H6">
        <v>5603</v>
      </c>
      <c r="I6">
        <v>5580</v>
      </c>
      <c r="J6">
        <v>5601</v>
      </c>
      <c r="K6">
        <v>5627</v>
      </c>
      <c r="L6">
        <v>5653</v>
      </c>
      <c r="M6">
        <v>5691</v>
      </c>
      <c r="N6">
        <v>5786</v>
      </c>
      <c r="O6">
        <v>5872</v>
      </c>
      <c r="P6">
        <v>6055</v>
      </c>
      <c r="Q6">
        <v>6038</v>
      </c>
      <c r="R6">
        <v>6037</v>
      </c>
      <c r="S6">
        <v>6036</v>
      </c>
      <c r="T6">
        <v>6015</v>
      </c>
      <c r="U6">
        <v>6004</v>
      </c>
      <c r="V6">
        <v>6018</v>
      </c>
      <c r="W6">
        <v>6001</v>
      </c>
      <c r="X6">
        <v>5975</v>
      </c>
      <c r="Y6">
        <v>5990</v>
      </c>
      <c r="Z6">
        <v>5984</v>
      </c>
      <c r="AA6">
        <v>5971</v>
      </c>
      <c r="AB6">
        <v>5981</v>
      </c>
      <c r="AC6">
        <v>5963</v>
      </c>
      <c r="AD6">
        <v>302</v>
      </c>
      <c r="AE6">
        <f t="shared" ref="AE6:AE18" si="0">AC6-AB6</f>
        <v>-18</v>
      </c>
    </row>
    <row r="7" spans="2:31" x14ac:dyDescent="0.3">
      <c r="B7" t="s">
        <v>2</v>
      </c>
      <c r="C7">
        <v>4304</v>
      </c>
      <c r="D7">
        <v>4262</v>
      </c>
      <c r="E7">
        <v>4221</v>
      </c>
      <c r="F7">
        <v>4188</v>
      </c>
      <c r="G7">
        <v>4176</v>
      </c>
      <c r="H7">
        <v>4152</v>
      </c>
      <c r="I7">
        <v>4144</v>
      </c>
      <c r="J7">
        <v>4155</v>
      </c>
      <c r="K7">
        <v>4149</v>
      </c>
      <c r="L7">
        <v>4170</v>
      </c>
      <c r="M7">
        <v>4145</v>
      </c>
      <c r="N7">
        <v>4147</v>
      </c>
      <c r="O7">
        <v>4146</v>
      </c>
      <c r="P7">
        <v>4422</v>
      </c>
      <c r="Q7">
        <v>4403</v>
      </c>
      <c r="R7">
        <v>4388</v>
      </c>
      <c r="S7">
        <v>4379</v>
      </c>
      <c r="T7">
        <v>4379</v>
      </c>
      <c r="U7">
        <v>4352</v>
      </c>
      <c r="V7">
        <v>4329</v>
      </c>
      <c r="W7">
        <v>4320</v>
      </c>
      <c r="X7">
        <v>4293</v>
      </c>
      <c r="Y7">
        <v>4287</v>
      </c>
      <c r="Z7">
        <v>4273</v>
      </c>
      <c r="AA7">
        <v>4266</v>
      </c>
      <c r="AB7">
        <v>4251</v>
      </c>
      <c r="AC7">
        <v>4226</v>
      </c>
      <c r="AD7">
        <v>304</v>
      </c>
      <c r="AE7">
        <f t="shared" si="0"/>
        <v>-25</v>
      </c>
    </row>
    <row r="8" spans="2:31" x14ac:dyDescent="0.3">
      <c r="B8" t="s">
        <v>13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195</v>
      </c>
      <c r="M8">
        <v>358</v>
      </c>
      <c r="N8">
        <v>469</v>
      </c>
      <c r="O8">
        <v>546</v>
      </c>
      <c r="P8">
        <v>635</v>
      </c>
      <c r="Q8">
        <v>705</v>
      </c>
      <c r="R8">
        <v>767</v>
      </c>
      <c r="S8">
        <v>826</v>
      </c>
      <c r="T8">
        <v>878</v>
      </c>
      <c r="U8">
        <v>954</v>
      </c>
      <c r="V8">
        <v>1025</v>
      </c>
      <c r="W8">
        <v>1153</v>
      </c>
      <c r="X8">
        <v>1275</v>
      </c>
      <c r="Y8">
        <v>1376</v>
      </c>
      <c r="Z8">
        <v>1456</v>
      </c>
      <c r="AA8">
        <v>1521</v>
      </c>
      <c r="AB8">
        <v>1613</v>
      </c>
      <c r="AC8">
        <v>1679</v>
      </c>
      <c r="AD8">
        <v>15</v>
      </c>
      <c r="AE8">
        <f t="shared" si="0"/>
        <v>66</v>
      </c>
    </row>
    <row r="9" spans="2:31" x14ac:dyDescent="0.3">
      <c r="B9" t="s">
        <v>8</v>
      </c>
      <c r="C9">
        <v>1621</v>
      </c>
      <c r="D9">
        <v>1615</v>
      </c>
      <c r="E9">
        <v>1609</v>
      </c>
      <c r="F9">
        <v>1604</v>
      </c>
      <c r="G9">
        <v>1599</v>
      </c>
      <c r="H9">
        <v>1591</v>
      </c>
      <c r="I9">
        <v>1577</v>
      </c>
      <c r="J9">
        <v>1568</v>
      </c>
      <c r="K9">
        <v>1548</v>
      </c>
      <c r="L9">
        <v>1546</v>
      </c>
      <c r="M9">
        <v>1556</v>
      </c>
      <c r="N9">
        <v>1566</v>
      </c>
      <c r="O9">
        <v>1570</v>
      </c>
      <c r="P9">
        <v>1627</v>
      </c>
      <c r="Q9">
        <v>1617</v>
      </c>
      <c r="R9">
        <v>1623</v>
      </c>
      <c r="S9">
        <v>1609</v>
      </c>
      <c r="T9">
        <v>1602</v>
      </c>
      <c r="U9">
        <v>1588</v>
      </c>
      <c r="V9">
        <v>1573</v>
      </c>
      <c r="W9">
        <v>1561</v>
      </c>
      <c r="X9">
        <v>1547</v>
      </c>
      <c r="Y9">
        <v>1539</v>
      </c>
      <c r="Z9">
        <v>1531</v>
      </c>
      <c r="AA9">
        <v>1524</v>
      </c>
      <c r="AB9">
        <v>1506</v>
      </c>
      <c r="AC9">
        <v>1501</v>
      </c>
      <c r="AD9">
        <v>303</v>
      </c>
      <c r="AE9">
        <f t="shared" si="0"/>
        <v>-5</v>
      </c>
    </row>
    <row r="10" spans="2:31" x14ac:dyDescent="0.3">
      <c r="B10" t="s">
        <v>4</v>
      </c>
      <c r="C10">
        <v>8160</v>
      </c>
      <c r="D10">
        <v>8140</v>
      </c>
      <c r="E10">
        <v>8115</v>
      </c>
      <c r="F10">
        <v>8102</v>
      </c>
      <c r="G10">
        <v>8110</v>
      </c>
      <c r="H10">
        <v>8098</v>
      </c>
      <c r="I10">
        <v>8097</v>
      </c>
      <c r="J10">
        <v>8077</v>
      </c>
      <c r="K10">
        <v>8085</v>
      </c>
      <c r="L10">
        <v>8125</v>
      </c>
      <c r="M10">
        <v>8128</v>
      </c>
      <c r="N10">
        <v>8130</v>
      </c>
      <c r="O10">
        <v>8148</v>
      </c>
      <c r="P10">
        <v>8168</v>
      </c>
      <c r="Q10">
        <v>8167</v>
      </c>
      <c r="R10">
        <v>8191</v>
      </c>
      <c r="S10">
        <v>8187</v>
      </c>
      <c r="T10">
        <v>8155</v>
      </c>
      <c r="U10">
        <v>8133</v>
      </c>
      <c r="V10">
        <v>8129</v>
      </c>
      <c r="W10">
        <v>8149</v>
      </c>
      <c r="X10">
        <v>8158</v>
      </c>
      <c r="Y10">
        <v>8143</v>
      </c>
      <c r="Z10">
        <v>8124</v>
      </c>
      <c r="AA10">
        <v>8088</v>
      </c>
      <c r="AB10">
        <v>8033</v>
      </c>
      <c r="AC10">
        <v>8009</v>
      </c>
      <c r="AD10">
        <v>102</v>
      </c>
      <c r="AE10">
        <f t="shared" si="0"/>
        <v>-24</v>
      </c>
    </row>
    <row r="11" spans="2:31" x14ac:dyDescent="0.3">
      <c r="B11" t="s">
        <v>7</v>
      </c>
      <c r="C11">
        <v>6273</v>
      </c>
      <c r="D11">
        <v>6299</v>
      </c>
      <c r="E11">
        <v>6278</v>
      </c>
      <c r="F11">
        <v>6310</v>
      </c>
      <c r="G11">
        <v>6311</v>
      </c>
      <c r="H11">
        <v>6327</v>
      </c>
      <c r="I11">
        <v>6321</v>
      </c>
      <c r="J11">
        <v>6371</v>
      </c>
      <c r="K11">
        <v>6451</v>
      </c>
      <c r="L11">
        <v>6525</v>
      </c>
      <c r="M11">
        <v>6612</v>
      </c>
      <c r="N11">
        <v>6650</v>
      </c>
      <c r="O11">
        <v>6670</v>
      </c>
      <c r="P11">
        <v>6731</v>
      </c>
      <c r="Q11">
        <v>6754</v>
      </c>
      <c r="R11">
        <v>6820</v>
      </c>
      <c r="S11">
        <v>6816</v>
      </c>
      <c r="T11">
        <v>6869</v>
      </c>
      <c r="U11">
        <v>6890</v>
      </c>
      <c r="V11">
        <v>6878</v>
      </c>
      <c r="W11">
        <v>6918</v>
      </c>
      <c r="X11">
        <v>6940</v>
      </c>
      <c r="Y11">
        <v>6966</v>
      </c>
      <c r="Z11">
        <v>6951</v>
      </c>
      <c r="AA11">
        <v>6977</v>
      </c>
      <c r="AB11">
        <v>6971</v>
      </c>
      <c r="AC11">
        <v>6969</v>
      </c>
      <c r="AD11">
        <v>103</v>
      </c>
      <c r="AE11">
        <f t="shared" si="0"/>
        <v>-2</v>
      </c>
    </row>
    <row r="12" spans="2:31" x14ac:dyDescent="0.3">
      <c r="B12" t="s">
        <v>6</v>
      </c>
      <c r="C12">
        <v>3982</v>
      </c>
      <c r="D12">
        <v>4021</v>
      </c>
      <c r="E12">
        <v>4081</v>
      </c>
      <c r="F12">
        <v>4136</v>
      </c>
      <c r="G12">
        <v>4144</v>
      </c>
      <c r="H12">
        <v>4146</v>
      </c>
      <c r="I12">
        <v>4073</v>
      </c>
      <c r="J12">
        <v>4038</v>
      </c>
      <c r="K12">
        <v>4065</v>
      </c>
      <c r="L12">
        <v>4093</v>
      </c>
      <c r="M12">
        <v>4105</v>
      </c>
      <c r="N12">
        <v>4094</v>
      </c>
      <c r="O12">
        <v>4106</v>
      </c>
      <c r="P12">
        <v>4161</v>
      </c>
      <c r="Q12">
        <v>4169</v>
      </c>
      <c r="R12">
        <v>4194</v>
      </c>
      <c r="S12">
        <v>4180</v>
      </c>
      <c r="T12">
        <v>4219</v>
      </c>
      <c r="U12">
        <v>4224</v>
      </c>
      <c r="V12">
        <v>4223</v>
      </c>
      <c r="W12">
        <v>4253</v>
      </c>
      <c r="X12">
        <v>4265</v>
      </c>
      <c r="Y12">
        <v>4270</v>
      </c>
      <c r="Z12">
        <v>4280</v>
      </c>
      <c r="AA12">
        <v>4285</v>
      </c>
      <c r="AB12">
        <v>4325</v>
      </c>
      <c r="AC12">
        <v>4332</v>
      </c>
      <c r="AD12">
        <v>110</v>
      </c>
      <c r="AE12">
        <f t="shared" si="0"/>
        <v>7</v>
      </c>
    </row>
    <row r="13" spans="2:31" x14ac:dyDescent="0.3">
      <c r="B13" t="s">
        <v>5</v>
      </c>
      <c r="C13">
        <v>1568</v>
      </c>
      <c r="D13">
        <v>1565</v>
      </c>
      <c r="E13">
        <v>1561</v>
      </c>
      <c r="F13">
        <v>1558</v>
      </c>
      <c r="G13">
        <v>1552</v>
      </c>
      <c r="H13">
        <v>1552</v>
      </c>
      <c r="I13">
        <v>1573</v>
      </c>
      <c r="J13">
        <v>1584</v>
      </c>
      <c r="K13">
        <v>1570</v>
      </c>
      <c r="L13">
        <v>1577</v>
      </c>
      <c r="M13">
        <v>1578</v>
      </c>
      <c r="N13">
        <v>1564</v>
      </c>
      <c r="O13">
        <v>1553</v>
      </c>
      <c r="P13">
        <v>1556</v>
      </c>
      <c r="Q13">
        <v>1558</v>
      </c>
      <c r="R13">
        <v>1567</v>
      </c>
      <c r="S13">
        <v>1553</v>
      </c>
      <c r="T13">
        <v>1541</v>
      </c>
      <c r="U13">
        <v>1541</v>
      </c>
      <c r="V13">
        <v>1539</v>
      </c>
      <c r="W13">
        <v>1539</v>
      </c>
      <c r="X13">
        <v>1527</v>
      </c>
      <c r="Y13">
        <v>1519</v>
      </c>
      <c r="Z13">
        <v>1511</v>
      </c>
      <c r="AA13">
        <v>1528</v>
      </c>
      <c r="AB13">
        <v>1541</v>
      </c>
      <c r="AC13">
        <v>1535</v>
      </c>
      <c r="AD13">
        <v>109</v>
      </c>
      <c r="AE13">
        <f t="shared" si="0"/>
        <v>-6</v>
      </c>
    </row>
    <row r="14" spans="2:31" x14ac:dyDescent="0.3">
      <c r="B14" t="s">
        <v>11</v>
      </c>
      <c r="C14">
        <v>6618</v>
      </c>
      <c r="D14">
        <v>6636</v>
      </c>
      <c r="E14">
        <v>6673</v>
      </c>
      <c r="F14">
        <v>6670</v>
      </c>
      <c r="G14">
        <v>6649</v>
      </c>
      <c r="H14">
        <v>6656</v>
      </c>
      <c r="I14">
        <v>6652</v>
      </c>
      <c r="J14">
        <v>6631</v>
      </c>
      <c r="K14">
        <v>6675</v>
      </c>
      <c r="L14">
        <v>6695</v>
      </c>
      <c r="M14">
        <v>6725</v>
      </c>
      <c r="N14">
        <v>6758</v>
      </c>
      <c r="O14">
        <v>6751</v>
      </c>
      <c r="P14">
        <v>6992</v>
      </c>
      <c r="Q14">
        <v>6983</v>
      </c>
      <c r="R14">
        <v>6967</v>
      </c>
      <c r="S14">
        <v>6959</v>
      </c>
      <c r="T14">
        <v>6866</v>
      </c>
      <c r="U14">
        <v>6774</v>
      </c>
      <c r="V14">
        <v>6712</v>
      </c>
      <c r="W14">
        <v>6696</v>
      </c>
      <c r="X14">
        <v>6634</v>
      </c>
      <c r="Y14">
        <v>6564</v>
      </c>
      <c r="Z14">
        <v>6537</v>
      </c>
      <c r="AA14">
        <v>6481</v>
      </c>
      <c r="AB14">
        <v>6448</v>
      </c>
      <c r="AC14">
        <v>6431</v>
      </c>
      <c r="AD14">
        <v>106</v>
      </c>
      <c r="AE14">
        <f t="shared" si="0"/>
        <v>-17</v>
      </c>
    </row>
    <row r="15" spans="2:31" x14ac:dyDescent="0.3">
      <c r="B15" t="s">
        <v>1</v>
      </c>
      <c r="C15">
        <v>6259</v>
      </c>
      <c r="D15">
        <v>6254</v>
      </c>
      <c r="E15">
        <v>6241</v>
      </c>
      <c r="F15">
        <v>6271</v>
      </c>
      <c r="G15">
        <v>6277</v>
      </c>
      <c r="H15">
        <v>6292</v>
      </c>
      <c r="I15">
        <v>6303</v>
      </c>
      <c r="J15">
        <v>6305</v>
      </c>
      <c r="K15">
        <v>6353</v>
      </c>
      <c r="L15">
        <v>6406</v>
      </c>
      <c r="M15">
        <v>6421</v>
      </c>
      <c r="N15">
        <v>6425</v>
      </c>
      <c r="O15">
        <v>6444</v>
      </c>
      <c r="P15">
        <v>6525</v>
      </c>
      <c r="Q15">
        <v>6515</v>
      </c>
      <c r="R15">
        <v>6537</v>
      </c>
      <c r="S15">
        <v>6546</v>
      </c>
      <c r="T15">
        <v>6536</v>
      </c>
      <c r="U15">
        <v>6520</v>
      </c>
      <c r="V15">
        <v>6512</v>
      </c>
      <c r="W15">
        <v>6508</v>
      </c>
      <c r="X15">
        <v>6490</v>
      </c>
      <c r="Y15">
        <v>6477</v>
      </c>
      <c r="Z15">
        <v>6446</v>
      </c>
      <c r="AA15">
        <v>6420</v>
      </c>
      <c r="AB15">
        <v>6381</v>
      </c>
      <c r="AC15">
        <v>6372</v>
      </c>
      <c r="AD15">
        <v>104</v>
      </c>
      <c r="AE15">
        <f t="shared" si="0"/>
        <v>-9</v>
      </c>
    </row>
    <row r="16" spans="2:31" x14ac:dyDescent="0.3">
      <c r="B16" t="s">
        <v>10</v>
      </c>
      <c r="C16">
        <v>3444</v>
      </c>
      <c r="D16">
        <v>3486</v>
      </c>
      <c r="E16">
        <v>3544</v>
      </c>
      <c r="F16">
        <v>3620</v>
      </c>
      <c r="G16">
        <v>3666</v>
      </c>
      <c r="H16">
        <v>3727</v>
      </c>
      <c r="I16">
        <v>3769</v>
      </c>
      <c r="J16">
        <v>3827</v>
      </c>
      <c r="K16">
        <v>3912</v>
      </c>
      <c r="L16">
        <v>4013</v>
      </c>
      <c r="M16">
        <v>4114</v>
      </c>
      <c r="N16">
        <v>4170</v>
      </c>
      <c r="O16">
        <v>4217</v>
      </c>
      <c r="P16">
        <v>4374</v>
      </c>
      <c r="Q16">
        <v>4451</v>
      </c>
      <c r="R16">
        <v>4498</v>
      </c>
      <c r="S16">
        <v>4487</v>
      </c>
      <c r="T16">
        <v>4503</v>
      </c>
      <c r="U16">
        <v>4528</v>
      </c>
      <c r="V16">
        <v>4546</v>
      </c>
      <c r="W16">
        <v>4619</v>
      </c>
      <c r="X16">
        <v>4679</v>
      </c>
      <c r="Y16">
        <v>4707</v>
      </c>
      <c r="Z16">
        <v>4740</v>
      </c>
      <c r="AA16">
        <v>4776</v>
      </c>
      <c r="AB16">
        <v>4809</v>
      </c>
      <c r="AC16">
        <v>4845</v>
      </c>
      <c r="AD16">
        <v>111</v>
      </c>
      <c r="AE16">
        <f t="shared" si="0"/>
        <v>36</v>
      </c>
    </row>
    <row r="17" spans="2:31" ht="14.25" customHeight="1" x14ac:dyDescent="0.3">
      <c r="B17" t="s">
        <v>9</v>
      </c>
      <c r="C17">
        <v>5788</v>
      </c>
      <c r="D17">
        <v>5780</v>
      </c>
      <c r="E17">
        <v>5783</v>
      </c>
      <c r="F17">
        <v>5791</v>
      </c>
      <c r="G17">
        <v>5829</v>
      </c>
      <c r="H17">
        <v>5846</v>
      </c>
      <c r="I17">
        <v>5857</v>
      </c>
      <c r="J17">
        <v>5871</v>
      </c>
      <c r="K17">
        <v>5876</v>
      </c>
      <c r="L17">
        <v>5841</v>
      </c>
      <c r="M17">
        <v>5848</v>
      </c>
      <c r="N17">
        <v>5847</v>
      </c>
      <c r="O17">
        <v>5845</v>
      </c>
      <c r="P17">
        <v>5827</v>
      </c>
      <c r="Q17">
        <v>5797</v>
      </c>
      <c r="R17">
        <v>5798</v>
      </c>
      <c r="S17">
        <v>5799</v>
      </c>
      <c r="T17">
        <v>5780</v>
      </c>
      <c r="U17">
        <v>5786</v>
      </c>
      <c r="V17">
        <v>5761</v>
      </c>
      <c r="W17">
        <v>5738</v>
      </c>
      <c r="X17">
        <v>5710</v>
      </c>
      <c r="Y17">
        <v>5688</v>
      </c>
      <c r="Z17">
        <v>5659</v>
      </c>
      <c r="AA17">
        <v>5635</v>
      </c>
      <c r="AB17">
        <v>5621</v>
      </c>
      <c r="AC17">
        <v>5623</v>
      </c>
      <c r="AD17">
        <v>107</v>
      </c>
      <c r="AE17">
        <f t="shared" si="0"/>
        <v>2</v>
      </c>
    </row>
    <row r="18" spans="2:31" x14ac:dyDescent="0.3">
      <c r="B18" t="s">
        <v>3</v>
      </c>
      <c r="C18">
        <v>5092</v>
      </c>
      <c r="D18">
        <v>5091</v>
      </c>
      <c r="E18">
        <v>5085</v>
      </c>
      <c r="F18">
        <v>5063</v>
      </c>
      <c r="G18">
        <v>5057</v>
      </c>
      <c r="H18">
        <v>5057</v>
      </c>
      <c r="I18">
        <v>5054</v>
      </c>
      <c r="J18">
        <v>5059</v>
      </c>
      <c r="K18">
        <v>5045</v>
      </c>
      <c r="L18">
        <v>5032</v>
      </c>
      <c r="M18">
        <v>5035</v>
      </c>
      <c r="N18">
        <v>5061</v>
      </c>
      <c r="O18">
        <v>5063</v>
      </c>
      <c r="P18">
        <v>5052</v>
      </c>
      <c r="Q18">
        <v>5075</v>
      </c>
      <c r="R18">
        <v>5063</v>
      </c>
      <c r="S18">
        <v>5030</v>
      </c>
      <c r="T18">
        <v>5041</v>
      </c>
      <c r="U18">
        <v>5030</v>
      </c>
      <c r="V18">
        <v>5020</v>
      </c>
      <c r="W18">
        <v>5022</v>
      </c>
      <c r="X18">
        <v>5013</v>
      </c>
      <c r="Y18">
        <v>5009</v>
      </c>
      <c r="Z18">
        <v>5019</v>
      </c>
      <c r="AA18">
        <v>5028</v>
      </c>
      <c r="AB18">
        <v>5043</v>
      </c>
      <c r="AC18">
        <v>5034</v>
      </c>
      <c r="AD18">
        <v>108</v>
      </c>
      <c r="AE18">
        <f t="shared" si="0"/>
        <v>-9</v>
      </c>
    </row>
    <row r="19" spans="2:31" x14ac:dyDescent="0.3">
      <c r="C19">
        <f>SUM(C5:C18)</f>
        <v>63760</v>
      </c>
      <c r="D19">
        <f t="shared" ref="D19:Q19" si="1">SUM(D5:D18)</f>
        <v>63838</v>
      </c>
      <c r="E19">
        <f t="shared" si="1"/>
        <v>63938</v>
      </c>
      <c r="F19">
        <f t="shared" si="1"/>
        <v>64083</v>
      </c>
      <c r="G19">
        <f t="shared" si="1"/>
        <v>64141</v>
      </c>
      <c r="H19">
        <f t="shared" si="1"/>
        <v>64235</v>
      </c>
      <c r="I19">
        <f t="shared" si="1"/>
        <v>64209</v>
      </c>
      <c r="J19">
        <f t="shared" si="1"/>
        <v>64278</v>
      </c>
      <c r="K19">
        <f t="shared" si="1"/>
        <v>64562</v>
      </c>
      <c r="L19">
        <f t="shared" si="1"/>
        <v>65091</v>
      </c>
      <c r="M19">
        <f t="shared" si="1"/>
        <v>65600</v>
      </c>
      <c r="N19">
        <f t="shared" si="1"/>
        <v>66067</v>
      </c>
      <c r="O19">
        <f t="shared" si="1"/>
        <v>66424</v>
      </c>
      <c r="P19">
        <f t="shared" si="1"/>
        <v>68602</v>
      </c>
      <c r="Q19">
        <f t="shared" si="1"/>
        <v>68725</v>
      </c>
      <c r="R19">
        <f t="shared" ref="R19:X19" si="2">SUM(R5:R18)</f>
        <v>68934</v>
      </c>
      <c r="S19">
        <f t="shared" si="2"/>
        <v>68872</v>
      </c>
      <c r="T19">
        <f t="shared" si="2"/>
        <v>68851</v>
      </c>
      <c r="U19">
        <f t="shared" si="2"/>
        <v>68761</v>
      </c>
      <c r="V19">
        <f t="shared" si="2"/>
        <v>68682</v>
      </c>
      <c r="W19">
        <f t="shared" si="2"/>
        <v>68876</v>
      </c>
      <c r="X19">
        <f t="shared" si="2"/>
        <v>68910</v>
      </c>
      <c r="Y19">
        <f>SUM(Y5:Y18)</f>
        <v>68911</v>
      </c>
      <c r="Z19">
        <f>SUM(Z5:Z18)</f>
        <v>68849</v>
      </c>
      <c r="AA19">
        <f>SUM(AA5:AA18)</f>
        <v>68799</v>
      </c>
      <c r="AB19">
        <f>SUM(AB5:AB18)</f>
        <v>68799</v>
      </c>
      <c r="AC19">
        <f>SUM(AC5:AC18)</f>
        <v>68777</v>
      </c>
      <c r="AE19">
        <f>AC19-AB19</f>
        <v>-22</v>
      </c>
    </row>
    <row r="20" spans="2:31" x14ac:dyDescent="0.3">
      <c r="C20" s="20"/>
      <c r="D20" s="20">
        <f>D19-C19</f>
        <v>78</v>
      </c>
      <c r="E20" s="20">
        <f t="shared" ref="E20:R20" si="3">E19-D19</f>
        <v>100</v>
      </c>
      <c r="F20" s="20">
        <f t="shared" si="3"/>
        <v>145</v>
      </c>
      <c r="G20" s="20">
        <f t="shared" si="3"/>
        <v>58</v>
      </c>
      <c r="H20" s="20">
        <f t="shared" si="3"/>
        <v>94</v>
      </c>
      <c r="I20" s="20">
        <f t="shared" si="3"/>
        <v>-26</v>
      </c>
      <c r="J20" s="20">
        <f t="shared" si="3"/>
        <v>69</v>
      </c>
      <c r="K20" s="20">
        <f t="shared" si="3"/>
        <v>284</v>
      </c>
      <c r="L20" s="20">
        <f t="shared" si="3"/>
        <v>529</v>
      </c>
      <c r="M20" s="20">
        <f t="shared" si="3"/>
        <v>509</v>
      </c>
      <c r="N20" s="20">
        <f t="shared" si="3"/>
        <v>467</v>
      </c>
      <c r="O20" s="20">
        <f t="shared" si="3"/>
        <v>357</v>
      </c>
      <c r="P20" s="20">
        <f t="shared" si="3"/>
        <v>2178</v>
      </c>
      <c r="Q20" s="20">
        <f t="shared" si="3"/>
        <v>123</v>
      </c>
      <c r="R20" s="20">
        <f t="shared" si="3"/>
        <v>209</v>
      </c>
      <c r="S20" s="20">
        <f>S19-R19</f>
        <v>-62</v>
      </c>
      <c r="T20" s="20">
        <f>T19-S19</f>
        <v>-21</v>
      </c>
      <c r="U20" s="20">
        <f>U19-T19</f>
        <v>-90</v>
      </c>
      <c r="V20" s="20">
        <f>V19-U19</f>
        <v>-79</v>
      </c>
      <c r="W20" s="20">
        <f>W19-V19</f>
        <v>194</v>
      </c>
      <c r="X20" s="20">
        <f t="shared" ref="X20:Y20" si="4">X19-W19</f>
        <v>34</v>
      </c>
      <c r="Y20" s="20">
        <f t="shared" si="4"/>
        <v>1</v>
      </c>
      <c r="Z20" s="20">
        <f>Z19-Y19</f>
        <v>-62</v>
      </c>
      <c r="AA20" s="20">
        <f>AA19-Z19</f>
        <v>-50</v>
      </c>
      <c r="AB20" s="20">
        <f>AB19-AA19</f>
        <v>0</v>
      </c>
      <c r="AC20" s="20">
        <f>AC19-AB19</f>
        <v>-22</v>
      </c>
    </row>
    <row r="21" spans="2:31" x14ac:dyDescent="0.3">
      <c r="B21" s="3" t="s">
        <v>15</v>
      </c>
      <c r="C21">
        <v>202312</v>
      </c>
      <c r="D21">
        <v>202401</v>
      </c>
      <c r="E21">
        <v>202402</v>
      </c>
      <c r="F21">
        <v>202403</v>
      </c>
      <c r="G21">
        <v>202404</v>
      </c>
      <c r="H21">
        <v>202405</v>
      </c>
      <c r="I21">
        <v>202406</v>
      </c>
      <c r="J21">
        <v>202407</v>
      </c>
      <c r="K21">
        <v>202408</v>
      </c>
      <c r="L21">
        <v>202409</v>
      </c>
      <c r="M21">
        <v>202410</v>
      </c>
      <c r="N21">
        <v>202411</v>
      </c>
      <c r="O21">
        <v>202412</v>
      </c>
      <c r="P21">
        <v>202501</v>
      </c>
      <c r="Q21">
        <v>202502</v>
      </c>
      <c r="R21">
        <v>202503</v>
      </c>
      <c r="S21">
        <v>202504</v>
      </c>
      <c r="T21">
        <v>202505</v>
      </c>
      <c r="U21">
        <v>202506</v>
      </c>
      <c r="V21">
        <v>202507</v>
      </c>
      <c r="W21">
        <v>202508</v>
      </c>
      <c r="X21">
        <v>202509</v>
      </c>
      <c r="Y21">
        <v>202510</v>
      </c>
      <c r="Z21">
        <v>202511</v>
      </c>
      <c r="AA21">
        <v>202512</v>
      </c>
      <c r="AB21">
        <v>202601</v>
      </c>
      <c r="AC21">
        <v>202602</v>
      </c>
    </row>
    <row r="22" spans="2:31" x14ac:dyDescent="0.3">
      <c r="B22" t="s">
        <v>12</v>
      </c>
      <c r="C22" s="5">
        <v>1418.1479669488008</v>
      </c>
      <c r="D22" s="5">
        <v>1427.5045545907312</v>
      </c>
      <c r="E22" s="5">
        <v>1440.5563591326065</v>
      </c>
      <c r="F22" s="5">
        <v>1453.8860117326035</v>
      </c>
      <c r="G22" s="5">
        <v>1455.1348943836908</v>
      </c>
      <c r="H22" s="5">
        <v>1463.8687876335769</v>
      </c>
      <c r="I22" s="5">
        <v>1469.7928171428812</v>
      </c>
      <c r="J22" s="5">
        <v>1463.9962296150511</v>
      </c>
      <c r="K22" s="5">
        <v>1474.3264079211997</v>
      </c>
      <c r="L22" s="5">
        <v>1480.9587233320401</v>
      </c>
      <c r="M22" s="5">
        <v>1503.8290208757862</v>
      </c>
      <c r="N22" s="5">
        <v>1549.6672508086199</v>
      </c>
      <c r="O22" s="5">
        <v>1576.4663603742306</v>
      </c>
      <c r="P22" s="5">
        <v>1819.6744980671097</v>
      </c>
      <c r="Q22" s="2">
        <v>1818.7075259662656</v>
      </c>
      <c r="R22" s="2">
        <v>1819.1919571289475</v>
      </c>
      <c r="S22" s="2">
        <v>1811.6299840448023</v>
      </c>
      <c r="T22" s="2">
        <v>1821</v>
      </c>
      <c r="U22" s="2">
        <v>1809.81</v>
      </c>
      <c r="V22" s="2">
        <v>1806.84</v>
      </c>
      <c r="W22" s="2">
        <v>1805.32</v>
      </c>
      <c r="X22" s="2">
        <v>1804</v>
      </c>
      <c r="Y22" s="2">
        <v>1792.6021288232823</v>
      </c>
      <c r="Z22" s="2">
        <v>1785.5019627726003</v>
      </c>
      <c r="AA22" s="2">
        <v>1775.23</v>
      </c>
      <c r="AB22" s="5">
        <v>1772.6347903758749</v>
      </c>
      <c r="AC22" s="2">
        <v>1777.8733346848123</v>
      </c>
      <c r="AD22">
        <v>4020</v>
      </c>
    </row>
    <row r="23" spans="2:31" x14ac:dyDescent="0.3">
      <c r="B23" t="s">
        <v>0</v>
      </c>
      <c r="C23" s="5">
        <v>1904.024035999563</v>
      </c>
      <c r="D23" s="5">
        <v>1903.5358072817116</v>
      </c>
      <c r="E23" s="5">
        <v>1905.3598913564747</v>
      </c>
      <c r="F23" s="5">
        <v>1910.7074179205454</v>
      </c>
      <c r="G23" s="5">
        <v>1916.197320088088</v>
      </c>
      <c r="H23" s="5">
        <v>1917.5220957395184</v>
      </c>
      <c r="I23" s="5">
        <v>1905.9662613959895</v>
      </c>
      <c r="J23" s="5">
        <v>1908.5776553086116</v>
      </c>
      <c r="K23" s="5">
        <v>1912.7467448560303</v>
      </c>
      <c r="L23" s="5">
        <v>1913.7143789195879</v>
      </c>
      <c r="M23" s="5">
        <v>1935.6687833732046</v>
      </c>
      <c r="N23" s="5">
        <v>1979.7899703228284</v>
      </c>
      <c r="O23" s="5">
        <v>2017.7742943275157</v>
      </c>
      <c r="P23" s="5">
        <v>2065.2217659850126</v>
      </c>
      <c r="Q23" s="2">
        <v>2063.1477287000075</v>
      </c>
      <c r="R23" s="2">
        <v>2055.736118625744</v>
      </c>
      <c r="S23" s="2">
        <v>2062.2038113798644</v>
      </c>
      <c r="T23" s="2">
        <v>2054</v>
      </c>
      <c r="U23" s="2">
        <v>2054</v>
      </c>
      <c r="V23" s="2">
        <v>2067</v>
      </c>
      <c r="W23" s="2">
        <v>2071.88</v>
      </c>
      <c r="X23" s="2">
        <v>2057</v>
      </c>
      <c r="Y23" s="2">
        <v>2059.4542605337911</v>
      </c>
      <c r="Z23" s="2">
        <v>2057.212665923752</v>
      </c>
      <c r="AA23" s="2">
        <v>2055.9989999999998</v>
      </c>
      <c r="AB23" s="5">
        <v>2062.6849284499244</v>
      </c>
      <c r="AC23" s="2">
        <v>2054.5430448372558</v>
      </c>
      <c r="AD23">
        <v>302</v>
      </c>
    </row>
    <row r="24" spans="2:31" x14ac:dyDescent="0.3">
      <c r="B24" t="s">
        <v>2</v>
      </c>
      <c r="C24" s="5">
        <v>1295.7488670844966</v>
      </c>
      <c r="D24" s="5">
        <v>1284.3454709833422</v>
      </c>
      <c r="E24" s="5">
        <v>1278.0027986998766</v>
      </c>
      <c r="F24" s="5">
        <v>1270.0322067376596</v>
      </c>
      <c r="G24" s="5">
        <v>1268.4388858645816</v>
      </c>
      <c r="H24" s="5">
        <v>1264.1946972389253</v>
      </c>
      <c r="I24" s="5">
        <v>1259.4946115288124</v>
      </c>
      <c r="J24" s="5">
        <v>1260.0751586618519</v>
      </c>
      <c r="K24" s="5">
        <v>1259.9805435193966</v>
      </c>
      <c r="L24" s="5">
        <v>1256.0942200981092</v>
      </c>
      <c r="M24" s="5">
        <v>1260.9859972351169</v>
      </c>
      <c r="N24" s="5">
        <v>1249.8486611817334</v>
      </c>
      <c r="O24" s="5">
        <v>1245.2985936428665</v>
      </c>
      <c r="P24" s="5">
        <v>1322.6350652283231</v>
      </c>
      <c r="Q24" s="2">
        <v>1314.5113271295211</v>
      </c>
      <c r="R24" s="2">
        <v>1313.2617179679228</v>
      </c>
      <c r="S24" s="2">
        <v>1312.5025093318375</v>
      </c>
      <c r="T24" s="2">
        <v>1303</v>
      </c>
      <c r="U24" s="2">
        <v>1303.95</v>
      </c>
      <c r="V24" s="2">
        <v>1302.3499999999999</v>
      </c>
      <c r="W24" s="2">
        <v>1296.6099999999999</v>
      </c>
      <c r="X24" s="2">
        <v>1288</v>
      </c>
      <c r="Y24" s="2">
        <v>1276.1561084379541</v>
      </c>
      <c r="Z24" s="2">
        <v>1276.9971743597428</v>
      </c>
      <c r="AA24" s="2">
        <v>1277.136</v>
      </c>
      <c r="AB24" s="5">
        <v>1286.7832747791026</v>
      </c>
      <c r="AC24" s="2">
        <v>1279.5821527289754</v>
      </c>
      <c r="AD24">
        <v>304</v>
      </c>
    </row>
    <row r="25" spans="2:31" x14ac:dyDescent="0.3">
      <c r="B25" t="s">
        <v>13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48.700658200070229</v>
      </c>
      <c r="M25" s="5">
        <v>96.244616095944565</v>
      </c>
      <c r="N25" s="5">
        <v>118.65989269907736</v>
      </c>
      <c r="O25" s="5">
        <v>144.60850224140918</v>
      </c>
      <c r="P25" s="5">
        <v>169.49809473832647</v>
      </c>
      <c r="Q25" s="2">
        <v>187.1326635050028</v>
      </c>
      <c r="R25" s="2">
        <v>207.46878244056234</v>
      </c>
      <c r="S25" s="2">
        <v>228.6790802742031</v>
      </c>
      <c r="T25" s="2">
        <v>240</v>
      </c>
      <c r="U25" s="2">
        <v>263</v>
      </c>
      <c r="V25" s="2">
        <v>275.83999999999997</v>
      </c>
      <c r="W25" s="2">
        <v>297.61</v>
      </c>
      <c r="X25" s="2">
        <v>324</v>
      </c>
      <c r="Y25" s="2">
        <v>348.86237673260808</v>
      </c>
      <c r="Z25" s="2">
        <v>369.47881960161624</v>
      </c>
      <c r="AA25" s="2">
        <v>383.64100000000002</v>
      </c>
      <c r="AB25" s="5">
        <v>412.51453344935936</v>
      </c>
      <c r="AC25" s="2">
        <v>429.35025088249859</v>
      </c>
      <c r="AD25">
        <v>15</v>
      </c>
    </row>
    <row r="26" spans="2:31" x14ac:dyDescent="0.3">
      <c r="B26" t="s">
        <v>8</v>
      </c>
      <c r="C26" s="5">
        <v>523.81770895461955</v>
      </c>
      <c r="D26" s="5">
        <v>523.6409904396354</v>
      </c>
      <c r="E26" s="5">
        <v>524.91309503658499</v>
      </c>
      <c r="F26" s="5">
        <v>522.29086475837744</v>
      </c>
      <c r="G26" s="5">
        <v>521.70818210470372</v>
      </c>
      <c r="H26" s="5">
        <v>522.54421420696349</v>
      </c>
      <c r="I26" s="5">
        <v>523.50769000057437</v>
      </c>
      <c r="J26" s="5">
        <v>523.33476925245952</v>
      </c>
      <c r="K26" s="5">
        <v>518.70800435955653</v>
      </c>
      <c r="L26" s="5">
        <v>520.73775975833291</v>
      </c>
      <c r="M26" s="5">
        <v>526.60805681102613</v>
      </c>
      <c r="N26" s="5">
        <v>524.85966675870395</v>
      </c>
      <c r="O26" s="5">
        <v>526.56639689963811</v>
      </c>
      <c r="P26" s="5">
        <v>541.18391243900624</v>
      </c>
      <c r="Q26" s="2">
        <v>538.09678450125648</v>
      </c>
      <c r="R26" s="2">
        <v>537.57928025515071</v>
      </c>
      <c r="S26" s="2">
        <v>531.65463897024085</v>
      </c>
      <c r="T26" s="2">
        <v>532</v>
      </c>
      <c r="U26" s="2">
        <v>530</v>
      </c>
      <c r="V26" s="2">
        <v>526</v>
      </c>
      <c r="W26" s="2">
        <v>529.80999999999995</v>
      </c>
      <c r="X26" s="2">
        <v>528</v>
      </c>
      <c r="Y26" s="2">
        <v>524.59090368176351</v>
      </c>
      <c r="Z26" s="2">
        <v>523.3239267843195</v>
      </c>
      <c r="AA26" s="2">
        <v>522.702</v>
      </c>
      <c r="AB26" s="5">
        <v>520.10755257584265</v>
      </c>
      <c r="AC26" s="2">
        <v>518.84278468153207</v>
      </c>
      <c r="AD26">
        <v>303</v>
      </c>
    </row>
    <row r="27" spans="2:31" x14ac:dyDescent="0.3">
      <c r="B27" t="s">
        <v>4</v>
      </c>
      <c r="C27" s="5">
        <v>2666.6627592986883</v>
      </c>
      <c r="D27" s="5">
        <v>2664.4166330690009</v>
      </c>
      <c r="E27" s="5">
        <v>2675.5121276463519</v>
      </c>
      <c r="F27" s="5">
        <v>2670.0899980724857</v>
      </c>
      <c r="G27" s="5">
        <v>2671.9078615051767</v>
      </c>
      <c r="H27" s="5">
        <v>2656.6496660049716</v>
      </c>
      <c r="I27" s="5">
        <v>2664.0300086583588</v>
      </c>
      <c r="J27" s="5">
        <v>2659.921448002021</v>
      </c>
      <c r="K27" s="5">
        <v>2646.7369764561872</v>
      </c>
      <c r="L27" s="5">
        <v>2661.1881215278918</v>
      </c>
      <c r="M27" s="5">
        <v>2663.0190831528839</v>
      </c>
      <c r="N27" s="5">
        <v>2659.3425887487265</v>
      </c>
      <c r="O27" s="5">
        <v>2674.9091871152455</v>
      </c>
      <c r="P27" s="5">
        <v>2672.304231290499</v>
      </c>
      <c r="Q27" s="2">
        <v>2669.5688171856045</v>
      </c>
      <c r="R27" s="2">
        <v>2674.2258277142046</v>
      </c>
      <c r="S27" s="2">
        <v>2676.9240103794759</v>
      </c>
      <c r="T27" s="2">
        <v>2679</v>
      </c>
      <c r="U27" s="2">
        <v>2667</v>
      </c>
      <c r="V27" s="2">
        <v>2668.32</v>
      </c>
      <c r="W27" s="2">
        <v>2678.35</v>
      </c>
      <c r="X27" s="2">
        <v>2674</v>
      </c>
      <c r="Y27" s="2">
        <v>2661.401299246259</v>
      </c>
      <c r="Z27" s="2">
        <v>2651.7317190661975</v>
      </c>
      <c r="AA27" s="2">
        <v>2642.123</v>
      </c>
      <c r="AB27" s="5">
        <v>2621.626437643371</v>
      </c>
      <c r="AC27" s="2">
        <v>2604.1029376810629</v>
      </c>
      <c r="AD27">
        <v>102</v>
      </c>
    </row>
    <row r="28" spans="2:31" x14ac:dyDescent="0.3">
      <c r="B28" t="s">
        <v>7</v>
      </c>
      <c r="C28" s="5">
        <v>2014.7678063504211</v>
      </c>
      <c r="D28" s="5">
        <v>2031.0918132729325</v>
      </c>
      <c r="E28" s="5">
        <v>2027.6241451644662</v>
      </c>
      <c r="F28" s="5">
        <v>2028.0518579091331</v>
      </c>
      <c r="G28" s="5">
        <v>2015.6309405805164</v>
      </c>
      <c r="H28" s="5">
        <v>2035.5098687682244</v>
      </c>
      <c r="I28" s="5">
        <v>2047.0256999527155</v>
      </c>
      <c r="J28" s="5">
        <v>2055.4541858366983</v>
      </c>
      <c r="K28" s="5">
        <v>2070.4378358679824</v>
      </c>
      <c r="L28" s="5">
        <v>2081.200620649181</v>
      </c>
      <c r="M28" s="5">
        <v>2117.026211547437</v>
      </c>
      <c r="N28" s="5">
        <v>2126.3342219184278</v>
      </c>
      <c r="O28" s="5">
        <v>2131.3651786338655</v>
      </c>
      <c r="P28" s="5">
        <v>2147.034395487452</v>
      </c>
      <c r="Q28" s="2">
        <v>2145.0899070606979</v>
      </c>
      <c r="R28" s="2">
        <v>2170.8674291332181</v>
      </c>
      <c r="S28" s="2">
        <v>2168.6043375526715</v>
      </c>
      <c r="T28" s="2">
        <v>2183</v>
      </c>
      <c r="U28" s="2">
        <v>2213</v>
      </c>
      <c r="V28" s="2">
        <v>2201.69</v>
      </c>
      <c r="W28" s="2">
        <v>2197</v>
      </c>
      <c r="X28" s="2">
        <v>2193</v>
      </c>
      <c r="Y28" s="2">
        <v>2210.1801168478996</v>
      </c>
      <c r="Z28" s="2">
        <v>2210.9300476067028</v>
      </c>
      <c r="AA28" s="2">
        <v>2230.8879999999999</v>
      </c>
      <c r="AB28" s="5">
        <v>2242.4797800602541</v>
      </c>
      <c r="AC28" s="2">
        <v>2246.9921347640611</v>
      </c>
      <c r="AD28">
        <v>103</v>
      </c>
    </row>
    <row r="29" spans="2:31" x14ac:dyDescent="0.3">
      <c r="B29" t="s">
        <v>6</v>
      </c>
      <c r="C29" s="5">
        <v>1216.0798219793849</v>
      </c>
      <c r="D29" s="5">
        <v>1238.4740727359674</v>
      </c>
      <c r="E29" s="5">
        <v>1270.2313610423819</v>
      </c>
      <c r="F29" s="5">
        <v>1309.5790381668257</v>
      </c>
      <c r="G29" s="5">
        <v>1323.5484881815605</v>
      </c>
      <c r="H29" s="5">
        <v>1340.2792316442903</v>
      </c>
      <c r="I29" s="5">
        <v>1239.1594628440282</v>
      </c>
      <c r="J29" s="5">
        <v>1170.9282095334759</v>
      </c>
      <c r="K29" s="5">
        <v>1156.9968328048551</v>
      </c>
      <c r="L29" s="5">
        <v>1173.6630164526273</v>
      </c>
      <c r="M29" s="5">
        <v>1172.8969064836006</v>
      </c>
      <c r="N29" s="5">
        <v>1155.3641714599501</v>
      </c>
      <c r="O29" s="5">
        <v>1156.4774920656157</v>
      </c>
      <c r="P29" s="5">
        <v>1174.5013554939526</v>
      </c>
      <c r="Q29" s="2">
        <v>1174.6079526286712</v>
      </c>
      <c r="R29" s="2">
        <v>1181.0766530539636</v>
      </c>
      <c r="S29" s="2">
        <v>1164.8499646269418</v>
      </c>
      <c r="T29" s="2">
        <v>1193</v>
      </c>
      <c r="U29" s="2">
        <v>1208</v>
      </c>
      <c r="V29" s="2">
        <v>1202.81</v>
      </c>
      <c r="W29" s="2">
        <v>1200</v>
      </c>
      <c r="X29" s="2">
        <v>1193</v>
      </c>
      <c r="Y29" s="2">
        <v>1197.9489061202432</v>
      </c>
      <c r="Z29" s="2">
        <v>1212.2264887152187</v>
      </c>
      <c r="AA29" s="2">
        <v>1218.4559999999999</v>
      </c>
      <c r="AB29" s="5">
        <v>1244.5998211745541</v>
      </c>
      <c r="AC29" s="2">
        <v>1257.1429329150976</v>
      </c>
      <c r="AD29">
        <v>110</v>
      </c>
    </row>
    <row r="30" spans="2:31" x14ac:dyDescent="0.3">
      <c r="B30" t="s">
        <v>5</v>
      </c>
      <c r="C30" s="5">
        <v>453.24799872826645</v>
      </c>
      <c r="D30" s="5">
        <v>449.42548280338042</v>
      </c>
      <c r="E30" s="5">
        <v>442.2136452326402</v>
      </c>
      <c r="F30" s="5">
        <v>447.96169865713148</v>
      </c>
      <c r="G30" s="5">
        <v>442.08169256593777</v>
      </c>
      <c r="H30" s="5">
        <v>443.44979506771199</v>
      </c>
      <c r="I30" s="5">
        <v>443.9500070170165</v>
      </c>
      <c r="J30" s="5">
        <v>449.03375485865746</v>
      </c>
      <c r="K30" s="5">
        <v>443.24274600735265</v>
      </c>
      <c r="L30" s="5">
        <v>446.14862650450709</v>
      </c>
      <c r="M30" s="5">
        <v>440.85266570212383</v>
      </c>
      <c r="N30" s="5">
        <v>437.70510900959846</v>
      </c>
      <c r="O30" s="5">
        <v>437.81015224313751</v>
      </c>
      <c r="P30" s="5">
        <v>434.0044533337059</v>
      </c>
      <c r="Q30" s="2">
        <v>433.53082697092736</v>
      </c>
      <c r="R30" s="2">
        <v>438.15102782175188</v>
      </c>
      <c r="S30" s="2">
        <v>436.75409608407682</v>
      </c>
      <c r="T30" s="2">
        <v>430</v>
      </c>
      <c r="U30" s="2">
        <v>433</v>
      </c>
      <c r="V30" s="2">
        <v>430.43</v>
      </c>
      <c r="W30" s="2">
        <v>431.76</v>
      </c>
      <c r="X30" s="2">
        <v>429</v>
      </c>
      <c r="Y30" s="2">
        <v>427.0326541586054</v>
      </c>
      <c r="Z30" s="2">
        <v>420.61048902339041</v>
      </c>
      <c r="AA30" s="2">
        <v>425.142</v>
      </c>
      <c r="AB30" s="5">
        <v>427.61582553413967</v>
      </c>
      <c r="AC30" s="2">
        <v>422.71977034765922</v>
      </c>
      <c r="AD30">
        <v>109</v>
      </c>
    </row>
    <row r="31" spans="2:31" x14ac:dyDescent="0.3">
      <c r="B31" t="s">
        <v>11</v>
      </c>
      <c r="C31" s="5">
        <v>1773.273876807445</v>
      </c>
      <c r="D31" s="5">
        <v>1776.9540592943979</v>
      </c>
      <c r="E31" s="5">
        <v>1789.3903071717607</v>
      </c>
      <c r="F31" s="5">
        <v>1786.3537450902925</v>
      </c>
      <c r="G31" s="5">
        <v>1774.7598869728076</v>
      </c>
      <c r="H31" s="5">
        <v>1780.4124738868372</v>
      </c>
      <c r="I31" s="5">
        <v>1783.4176506879908</v>
      </c>
      <c r="J31" s="5">
        <v>1781.4636939715087</v>
      </c>
      <c r="K31" s="5">
        <v>1792.9007799300721</v>
      </c>
      <c r="L31" s="5">
        <v>1813.1635266163184</v>
      </c>
      <c r="M31" s="5">
        <v>1834.1222050191386</v>
      </c>
      <c r="N31" s="5">
        <v>1871.1094491766769</v>
      </c>
      <c r="O31" s="5">
        <v>1881.1118660886946</v>
      </c>
      <c r="P31" s="5">
        <v>1954.7461021290355</v>
      </c>
      <c r="Q31" s="2">
        <v>1947.7603800511281</v>
      </c>
      <c r="R31" s="2">
        <v>1946.4838667693009</v>
      </c>
      <c r="S31" s="2">
        <v>1949.6289602286233</v>
      </c>
      <c r="T31" s="2">
        <v>1917</v>
      </c>
      <c r="U31" s="2">
        <v>1896</v>
      </c>
      <c r="V31" s="2">
        <v>1879.57</v>
      </c>
      <c r="W31" s="2">
        <v>1872.3</v>
      </c>
      <c r="X31" s="2">
        <v>1856</v>
      </c>
      <c r="Y31" s="2">
        <v>1840.8150262992895</v>
      </c>
      <c r="Z31" s="2">
        <v>1838.9235470007468</v>
      </c>
      <c r="AA31" s="2">
        <v>1833.8130000000001</v>
      </c>
      <c r="AB31" s="5">
        <v>1833.3991888677695</v>
      </c>
      <c r="AC31" s="2">
        <v>1828.9247222125514</v>
      </c>
      <c r="AD31">
        <v>106</v>
      </c>
    </row>
    <row r="32" spans="2:31" x14ac:dyDescent="0.3">
      <c r="B32" t="s">
        <v>1</v>
      </c>
      <c r="C32" s="5">
        <v>1891.2463697991061</v>
      </c>
      <c r="D32" s="5">
        <v>1892.6529893897339</v>
      </c>
      <c r="E32" s="5">
        <v>1910.0853277549852</v>
      </c>
      <c r="F32" s="5">
        <v>1923.540662429072</v>
      </c>
      <c r="G32" s="5">
        <v>1940.3586537922304</v>
      </c>
      <c r="H32" s="5">
        <v>1950.2906618856418</v>
      </c>
      <c r="I32" s="5">
        <v>1953.2692402211808</v>
      </c>
      <c r="J32" s="5">
        <v>1954.5968183576911</v>
      </c>
      <c r="K32" s="5">
        <v>1978.2504062094786</v>
      </c>
      <c r="L32" s="5">
        <v>1995.7259574387049</v>
      </c>
      <c r="M32" s="5">
        <v>2012.6600267168633</v>
      </c>
      <c r="N32" s="5">
        <v>2009.3676818865129</v>
      </c>
      <c r="O32" s="5">
        <v>2014.734447168715</v>
      </c>
      <c r="P32" s="5">
        <v>2018.5867342852903</v>
      </c>
      <c r="Q32" s="2">
        <v>2019.8604289516682</v>
      </c>
      <c r="R32" s="2">
        <v>2042.271436990615</v>
      </c>
      <c r="S32" s="2">
        <v>2045.5672193816897</v>
      </c>
      <c r="T32" s="2">
        <v>2033</v>
      </c>
      <c r="U32" s="2">
        <v>2037</v>
      </c>
      <c r="V32" s="2">
        <v>2031.37</v>
      </c>
      <c r="W32" s="2">
        <v>2022.83</v>
      </c>
      <c r="X32" s="2">
        <v>2020</v>
      </c>
      <c r="Y32" s="2">
        <v>2020.4946757835576</v>
      </c>
      <c r="Z32" s="2">
        <v>2000.3657881142815</v>
      </c>
      <c r="AA32" s="2">
        <v>1994.5340000000001</v>
      </c>
      <c r="AB32" s="5">
        <v>1987.2639298585261</v>
      </c>
      <c r="AC32" s="2">
        <v>1967.0331556704652</v>
      </c>
      <c r="AD32">
        <v>104</v>
      </c>
    </row>
    <row r="33" spans="2:30" x14ac:dyDescent="0.3">
      <c r="B33" t="s">
        <v>10</v>
      </c>
      <c r="C33" s="5">
        <v>1126.1002737127678</v>
      </c>
      <c r="D33" s="5">
        <v>1144.7968479526216</v>
      </c>
      <c r="E33" s="5">
        <v>1187.0400481977861</v>
      </c>
      <c r="F33" s="5">
        <v>1213.9066413514909</v>
      </c>
      <c r="G33" s="5">
        <v>1239.8547620615025</v>
      </c>
      <c r="H33" s="5">
        <v>1280.8001300455733</v>
      </c>
      <c r="I33" s="5">
        <v>1305.643769476954</v>
      </c>
      <c r="J33" s="5">
        <v>1341.1090137332747</v>
      </c>
      <c r="K33" s="5">
        <v>1358.1993484908226</v>
      </c>
      <c r="L33" s="5">
        <v>1376.8281767995882</v>
      </c>
      <c r="M33" s="5">
        <v>1409.3586274480419</v>
      </c>
      <c r="N33" s="5">
        <v>1443.6362419073971</v>
      </c>
      <c r="O33" s="5">
        <v>1458.0202234209692</v>
      </c>
      <c r="P33" s="5">
        <v>1513.4802730691333</v>
      </c>
      <c r="Q33" s="2">
        <v>1544.0181837041039</v>
      </c>
      <c r="R33" s="2">
        <v>1578.9385217163581</v>
      </c>
      <c r="S33" s="2">
        <v>1575.1460858816722</v>
      </c>
      <c r="T33" s="2">
        <v>1569</v>
      </c>
      <c r="U33" s="2">
        <v>1595</v>
      </c>
      <c r="V33" s="2">
        <v>1604.17</v>
      </c>
      <c r="W33" s="2">
        <v>1624</v>
      </c>
      <c r="X33" s="2">
        <v>1652</v>
      </c>
      <c r="Y33" s="2">
        <v>1653.5612532118992</v>
      </c>
      <c r="Z33" s="2">
        <v>1674.5155369470533</v>
      </c>
      <c r="AA33" s="2">
        <v>1684.434</v>
      </c>
      <c r="AB33" s="5">
        <v>1696.969607008607</v>
      </c>
      <c r="AC33" s="2">
        <v>1721.5701844507237</v>
      </c>
      <c r="AD33">
        <v>111</v>
      </c>
    </row>
    <row r="34" spans="2:30" x14ac:dyDescent="0.3">
      <c r="B34" t="s">
        <v>9</v>
      </c>
      <c r="C34" s="5">
        <v>1625.2148359769099</v>
      </c>
      <c r="D34" s="5">
        <v>1626.8679720876548</v>
      </c>
      <c r="E34" s="5">
        <v>1643.5787497891354</v>
      </c>
      <c r="F34" s="5">
        <v>1651.1443583685284</v>
      </c>
      <c r="G34" s="5">
        <v>1664.8115211194099</v>
      </c>
      <c r="H34" s="5">
        <v>1673.1364384539718</v>
      </c>
      <c r="I34" s="5">
        <v>1682.1054134356386</v>
      </c>
      <c r="J34" s="5">
        <v>1684.8545807072326</v>
      </c>
      <c r="K34" s="5">
        <v>1695.6248970270301</v>
      </c>
      <c r="L34" s="5">
        <v>1682.0126138948297</v>
      </c>
      <c r="M34" s="5">
        <v>1678.8678004426833</v>
      </c>
      <c r="N34" s="5">
        <v>1658.5993172153926</v>
      </c>
      <c r="O34" s="5">
        <v>1665.7789490363184</v>
      </c>
      <c r="P34" s="5">
        <v>1673.0279414395382</v>
      </c>
      <c r="Q34" s="2">
        <v>1670.2711440010505</v>
      </c>
      <c r="R34" s="2">
        <v>1659.9176996092629</v>
      </c>
      <c r="S34" s="2">
        <v>1662.9230420001968</v>
      </c>
      <c r="T34" s="2">
        <v>1659</v>
      </c>
      <c r="U34" s="2">
        <v>1659</v>
      </c>
      <c r="V34" s="2">
        <v>1642.52</v>
      </c>
      <c r="W34" s="2">
        <v>1642.77</v>
      </c>
      <c r="X34" s="2">
        <v>1633</v>
      </c>
      <c r="Y34" s="2">
        <v>1627.7906758958502</v>
      </c>
      <c r="Z34" s="2">
        <v>1631.5022242619132</v>
      </c>
      <c r="AA34" s="2">
        <v>1628.088</v>
      </c>
      <c r="AB34" s="5">
        <v>1625.0381961293569</v>
      </c>
      <c r="AC34" s="2">
        <v>1634.0787261357686</v>
      </c>
      <c r="AD34">
        <v>107</v>
      </c>
    </row>
    <row r="35" spans="2:30" x14ac:dyDescent="0.3">
      <c r="B35" t="s">
        <v>3</v>
      </c>
      <c r="C35" s="5">
        <v>1592.926024285526</v>
      </c>
      <c r="D35" s="5">
        <v>1585.0118864911608</v>
      </c>
      <c r="E35" s="5">
        <v>1595.4990323471525</v>
      </c>
      <c r="F35" s="5">
        <v>1598.5341011822472</v>
      </c>
      <c r="G35" s="5">
        <v>1613.4863596246098</v>
      </c>
      <c r="H35" s="5">
        <v>1605.0991567365236</v>
      </c>
      <c r="I35" s="5">
        <v>1606.2453733067423</v>
      </c>
      <c r="J35" s="5">
        <v>1617.8120827200371</v>
      </c>
      <c r="K35" s="5">
        <v>1616.1173830480716</v>
      </c>
      <c r="L35" s="5">
        <v>1616.3369787391794</v>
      </c>
      <c r="M35" s="5">
        <v>1609.6471505825111</v>
      </c>
      <c r="N35" s="5">
        <v>1630.4355095191952</v>
      </c>
      <c r="O35" s="5">
        <v>1622.9445904240358</v>
      </c>
      <c r="P35" s="5">
        <v>1615.8310511371508</v>
      </c>
      <c r="Q35" s="2">
        <v>1617.4825170787344</v>
      </c>
      <c r="R35" s="2">
        <v>1612.9130781563406</v>
      </c>
      <c r="S35" s="2">
        <v>1603.1142997960862</v>
      </c>
      <c r="T35" s="2">
        <v>1603</v>
      </c>
      <c r="U35" s="2">
        <v>1596</v>
      </c>
      <c r="V35" s="2">
        <v>1586.95</v>
      </c>
      <c r="W35" s="2">
        <v>1581.42</v>
      </c>
      <c r="X35" s="2">
        <v>1579</v>
      </c>
      <c r="Y35" s="2">
        <v>1573.8366712787677</v>
      </c>
      <c r="Z35" s="2">
        <v>1580.5985232945964</v>
      </c>
      <c r="AA35" s="2">
        <v>1578.722</v>
      </c>
      <c r="AB35" s="5">
        <v>1584.5940074096447</v>
      </c>
      <c r="AC35" s="2">
        <v>1587.5774877950716</v>
      </c>
      <c r="AD35">
        <v>108</v>
      </c>
    </row>
    <row r="36" spans="2:30" x14ac:dyDescent="0.3">
      <c r="C36" s="5">
        <f>SUM(C22:C35)</f>
        <v>19501.258345925995</v>
      </c>
      <c r="D36" s="5">
        <f t="shared" ref="D36:V36" si="5">SUM(D22:D35)</f>
        <v>19548.718580392269</v>
      </c>
      <c r="E36" s="5">
        <f t="shared" si="5"/>
        <v>19690.006888572203</v>
      </c>
      <c r="F36" s="5">
        <f t="shared" si="5"/>
        <v>19786.078602376394</v>
      </c>
      <c r="G36" s="5">
        <f t="shared" si="5"/>
        <v>19847.919448844816</v>
      </c>
      <c r="H36" s="5">
        <f t="shared" si="5"/>
        <v>19933.75721731273</v>
      </c>
      <c r="I36" s="5">
        <f t="shared" si="5"/>
        <v>19883.608005668884</v>
      </c>
      <c r="J36" s="5">
        <f t="shared" si="5"/>
        <v>19871.157600558574</v>
      </c>
      <c r="K36" s="5">
        <f t="shared" si="5"/>
        <v>19924.268906498037</v>
      </c>
      <c r="L36" s="5">
        <f t="shared" si="5"/>
        <v>20066.473378930965</v>
      </c>
      <c r="M36" s="5">
        <f t="shared" si="5"/>
        <v>20261.787151486362</v>
      </c>
      <c r="N36" s="5">
        <f t="shared" si="5"/>
        <v>20414.719732612844</v>
      </c>
      <c r="O36" s="5">
        <f t="shared" si="5"/>
        <v>20553.866233682256</v>
      </c>
      <c r="P36" s="5">
        <f t="shared" si="5"/>
        <v>21121.729874123532</v>
      </c>
      <c r="Q36" s="5">
        <f t="shared" si="5"/>
        <v>21143.786187434638</v>
      </c>
      <c r="R36" s="5">
        <f t="shared" si="5"/>
        <v>21238.08339738334</v>
      </c>
      <c r="S36" s="5">
        <f t="shared" si="5"/>
        <v>21230.182039932377</v>
      </c>
      <c r="T36" s="5">
        <f t="shared" si="5"/>
        <v>21216</v>
      </c>
      <c r="U36" s="5">
        <f t="shared" si="5"/>
        <v>21264.760000000002</v>
      </c>
      <c r="V36" s="5">
        <f t="shared" si="5"/>
        <v>21225.86</v>
      </c>
      <c r="W36" s="5">
        <f t="shared" ref="W36:X36" si="6">SUM(W22:W35)</f>
        <v>21251.660000000003</v>
      </c>
      <c r="X36" s="5">
        <f t="shared" si="6"/>
        <v>21230</v>
      </c>
      <c r="Y36" s="5">
        <f>SUM(Y22:Y35)</f>
        <v>21214.727057051768</v>
      </c>
      <c r="Z36" s="5">
        <f>SUM(Z22:Z35)</f>
        <v>21233.918913472131</v>
      </c>
      <c r="AA36" s="5">
        <f>SUM(AA22:AA35)</f>
        <v>21250.908000000003</v>
      </c>
      <c r="AB36" s="5">
        <f>SUM(AB22:AB35)</f>
        <v>21318.311873316325</v>
      </c>
      <c r="AC36" s="5">
        <f>SUM(AC22:AC35)</f>
        <v>21330.33361978754</v>
      </c>
    </row>
    <row r="37" spans="2:30" x14ac:dyDescent="0.3">
      <c r="D37" s="5">
        <f>D36-C36</f>
        <v>47.460234466274414</v>
      </c>
      <c r="E37" s="5">
        <f t="shared" ref="E37:S37" si="7">E36-D36</f>
        <v>141.28830817993367</v>
      </c>
      <c r="F37" s="5">
        <f t="shared" si="7"/>
        <v>96.071713804190949</v>
      </c>
      <c r="G37" s="5">
        <f t="shared" si="7"/>
        <v>61.84084646842166</v>
      </c>
      <c r="H37" s="5">
        <f t="shared" si="7"/>
        <v>85.837768467914429</v>
      </c>
      <c r="I37" s="5">
        <f t="shared" si="7"/>
        <v>-50.149211643845774</v>
      </c>
      <c r="J37" s="5">
        <f t="shared" si="7"/>
        <v>-12.450405110310385</v>
      </c>
      <c r="K37" s="5">
        <f t="shared" si="7"/>
        <v>53.111305939462909</v>
      </c>
      <c r="L37" s="5">
        <f t="shared" si="7"/>
        <v>142.20447243292801</v>
      </c>
      <c r="M37" s="5">
        <f t="shared" si="7"/>
        <v>195.31377255539701</v>
      </c>
      <c r="N37" s="5">
        <f t="shared" si="7"/>
        <v>152.93258112648255</v>
      </c>
      <c r="O37" s="5">
        <f t="shared" si="7"/>
        <v>139.1465010694119</v>
      </c>
      <c r="P37" s="5">
        <f t="shared" si="7"/>
        <v>567.86364044127549</v>
      </c>
      <c r="Q37" s="5">
        <f t="shared" si="7"/>
        <v>22.056313311106351</v>
      </c>
      <c r="R37" s="5">
        <f t="shared" si="7"/>
        <v>94.297209948701493</v>
      </c>
      <c r="S37" s="5">
        <f t="shared" si="7"/>
        <v>-7.9013574509626778</v>
      </c>
      <c r="T37" s="5">
        <f>T36-S36</f>
        <v>-14.182039932376938</v>
      </c>
      <c r="U37" s="5">
        <f>U36-T36</f>
        <v>48.760000000002037</v>
      </c>
      <c r="V37" s="5">
        <f>V36-U36</f>
        <v>-38.900000000001455</v>
      </c>
      <c r="W37" s="5">
        <f>W36-V36</f>
        <v>25.80000000000291</v>
      </c>
      <c r="X37" s="5">
        <f>X36-W36</f>
        <v>-21.660000000003492</v>
      </c>
      <c r="Y37" s="5">
        <f t="shared" ref="Y37:AA37" si="8">Y36-X36</f>
        <v>-15.272942948231503</v>
      </c>
      <c r="Z37" s="5">
        <f t="shared" si="8"/>
        <v>19.191856420362456</v>
      </c>
      <c r="AA37" s="5">
        <f t="shared" si="8"/>
        <v>16.989086527872132</v>
      </c>
    </row>
    <row r="38" spans="2:30" x14ac:dyDescent="0.3">
      <c r="B38" s="3" t="s">
        <v>16</v>
      </c>
      <c r="C38">
        <v>202312</v>
      </c>
      <c r="D38">
        <v>202401</v>
      </c>
      <c r="E38">
        <v>202402</v>
      </c>
      <c r="F38">
        <v>202403</v>
      </c>
      <c r="G38">
        <v>202404</v>
      </c>
      <c r="H38">
        <v>202405</v>
      </c>
      <c r="I38">
        <v>202406</v>
      </c>
      <c r="J38">
        <v>202407</v>
      </c>
      <c r="K38">
        <v>202408</v>
      </c>
      <c r="L38">
        <v>202409</v>
      </c>
      <c r="M38">
        <v>202410</v>
      </c>
      <c r="N38">
        <v>202411</v>
      </c>
      <c r="O38">
        <v>202412</v>
      </c>
      <c r="P38">
        <v>202501</v>
      </c>
      <c r="Q38">
        <v>202502</v>
      </c>
      <c r="R38">
        <v>202503</v>
      </c>
      <c r="S38">
        <v>202504</v>
      </c>
      <c r="T38">
        <v>202505</v>
      </c>
      <c r="U38">
        <v>202506</v>
      </c>
      <c r="V38">
        <v>202507</v>
      </c>
      <c r="W38">
        <v>202508</v>
      </c>
      <c r="X38">
        <v>202509</v>
      </c>
      <c r="Y38">
        <v>202510</v>
      </c>
      <c r="Z38">
        <v>202511</v>
      </c>
      <c r="AA38">
        <v>202512</v>
      </c>
      <c r="AB38">
        <v>202601</v>
      </c>
      <c r="AC38">
        <v>202602</v>
      </c>
    </row>
    <row r="39" spans="2:30" x14ac:dyDescent="0.3">
      <c r="B39" t="s">
        <v>12</v>
      </c>
      <c r="C39" s="4">
        <v>1.0614070699279241</v>
      </c>
      <c r="D39" s="4">
        <v>0.97451976110274496</v>
      </c>
      <c r="E39" s="4">
        <v>0.98125772373903197</v>
      </c>
      <c r="F39" s="4">
        <v>0.98832216150722496</v>
      </c>
      <c r="G39" s="4">
        <v>0.99099206842685506</v>
      </c>
      <c r="H39" s="4">
        <v>0.99923779827286596</v>
      </c>
      <c r="I39" s="4">
        <v>1.007591968445825</v>
      </c>
      <c r="J39" s="4">
        <v>1.022804819184018</v>
      </c>
      <c r="K39" s="4">
        <v>1.022635687690622</v>
      </c>
      <c r="L39" s="4">
        <v>1.0334026193909369</v>
      </c>
      <c r="M39" s="4">
        <v>1.0417446390330509</v>
      </c>
      <c r="N39" s="4">
        <v>1.0530515549822319</v>
      </c>
      <c r="O39" s="4">
        <v>1.071656078420824</v>
      </c>
      <c r="P39" s="4">
        <v>1.000440801038373</v>
      </c>
      <c r="Q39" s="1">
        <v>0.91926722425207397</v>
      </c>
      <c r="R39" s="1">
        <v>0.93233529069834997</v>
      </c>
      <c r="S39" s="1">
        <v>0.94249874113362797</v>
      </c>
      <c r="T39" s="1">
        <v>0.95107247840893505</v>
      </c>
      <c r="U39" s="1">
        <v>0.951907019851434</v>
      </c>
      <c r="V39" s="4">
        <v>0.96322926564829003</v>
      </c>
      <c r="W39" s="10">
        <v>0.96961355370487001</v>
      </c>
      <c r="X39" s="1">
        <v>0.98133214857495998</v>
      </c>
      <c r="Y39" s="1">
        <v>0.99035259023644395</v>
      </c>
      <c r="Z39" s="1">
        <v>0.99304918562342803</v>
      </c>
      <c r="AA39" s="1">
        <v>1.014383537697491</v>
      </c>
      <c r="AB39" s="1">
        <v>1.0067128606387601</v>
      </c>
      <c r="AC39" s="1">
        <v>1.0059425347595441</v>
      </c>
      <c r="AD39">
        <v>4020</v>
      </c>
    </row>
    <row r="40" spans="2:30" x14ac:dyDescent="0.3">
      <c r="B40" t="s">
        <v>0</v>
      </c>
      <c r="C40" s="4">
        <v>1.0758539523777799</v>
      </c>
      <c r="D40" s="4">
        <v>1.0382789155856931</v>
      </c>
      <c r="E40" s="4">
        <v>1.037976482941898</v>
      </c>
      <c r="F40" s="4">
        <v>1.0339202503368849</v>
      </c>
      <c r="G40" s="4">
        <v>1.0373010909371381</v>
      </c>
      <c r="H40" s="4">
        <v>1.042269537510045</v>
      </c>
      <c r="I40" s="4">
        <v>1.0397033611626949</v>
      </c>
      <c r="J40" s="4">
        <v>1.0388481489788119</v>
      </c>
      <c r="K40" s="4">
        <v>1.028076263034287</v>
      </c>
      <c r="L40" s="4">
        <v>1.025196817305061</v>
      </c>
      <c r="M40" s="4">
        <v>1.0338745353461329</v>
      </c>
      <c r="N40" s="4">
        <v>1.0365645876228451</v>
      </c>
      <c r="O40" s="4">
        <v>1.040188829607549</v>
      </c>
      <c r="P40" s="4">
        <v>1.027567912487982</v>
      </c>
      <c r="Q40" s="1">
        <v>0.99454842279668398</v>
      </c>
      <c r="R40" s="1">
        <v>0.99969371822285202</v>
      </c>
      <c r="S40" s="1">
        <v>0.99595987276312004</v>
      </c>
      <c r="T40" s="1">
        <v>0.997710675445456</v>
      </c>
      <c r="U40" s="1">
        <v>0.98556347285142198</v>
      </c>
      <c r="V40" s="4">
        <v>0.98021903021829404</v>
      </c>
      <c r="W40" s="10">
        <v>0.97543844005859703</v>
      </c>
      <c r="X40" s="1">
        <v>0.98015176147238403</v>
      </c>
      <c r="Y40" s="1">
        <v>0.98970980580594303</v>
      </c>
      <c r="Z40" s="1">
        <v>0.98740021452040205</v>
      </c>
      <c r="AA40" s="1">
        <v>1.0025639590606981</v>
      </c>
      <c r="AB40" s="1">
        <v>0.99909259031963404</v>
      </c>
      <c r="AC40" s="1">
        <v>1.008666847954784</v>
      </c>
      <c r="AD40">
        <v>302</v>
      </c>
    </row>
    <row r="41" spans="2:30" x14ac:dyDescent="0.3">
      <c r="B41" t="s">
        <v>2</v>
      </c>
      <c r="C41" s="4">
        <v>1.0128971957267241</v>
      </c>
      <c r="D41" s="4">
        <v>0.98877367565679997</v>
      </c>
      <c r="E41" s="4">
        <v>0.993372151139997</v>
      </c>
      <c r="F41" s="4">
        <v>0.99566802947253796</v>
      </c>
      <c r="G41" s="4">
        <v>0.98475142574311203</v>
      </c>
      <c r="H41" s="4">
        <v>0.984256413025836</v>
      </c>
      <c r="I41" s="4">
        <v>0.96612632198349901</v>
      </c>
      <c r="J41" s="4">
        <v>0.95385615602106899</v>
      </c>
      <c r="K41" s="4">
        <v>0.93480235617941199</v>
      </c>
      <c r="L41" s="4">
        <v>0.92254799359591799</v>
      </c>
      <c r="M41" s="4">
        <v>0.91027483904584505</v>
      </c>
      <c r="N41" s="4">
        <v>0.90466167461043301</v>
      </c>
      <c r="O41" s="4">
        <v>0.89559576234716898</v>
      </c>
      <c r="P41" s="4">
        <v>0.87927581310959102</v>
      </c>
      <c r="Q41" s="1">
        <v>0.85566578930056403</v>
      </c>
      <c r="R41" s="1">
        <v>0.86615535581911596</v>
      </c>
      <c r="S41" s="1">
        <v>0.86974205681376104</v>
      </c>
      <c r="T41" s="1">
        <v>0.88174449793763199</v>
      </c>
      <c r="U41" s="1">
        <v>0.88279128087469105</v>
      </c>
      <c r="V41" s="4">
        <v>0.89443921234634904</v>
      </c>
      <c r="W41" s="10">
        <v>0.90232455824083002</v>
      </c>
      <c r="X41" s="1">
        <v>0.90421143513654201</v>
      </c>
      <c r="Y41" s="1">
        <v>0.91182600794574198</v>
      </c>
      <c r="Z41" s="1">
        <v>0.91242282019915999</v>
      </c>
      <c r="AA41" s="1">
        <v>0.93226291328099797</v>
      </c>
      <c r="AB41" s="1">
        <v>0.93564399646470897</v>
      </c>
      <c r="AC41" s="1">
        <v>0.94237832763268803</v>
      </c>
      <c r="AD41">
        <v>304</v>
      </c>
    </row>
    <row r="42" spans="2:30" x14ac:dyDescent="0.3">
      <c r="B42" t="s">
        <v>13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0.63217057052910597</v>
      </c>
      <c r="M42" s="4">
        <v>0.64730781787889802</v>
      </c>
      <c r="N42" s="4">
        <v>0.74855712257026596</v>
      </c>
      <c r="O42" s="4">
        <v>0.81271650361384995</v>
      </c>
      <c r="P42" s="4">
        <v>0.84829631697655805</v>
      </c>
      <c r="Q42" s="1">
        <v>0.84788537162745403</v>
      </c>
      <c r="R42" s="1">
        <v>0.86382487117907802</v>
      </c>
      <c r="S42" s="1">
        <v>0.87180089313336795</v>
      </c>
      <c r="T42" s="1">
        <v>0.910301463033797</v>
      </c>
      <c r="U42" s="1">
        <v>0.92467725246836296</v>
      </c>
      <c r="V42" s="4">
        <v>0.94036779795712599</v>
      </c>
      <c r="W42" s="10">
        <v>0.91189915626066498</v>
      </c>
      <c r="X42" s="1">
        <v>0.90291571166638795</v>
      </c>
      <c r="Y42" s="1">
        <v>0.92886065007150098</v>
      </c>
      <c r="Z42" s="1">
        <v>0.95469264842864299</v>
      </c>
      <c r="AA42" s="1">
        <v>0.97126982696902997</v>
      </c>
      <c r="AB42" s="1">
        <v>0.98795358103953301</v>
      </c>
      <c r="AC42" s="1">
        <v>1.0042476504359801</v>
      </c>
      <c r="AD42">
        <v>15</v>
      </c>
    </row>
    <row r="43" spans="2:30" x14ac:dyDescent="0.3">
      <c r="B43" t="s">
        <v>8</v>
      </c>
      <c r="C43" s="4">
        <v>0.90236362445941498</v>
      </c>
      <c r="D43" s="4">
        <v>0.86693574316098199</v>
      </c>
      <c r="E43" s="4">
        <v>0.87198302845783304</v>
      </c>
      <c r="F43" s="4">
        <v>0.88203489192806095</v>
      </c>
      <c r="G43" s="4">
        <v>0.88721763675134102</v>
      </c>
      <c r="H43" s="4">
        <v>0.89133838165038204</v>
      </c>
      <c r="I43" s="4">
        <v>0.90970316172069299</v>
      </c>
      <c r="J43" s="4">
        <v>0.92034374936834895</v>
      </c>
      <c r="K43" s="4">
        <v>0.91036353494410205</v>
      </c>
      <c r="L43" s="4">
        <v>0.90250965168602804</v>
      </c>
      <c r="M43" s="4">
        <v>0.91269318282810297</v>
      </c>
      <c r="N43" s="4">
        <v>0.89347751093037697</v>
      </c>
      <c r="O43" s="4">
        <v>0.89242935719769001</v>
      </c>
      <c r="P43" s="4">
        <v>0.87113735924944002</v>
      </c>
      <c r="Q43" s="1">
        <v>0.84556545576687903</v>
      </c>
      <c r="R43" s="1">
        <v>0.84319421031893904</v>
      </c>
      <c r="S43" s="1">
        <v>0.85260109233983505</v>
      </c>
      <c r="T43" s="1">
        <v>0.85365010807816599</v>
      </c>
      <c r="U43" s="1">
        <v>0.85490046465034797</v>
      </c>
      <c r="V43" s="4">
        <v>0.85275454881090995</v>
      </c>
      <c r="W43" s="10">
        <v>0.844839065273151</v>
      </c>
      <c r="X43" s="1">
        <v>0.84488720554089602</v>
      </c>
      <c r="Y43" s="1">
        <v>0.83872827471326605</v>
      </c>
      <c r="Z43" s="1">
        <v>0.83728296051651196</v>
      </c>
      <c r="AA43" s="1">
        <v>0.83749337165906301</v>
      </c>
      <c r="AB43" s="1">
        <v>0.84340985159327098</v>
      </c>
      <c r="AC43" s="1">
        <v>0.85321029475093502</v>
      </c>
      <c r="AD43">
        <v>303</v>
      </c>
    </row>
    <row r="44" spans="2:30" x14ac:dyDescent="0.3">
      <c r="B44" t="s">
        <v>4</v>
      </c>
      <c r="C44" s="4">
        <v>0.99226621569766305</v>
      </c>
      <c r="D44" s="4">
        <v>0.99413070182346197</v>
      </c>
      <c r="E44" s="4">
        <v>0.99623527554422897</v>
      </c>
      <c r="F44" s="4">
        <v>1.0030490869208979</v>
      </c>
      <c r="G44" s="4">
        <v>1.0080654389354531</v>
      </c>
      <c r="H44" s="4">
        <v>1.0132701841981311</v>
      </c>
      <c r="I44" s="4">
        <v>1.0174281622853261</v>
      </c>
      <c r="J44" s="4">
        <v>1.0211184630726811</v>
      </c>
      <c r="K44" s="4">
        <v>1.017066150657115</v>
      </c>
      <c r="L44" s="4">
        <v>1.025626937530242</v>
      </c>
      <c r="M44" s="4">
        <v>1.0241464376047691</v>
      </c>
      <c r="N44" s="4">
        <v>1.026929387119013</v>
      </c>
      <c r="O44" s="4">
        <v>1.038310360813155</v>
      </c>
      <c r="P44" s="4">
        <v>1.0379828044609389</v>
      </c>
      <c r="Q44" s="1">
        <v>1.0431161753551419</v>
      </c>
      <c r="R44" s="1">
        <v>1.042983238083586</v>
      </c>
      <c r="S44" s="1">
        <v>1.0404559112422209</v>
      </c>
      <c r="T44" s="1">
        <v>1.029831802436006</v>
      </c>
      <c r="U44" s="1">
        <v>1.024745269265575</v>
      </c>
      <c r="V44" s="4">
        <v>1.01550845514831</v>
      </c>
      <c r="W44" s="10">
        <v>1.0142644442952089</v>
      </c>
      <c r="X44" s="1">
        <v>1.0089771075619931</v>
      </c>
      <c r="Y44" s="1">
        <v>1.0068867308044891</v>
      </c>
      <c r="Z44" s="10">
        <v>0.99956986193226804</v>
      </c>
      <c r="AA44" s="1">
        <v>0.99682260883901097</v>
      </c>
      <c r="AB44" s="1">
        <v>0.98628166150450403</v>
      </c>
      <c r="AC44" s="1">
        <v>0.98163635701280405</v>
      </c>
      <c r="AD44">
        <v>102</v>
      </c>
    </row>
    <row r="45" spans="2:30" x14ac:dyDescent="0.3">
      <c r="B45" t="s">
        <v>7</v>
      </c>
      <c r="C45" s="4">
        <v>0.85812143835211396</v>
      </c>
      <c r="D45" s="4">
        <v>0.85414312569170503</v>
      </c>
      <c r="E45" s="4">
        <v>0.86510758326133896</v>
      </c>
      <c r="F45" s="4">
        <v>0.87464202768180399</v>
      </c>
      <c r="G45" s="4">
        <v>0.88616936599943397</v>
      </c>
      <c r="H45" s="4">
        <v>0.89976884124501499</v>
      </c>
      <c r="I45" s="4">
        <v>0.90394197687198496</v>
      </c>
      <c r="J45" s="4">
        <v>0.905885720426164</v>
      </c>
      <c r="K45" s="4">
        <v>0.90158834877104799</v>
      </c>
      <c r="L45" s="4">
        <v>0.89516811179302902</v>
      </c>
      <c r="M45" s="4">
        <v>0.89103144266705603</v>
      </c>
      <c r="N45" s="4">
        <v>0.90164624725940301</v>
      </c>
      <c r="O45" s="4">
        <v>0.91476236689323098</v>
      </c>
      <c r="P45" s="4">
        <v>0.91124102653290195</v>
      </c>
      <c r="Q45" s="1">
        <v>0.91959552803120004</v>
      </c>
      <c r="R45" s="1">
        <v>0.92111331529408602</v>
      </c>
      <c r="S45" s="1">
        <v>0.92637996402034395</v>
      </c>
      <c r="T45" s="1">
        <v>0.92312710027579803</v>
      </c>
      <c r="U45" s="1">
        <v>0.923699399710039</v>
      </c>
      <c r="V45" s="4">
        <v>0.93016301653508404</v>
      </c>
      <c r="W45" s="10">
        <v>0.92386170417448499</v>
      </c>
      <c r="X45" s="1">
        <v>0.91179797714662203</v>
      </c>
      <c r="Y45" s="1">
        <v>0.90559316775793897</v>
      </c>
      <c r="Z45" s="1">
        <v>0.90304054929132305</v>
      </c>
      <c r="AA45" s="1">
        <v>0.900126797524058</v>
      </c>
      <c r="AB45" s="1">
        <v>0.89803685917132703</v>
      </c>
      <c r="AC45" s="1">
        <v>0.89683373288475998</v>
      </c>
      <c r="AD45">
        <v>103</v>
      </c>
    </row>
    <row r="46" spans="2:30" x14ac:dyDescent="0.3">
      <c r="B46" t="s">
        <v>6</v>
      </c>
      <c r="C46" s="4">
        <v>0.93273452535789902</v>
      </c>
      <c r="D46" s="4">
        <v>0.89610952967727997</v>
      </c>
      <c r="E46" s="4">
        <v>0.898511492859836</v>
      </c>
      <c r="F46" s="4">
        <v>0.90611774620443697</v>
      </c>
      <c r="G46" s="4">
        <v>0.90635870368565596</v>
      </c>
      <c r="H46" s="4">
        <v>0.90463240618756202</v>
      </c>
      <c r="I46" s="4">
        <v>0.910769334909039</v>
      </c>
      <c r="J46" s="4">
        <v>0.91121188374033801</v>
      </c>
      <c r="K46" s="4">
        <v>0.91352088485994698</v>
      </c>
      <c r="L46" s="4">
        <v>0.90918631688071405</v>
      </c>
      <c r="M46" s="4">
        <v>0.90704513061074798</v>
      </c>
      <c r="N46" s="4">
        <v>0.91450321211040997</v>
      </c>
      <c r="O46" s="4">
        <v>0.91709343880383798</v>
      </c>
      <c r="P46" s="4">
        <v>0.90472032408008896</v>
      </c>
      <c r="Q46" s="1">
        <v>0.90674359725748799</v>
      </c>
      <c r="R46" s="1">
        <v>0.90946113609158397</v>
      </c>
      <c r="S46" s="1">
        <v>0.90698755049441104</v>
      </c>
      <c r="T46" s="1">
        <v>0.91597036628620199</v>
      </c>
      <c r="U46" s="1">
        <v>0.91951964142162901</v>
      </c>
      <c r="V46" s="4">
        <v>0.91515712325125698</v>
      </c>
      <c r="W46" s="10">
        <v>0.90967504649858399</v>
      </c>
      <c r="X46" s="1">
        <v>0.90348775800134296</v>
      </c>
      <c r="Y46" s="1">
        <v>0.89921767766243799</v>
      </c>
      <c r="Z46" s="1">
        <v>0.88976981823131296</v>
      </c>
      <c r="AA46" s="1">
        <v>0.89427952663325705</v>
      </c>
      <c r="AB46" s="1">
        <v>0.88431759972311597</v>
      </c>
      <c r="AC46" s="1">
        <v>0.88896177483337002</v>
      </c>
      <c r="AD46">
        <v>110</v>
      </c>
    </row>
    <row r="47" spans="2:30" x14ac:dyDescent="0.3">
      <c r="B47" t="s">
        <v>5</v>
      </c>
      <c r="C47" s="4">
        <v>0.898226701461596</v>
      </c>
      <c r="D47" s="4">
        <v>0.88447832029090301</v>
      </c>
      <c r="E47" s="4">
        <v>0.88734241615096499</v>
      </c>
      <c r="F47" s="4">
        <v>0.87404358848743102</v>
      </c>
      <c r="G47" s="4">
        <v>0.87865509260113595</v>
      </c>
      <c r="H47" s="4">
        <v>0.88715542636612998</v>
      </c>
      <c r="I47" s="4">
        <v>0.88529577777690704</v>
      </c>
      <c r="J47" s="4">
        <v>0.88440662434588901</v>
      </c>
      <c r="K47" s="4">
        <v>0.88972723877427395</v>
      </c>
      <c r="L47" s="4">
        <v>0.88141998796013299</v>
      </c>
      <c r="M47" s="4">
        <v>0.88441493096020796</v>
      </c>
      <c r="N47" s="4">
        <v>0.86983088224530503</v>
      </c>
      <c r="O47" s="4">
        <v>0.89155218352319499</v>
      </c>
      <c r="P47" s="4">
        <v>0.88980710367129101</v>
      </c>
      <c r="Q47" s="1">
        <v>0.88859569697671104</v>
      </c>
      <c r="R47" s="1">
        <v>0.88578320881158901</v>
      </c>
      <c r="S47" s="1">
        <v>0.88889531621100704</v>
      </c>
      <c r="T47" s="1">
        <v>0.89425869650537904</v>
      </c>
      <c r="U47" s="1">
        <v>0.90540079163467602</v>
      </c>
      <c r="V47" s="4">
        <v>0.90406457629542103</v>
      </c>
      <c r="W47" s="1">
        <v>0.908611182017663</v>
      </c>
      <c r="X47" s="1">
        <v>0.92013723938956904</v>
      </c>
      <c r="Y47" s="1">
        <v>0.92467783457806096</v>
      </c>
      <c r="Z47" s="1">
        <v>0.92961752136299503</v>
      </c>
      <c r="AA47" s="1">
        <v>0.924035217673007</v>
      </c>
      <c r="AB47" s="1">
        <v>0.92867448806919495</v>
      </c>
      <c r="AC47" s="1">
        <v>0.92849586640728299</v>
      </c>
      <c r="AD47">
        <v>109</v>
      </c>
    </row>
    <row r="48" spans="2:30" x14ac:dyDescent="0.3">
      <c r="B48" t="s">
        <v>11</v>
      </c>
      <c r="C48" s="4">
        <v>0.84229944105149102</v>
      </c>
      <c r="D48" s="4">
        <v>0.81695125611576802</v>
      </c>
      <c r="E48" s="4">
        <v>0.81664183234846</v>
      </c>
      <c r="F48" s="4">
        <v>0.81722325167251597</v>
      </c>
      <c r="G48" s="4">
        <v>0.81607222096604604</v>
      </c>
      <c r="H48" s="4">
        <v>0.81008918432601995</v>
      </c>
      <c r="I48" s="4">
        <v>0.80676386250174204</v>
      </c>
      <c r="J48" s="4">
        <v>0.80846340766429703</v>
      </c>
      <c r="K48" s="4">
        <v>0.81159898681392695</v>
      </c>
      <c r="L48" s="4">
        <v>0.81165043604734599</v>
      </c>
      <c r="M48" s="4">
        <v>0.81641426506686199</v>
      </c>
      <c r="N48" s="4">
        <v>0.821720912578489</v>
      </c>
      <c r="O48" s="4">
        <v>0.83185313124847604</v>
      </c>
      <c r="P48" s="4">
        <v>0.82278171830549895</v>
      </c>
      <c r="Q48" s="10">
        <v>0.800438457864314</v>
      </c>
      <c r="R48" s="1">
        <v>0.80252681646883905</v>
      </c>
      <c r="S48" s="1">
        <v>0.803996485142904</v>
      </c>
      <c r="T48" s="1">
        <v>0.81155184299265803</v>
      </c>
      <c r="U48" s="1">
        <v>0.81693362781551704</v>
      </c>
      <c r="V48" s="4">
        <v>0.827340739694303</v>
      </c>
      <c r="W48" s="10">
        <v>0.82267760269739798</v>
      </c>
      <c r="X48" s="1">
        <v>0.82243668735409003</v>
      </c>
      <c r="Y48" s="1">
        <v>0.82525825273903397</v>
      </c>
      <c r="Z48" s="1">
        <v>0.82305427560964595</v>
      </c>
      <c r="AA48" s="1">
        <v>0.84146868791782103</v>
      </c>
      <c r="AB48" s="1">
        <v>0.83825036562112198</v>
      </c>
      <c r="AC48" s="1">
        <v>0.83185879386790995</v>
      </c>
      <c r="AD48">
        <v>106</v>
      </c>
    </row>
    <row r="49" spans="2:32" x14ac:dyDescent="0.3">
      <c r="B49" t="s">
        <v>1</v>
      </c>
      <c r="C49" s="4">
        <v>0.97837355041793705</v>
      </c>
      <c r="D49" s="4">
        <v>0.97352901962417904</v>
      </c>
      <c r="E49" s="4">
        <v>0.97764035650466097</v>
      </c>
      <c r="F49" s="4">
        <v>0.97655904677810401</v>
      </c>
      <c r="G49" s="4">
        <v>0.97760946967338502</v>
      </c>
      <c r="H49" s="4">
        <v>0.97259951907271602</v>
      </c>
      <c r="I49" s="4">
        <v>0.96958175834761096</v>
      </c>
      <c r="J49" s="4">
        <v>0.97107263967582702</v>
      </c>
      <c r="K49" s="4">
        <v>0.97128505094237905</v>
      </c>
      <c r="L49" s="4">
        <v>0.95991970988539799</v>
      </c>
      <c r="M49" s="4">
        <v>0.96255670306323804</v>
      </c>
      <c r="N49" s="4">
        <v>0.96688840538506404</v>
      </c>
      <c r="O49" s="4">
        <v>0.97065945668502995</v>
      </c>
      <c r="P49" s="4">
        <v>0.96202883984534004</v>
      </c>
      <c r="Q49" s="1">
        <v>0.95964477344105503</v>
      </c>
      <c r="R49" s="1">
        <v>0.95807036215844399</v>
      </c>
      <c r="S49" s="1">
        <v>0.96221090530967901</v>
      </c>
      <c r="T49" s="1">
        <v>0.96873117948520404</v>
      </c>
      <c r="U49" s="1">
        <v>0.973038003679216</v>
      </c>
      <c r="V49" s="4">
        <v>0.96821099790678999</v>
      </c>
      <c r="W49" s="10">
        <v>0.96487508240512099</v>
      </c>
      <c r="X49" s="1">
        <v>0.96255102837065298</v>
      </c>
      <c r="Y49" s="1">
        <v>0.96022054816049696</v>
      </c>
      <c r="Z49" s="1">
        <v>0.96018220897639595</v>
      </c>
      <c r="AA49" s="1">
        <v>0.96873762323524304</v>
      </c>
      <c r="AB49" s="1">
        <v>0.97544556028181695</v>
      </c>
      <c r="AC49" s="1">
        <v>0.972567716618017</v>
      </c>
      <c r="AD49">
        <v>104</v>
      </c>
    </row>
    <row r="50" spans="2:32" x14ac:dyDescent="0.3">
      <c r="B50" t="s">
        <v>10</v>
      </c>
      <c r="C50" s="4">
        <v>0.979068721431262</v>
      </c>
      <c r="D50" s="4">
        <v>0.94615138643748398</v>
      </c>
      <c r="E50" s="4">
        <v>0.943945997602886</v>
      </c>
      <c r="F50" s="4">
        <v>0.94585010346998999</v>
      </c>
      <c r="G50" s="4">
        <v>0.96440348001907095</v>
      </c>
      <c r="H50" s="4">
        <v>0.96873081912131997</v>
      </c>
      <c r="I50" s="4">
        <v>0.95873464297192401</v>
      </c>
      <c r="J50" s="4">
        <v>0.96281542414918897</v>
      </c>
      <c r="K50" s="4">
        <v>0.95624115718883196</v>
      </c>
      <c r="L50" s="4">
        <v>0.955653080356619</v>
      </c>
      <c r="M50" s="4">
        <v>0.96447069827548504</v>
      </c>
      <c r="N50" s="4">
        <v>0.97728051341925704</v>
      </c>
      <c r="O50" s="4">
        <v>0.98476892255227499</v>
      </c>
      <c r="P50" s="4">
        <v>0.96675369052522897</v>
      </c>
      <c r="Q50" s="1">
        <v>0.95430092779016695</v>
      </c>
      <c r="R50" s="1">
        <v>0.95760649034022405</v>
      </c>
      <c r="S50" s="1">
        <v>0.96319403365857403</v>
      </c>
      <c r="T50" s="1">
        <v>0.96382324123930296</v>
      </c>
      <c r="U50" s="1">
        <v>0.96306225438994797</v>
      </c>
      <c r="V50" s="4">
        <v>0.95493133873762803</v>
      </c>
      <c r="W50" s="10">
        <v>0.93935503974810497</v>
      </c>
      <c r="X50" s="1">
        <v>0.93364532642583198</v>
      </c>
      <c r="Y50" s="1">
        <v>0.92603769268041303</v>
      </c>
      <c r="Z50" s="1">
        <v>0.92650161943119003</v>
      </c>
      <c r="AA50" s="1">
        <v>0.91961314712612696</v>
      </c>
      <c r="AB50" s="1">
        <v>0.92311191314111696</v>
      </c>
      <c r="AC50" s="1">
        <v>0.92660700769950199</v>
      </c>
      <c r="AD50">
        <v>111</v>
      </c>
    </row>
    <row r="51" spans="2:32" x14ac:dyDescent="0.3">
      <c r="B51" t="s">
        <v>9</v>
      </c>
      <c r="C51" s="4">
        <v>0.86265966002988903</v>
      </c>
      <c r="D51" s="4">
        <v>0.86021533547869899</v>
      </c>
      <c r="E51" s="4">
        <v>0.86399678835142002</v>
      </c>
      <c r="F51" s="4">
        <v>0.86298565458212495</v>
      </c>
      <c r="G51" s="4">
        <v>0.852833224840439</v>
      </c>
      <c r="H51" s="4">
        <v>0.85279250117324601</v>
      </c>
      <c r="I51" s="4">
        <v>0.84669199261054195</v>
      </c>
      <c r="J51" s="4">
        <v>0.84313890917054102</v>
      </c>
      <c r="K51" s="4">
        <v>0.83722274852329304</v>
      </c>
      <c r="L51" s="4">
        <v>0.82898855537710903</v>
      </c>
      <c r="M51" s="4">
        <v>0.82170122006330804</v>
      </c>
      <c r="N51" s="4">
        <v>0.81385101969777596</v>
      </c>
      <c r="O51" s="4">
        <v>0.81052372400633099</v>
      </c>
      <c r="P51" s="4">
        <v>0.80131638046790499</v>
      </c>
      <c r="Q51" s="1">
        <v>0.79706453664076504</v>
      </c>
      <c r="R51" s="1">
        <v>0.795338345491447</v>
      </c>
      <c r="S51" s="1">
        <v>0.78270948298743803</v>
      </c>
      <c r="T51" s="1">
        <v>0.78021067270947198</v>
      </c>
      <c r="U51" s="1">
        <v>0.78254342147865397</v>
      </c>
      <c r="V51" s="4">
        <v>0.78009510060274601</v>
      </c>
      <c r="W51" s="10">
        <v>0.77645255757980403</v>
      </c>
      <c r="X51" s="1">
        <v>0.77503144320419204</v>
      </c>
      <c r="Y51" s="1">
        <v>0.76691330092202903</v>
      </c>
      <c r="Z51" s="1">
        <v>0.76446024925671596</v>
      </c>
      <c r="AA51" s="1">
        <v>0.76245972107721105</v>
      </c>
      <c r="AB51" s="1">
        <v>0.76462372066325701</v>
      </c>
      <c r="AC51" s="1">
        <v>0.77299954062210097</v>
      </c>
      <c r="AD51">
        <v>107</v>
      </c>
    </row>
    <row r="52" spans="2:32" x14ac:dyDescent="0.3">
      <c r="B52" t="s">
        <v>3</v>
      </c>
      <c r="C52" s="4">
        <v>0.98115621763268901</v>
      </c>
      <c r="D52" s="4">
        <v>0.97595562069929798</v>
      </c>
      <c r="E52" s="4">
        <v>0.97653156720776502</v>
      </c>
      <c r="F52" s="4">
        <v>0.97096848834836402</v>
      </c>
      <c r="G52" s="4">
        <v>0.97927605973541099</v>
      </c>
      <c r="H52" s="4">
        <v>0.97457086721505204</v>
      </c>
      <c r="I52" s="4">
        <v>0.97669379898798403</v>
      </c>
      <c r="J52" s="4">
        <v>0.97348262410529995</v>
      </c>
      <c r="K52" s="4">
        <v>0.97761979230387197</v>
      </c>
      <c r="L52" s="4">
        <v>0.98732781085177501</v>
      </c>
      <c r="M52" s="4">
        <v>0.98651883609075497</v>
      </c>
      <c r="N52" s="4">
        <v>0.98948441356791805</v>
      </c>
      <c r="O52" s="4">
        <v>0.99477658303332706</v>
      </c>
      <c r="P52" s="4">
        <v>1.000379041185858</v>
      </c>
      <c r="Q52" s="1">
        <v>1.0036982049625041</v>
      </c>
      <c r="R52" s="1">
        <v>0.99940755234901801</v>
      </c>
      <c r="S52" s="1">
        <v>0.99308106493689396</v>
      </c>
      <c r="T52" s="1">
        <v>0.99315521231975601</v>
      </c>
      <c r="U52" s="1">
        <v>0.99694953865639202</v>
      </c>
      <c r="V52" s="4">
        <v>0.99271879371852201</v>
      </c>
      <c r="W52" s="10">
        <v>0.98821543349209895</v>
      </c>
      <c r="X52" s="10">
        <v>0.99255293114819498</v>
      </c>
      <c r="Y52" s="10">
        <v>0.99678712480097098</v>
      </c>
      <c r="Z52" s="1">
        <v>0.99190724563948796</v>
      </c>
      <c r="AA52" s="1">
        <v>0.98325709930185201</v>
      </c>
      <c r="AB52" s="1">
        <v>0.97569731498401202</v>
      </c>
      <c r="AC52" s="1">
        <v>0.96885555723362804</v>
      </c>
      <c r="AD52">
        <v>108</v>
      </c>
    </row>
    <row r="53" spans="2:32" x14ac:dyDescent="0.3">
      <c r="C53" s="4">
        <f>AVERAGE(C39:C52)</f>
        <v>0.88410202242317015</v>
      </c>
      <c r="D53" s="4">
        <f t="shared" ref="D53:X53" si="9">AVERAGE(D39:D52)</f>
        <v>0.86215517081035675</v>
      </c>
      <c r="E53" s="4">
        <f t="shared" si="9"/>
        <v>0.86503876400788005</v>
      </c>
      <c r="F53" s="4">
        <f t="shared" si="9"/>
        <v>0.86652745195645553</v>
      </c>
      <c r="G53" s="4">
        <f t="shared" si="9"/>
        <v>0.86926466273674841</v>
      </c>
      <c r="H53" s="4">
        <f t="shared" si="9"/>
        <v>0.87147941995459433</v>
      </c>
      <c r="I53" s="4">
        <f t="shared" si="9"/>
        <v>0.87135900861255511</v>
      </c>
      <c r="J53" s="4">
        <f t="shared" si="9"/>
        <v>0.8726748978501766</v>
      </c>
      <c r="K53" s="4">
        <f t="shared" si="9"/>
        <v>0.86941058576307928</v>
      </c>
      <c r="L53" s="4">
        <f t="shared" si="9"/>
        <v>0.91219775708495821</v>
      </c>
      <c r="M53" s="4">
        <f t="shared" si="9"/>
        <v>0.91458533418103283</v>
      </c>
      <c r="N53" s="4">
        <f t="shared" si="9"/>
        <v>0.92274624600705624</v>
      </c>
      <c r="O53" s="4">
        <f t="shared" si="9"/>
        <v>0.93334904991042422</v>
      </c>
      <c r="P53" s="4">
        <f t="shared" si="9"/>
        <v>0.92312350942407106</v>
      </c>
      <c r="Q53" s="4">
        <f t="shared" si="9"/>
        <v>0.90972358300449996</v>
      </c>
      <c r="R53" s="4">
        <f t="shared" si="9"/>
        <v>0.91267813652336804</v>
      </c>
      <c r="S53" s="4">
        <f t="shared" si="9"/>
        <v>0.91432238358479867</v>
      </c>
      <c r="T53" s="4">
        <f t="shared" si="9"/>
        <v>0.91965280979669761</v>
      </c>
      <c r="U53" s="4">
        <f t="shared" si="9"/>
        <v>0.9218379599105645</v>
      </c>
      <c r="V53" s="4">
        <f t="shared" si="9"/>
        <v>0.92279999977650218</v>
      </c>
      <c r="W53" s="10">
        <f t="shared" si="9"/>
        <v>0.91800734760332703</v>
      </c>
      <c r="X53" s="10">
        <f t="shared" si="9"/>
        <v>0.91743684007097559</v>
      </c>
      <c r="Y53" s="10">
        <f>AVERAGE(Y39:Y52)</f>
        <v>0.91936211849134042</v>
      </c>
      <c r="Z53" s="10">
        <f>AVERAGE(Z39:Z52)</f>
        <v>0.91949651278710598</v>
      </c>
      <c r="AA53" s="10">
        <f>AVERAGE(AA39:AA52)</f>
        <v>0.92491243128534784</v>
      </c>
      <c r="AB53" s="10">
        <f>AVERAGE(AB39:AB52)</f>
        <v>0.9248037402296696</v>
      </c>
      <c r="AC53" s="10">
        <f>AVERAGE(AC39:AC52)</f>
        <v>0.92737585733666461</v>
      </c>
    </row>
    <row r="55" spans="2:32" x14ac:dyDescent="0.3">
      <c r="B55" s="16" t="s">
        <v>17</v>
      </c>
      <c r="C55" s="16">
        <v>202312</v>
      </c>
      <c r="D55" s="16">
        <v>202401</v>
      </c>
      <c r="E55" s="16">
        <v>202402</v>
      </c>
      <c r="F55" s="16">
        <v>202403</v>
      </c>
      <c r="G55" s="16">
        <v>202404</v>
      </c>
      <c r="H55" s="16">
        <v>202405</v>
      </c>
      <c r="I55" s="16">
        <v>202406</v>
      </c>
      <c r="J55" s="16">
        <v>202407</v>
      </c>
      <c r="K55" s="16">
        <v>202408</v>
      </c>
      <c r="L55" s="16">
        <v>202409</v>
      </c>
      <c r="M55" s="16">
        <v>202410</v>
      </c>
      <c r="N55" s="16">
        <v>202411</v>
      </c>
      <c r="O55" s="16">
        <v>202412</v>
      </c>
      <c r="P55" s="16">
        <v>202501</v>
      </c>
      <c r="Q55" s="16">
        <v>202502</v>
      </c>
      <c r="R55" s="16">
        <v>202503</v>
      </c>
      <c r="S55" s="16">
        <v>202504</v>
      </c>
      <c r="T55" s="16">
        <v>202505</v>
      </c>
      <c r="U55" s="16">
        <v>202506</v>
      </c>
      <c r="V55" s="16">
        <v>202507</v>
      </c>
      <c r="W55" s="16">
        <v>202508</v>
      </c>
      <c r="X55" s="16">
        <v>202509</v>
      </c>
      <c r="Y55" s="16">
        <v>202510</v>
      </c>
      <c r="Z55" s="16">
        <v>202511</v>
      </c>
      <c r="AA55" s="16">
        <v>202512</v>
      </c>
      <c r="AB55" s="16">
        <v>202601</v>
      </c>
      <c r="AC55">
        <v>202602</v>
      </c>
    </row>
    <row r="56" spans="2:32" x14ac:dyDescent="0.3">
      <c r="B56" s="11" t="s">
        <v>12</v>
      </c>
      <c r="C56" s="12">
        <f>'Resultat-VC (3)'!E360</f>
        <v>1761650</v>
      </c>
      <c r="D56" s="12">
        <f>'Resultat-VC (3)'!F360</f>
        <v>1588915</v>
      </c>
      <c r="E56" s="12">
        <f>'Resultat-VC (3)'!G360</f>
        <v>1583472</v>
      </c>
      <c r="F56" s="12">
        <f>'Resultat-VC (3)'!H360</f>
        <v>1623341</v>
      </c>
      <c r="G56" s="12">
        <f>'Resultat-VC (3)'!I360</f>
        <v>1634285</v>
      </c>
      <c r="H56" s="12">
        <f>'Resultat-VC (3)'!J360</f>
        <v>1631728</v>
      </c>
      <c r="I56" s="12">
        <f>'Resultat-VC (3)'!K360</f>
        <v>1639794</v>
      </c>
      <c r="J56" s="12">
        <f>'Resultat-VC (3)'!L360</f>
        <v>1644169</v>
      </c>
      <c r="K56" s="12">
        <f>'Resultat-VC (3)'!M360</f>
        <v>1656158</v>
      </c>
      <c r="L56" s="12">
        <f>'Resultat-VC (3)'!N360</f>
        <v>1673195</v>
      </c>
      <c r="M56" s="12">
        <f>'Resultat-VC (3)'!O360</f>
        <v>1698489</v>
      </c>
      <c r="N56" s="12">
        <f>'Resultat-VC (3)'!P360</f>
        <v>1892860</v>
      </c>
      <c r="O56" s="12">
        <f>'Resultat-VC (3)'!Q360</f>
        <v>1863604</v>
      </c>
      <c r="P56" s="12">
        <f>'Resultat-VC (3)'!R360</f>
        <v>2170966</v>
      </c>
      <c r="Q56" s="12">
        <f>'Resultat-VC (3)'!S360</f>
        <v>2082455</v>
      </c>
      <c r="R56" s="12">
        <f>'Resultat-VC (3)'!T360</f>
        <v>2078663</v>
      </c>
      <c r="S56" s="12">
        <f>'Resultat-VC (3)'!U360</f>
        <v>2079511</v>
      </c>
      <c r="T56" s="12">
        <f>'Resultat-VC (3)'!V360</f>
        <v>2079511</v>
      </c>
      <c r="U56" s="12">
        <f>'Resultat-VC (3)'!W360</f>
        <v>2128468.66</v>
      </c>
      <c r="V56" s="12">
        <f>'Resultat-VC (3)'!X360</f>
        <v>2097450.19</v>
      </c>
      <c r="W56" s="12">
        <f>'Resultat-VC (3)'!Y360</f>
        <v>2107259.35</v>
      </c>
      <c r="X56" s="12">
        <f>'Resultat-VC (3)'!Z360</f>
        <v>2124640.1800000002</v>
      </c>
      <c r="Y56" s="12">
        <f>'Resultat-VC (3)'!AA360</f>
        <v>2150733.89</v>
      </c>
      <c r="Z56" s="12">
        <f>'Resultat-VC (3)'!AB360</f>
        <v>2120064.19</v>
      </c>
      <c r="AA56" s="12">
        <f>'Resultat-VC (3)'!AC360</f>
        <v>2245979.36</v>
      </c>
      <c r="AB56" s="12">
        <f>'Resultat-VC (3)'!AD360</f>
        <v>2130950.2200000002</v>
      </c>
      <c r="AC56" s="12">
        <v>2207769</v>
      </c>
      <c r="AD56" s="7"/>
      <c r="AE56" s="7"/>
      <c r="AF56" s="7"/>
    </row>
    <row r="57" spans="2:32" x14ac:dyDescent="0.3">
      <c r="B57" s="11" t="s">
        <v>0</v>
      </c>
      <c r="C57" s="12">
        <f>'Resultat-VC (3)'!E280</f>
        <v>2656507.25</v>
      </c>
      <c r="D57" s="12">
        <f>'Resultat-VC (3)'!F280</f>
        <v>2181922.98</v>
      </c>
      <c r="E57" s="12">
        <f>'Resultat-VC (3)'!G280</f>
        <v>2191660.29</v>
      </c>
      <c r="F57" s="12">
        <f>'Resultat-VC (3)'!H280</f>
        <v>2232170.37</v>
      </c>
      <c r="G57" s="12">
        <f>'Resultat-VC (3)'!I280</f>
        <v>2210154.62</v>
      </c>
      <c r="H57" s="12">
        <f>'Resultat-VC (3)'!J280</f>
        <v>2242240.5099999998</v>
      </c>
      <c r="I57" s="12">
        <f>'Resultat-VC (3)'!K280</f>
        <v>2248417.84</v>
      </c>
      <c r="J57" s="12">
        <f>'Resultat-VC (3)'!L280</f>
        <v>2202617.92</v>
      </c>
      <c r="K57" s="12">
        <f>'Resultat-VC (3)'!M280</f>
        <v>2176982.48</v>
      </c>
      <c r="L57" s="12">
        <f>'Resultat-VC (3)'!N280</f>
        <v>2190955.46</v>
      </c>
      <c r="M57" s="12">
        <f>'Resultat-VC (3)'!O280</f>
        <v>2175195.96</v>
      </c>
      <c r="N57" s="12">
        <f>'Resultat-VC (3)'!P280</f>
        <v>2689741.62</v>
      </c>
      <c r="O57" s="12">
        <f>'Resultat-VC (3)'!Q280</f>
        <v>2544948.02</v>
      </c>
      <c r="P57" s="12">
        <f>'Resultat-VC (3)'!R280</f>
        <v>2573349.19</v>
      </c>
      <c r="Q57" s="12">
        <f>'Resultat-VC (3)'!S280</f>
        <v>2485824.84</v>
      </c>
      <c r="R57" s="12">
        <f>'Resultat-VC (3)'!T280</f>
        <v>2463774.08</v>
      </c>
      <c r="S57" s="12">
        <f>'Resultat-VC (3)'!U280</f>
        <v>2469247.63</v>
      </c>
      <c r="T57" s="12">
        <f>'Resultat-VC (3)'!V280</f>
        <v>2469247.63</v>
      </c>
      <c r="U57" s="12">
        <f>'Resultat-VC (3)'!W280</f>
        <v>2514585.39</v>
      </c>
      <c r="V57" s="12">
        <f>'Resultat-VC (3)'!X280</f>
        <v>2409980.11</v>
      </c>
      <c r="W57" s="12">
        <f>'Resultat-VC (3)'!Y280</f>
        <v>2428274.69</v>
      </c>
      <c r="X57" s="12">
        <f>'Resultat-VC (3)'!Z280</f>
        <v>2420966.1800000002</v>
      </c>
      <c r="Y57" s="12">
        <f>'Resultat-VC (3)'!AA280</f>
        <v>2402811.2000000002</v>
      </c>
      <c r="Z57" s="12">
        <f>'Resultat-VC (3)'!AB280</f>
        <v>2479882.66</v>
      </c>
      <c r="AA57" s="12">
        <f>'Resultat-VC (3)'!AC280</f>
        <v>2720833.16</v>
      </c>
      <c r="AB57" s="12">
        <f>'Resultat-VC (3)'!AD280</f>
        <v>2717880.89</v>
      </c>
      <c r="AC57" s="12">
        <v>2595185</v>
      </c>
    </row>
    <row r="58" spans="2:32" x14ac:dyDescent="0.3">
      <c r="B58" s="11" t="s">
        <v>2</v>
      </c>
      <c r="C58" s="12">
        <f>'Resultat-VC (3)'!E332</f>
        <v>1502318</v>
      </c>
      <c r="D58" s="12">
        <f>'Resultat-VC (3)'!F332</f>
        <v>1448774.21</v>
      </c>
      <c r="E58" s="12">
        <f>'Resultat-VC (3)'!G332</f>
        <v>1384729.02</v>
      </c>
      <c r="F58" s="12">
        <f>'Resultat-VC (3)'!H332</f>
        <v>1432301.22</v>
      </c>
      <c r="G58" s="12">
        <f>'Resultat-VC (3)'!I332</f>
        <v>1414515.64</v>
      </c>
      <c r="H58" s="12">
        <f>'Resultat-VC (3)'!J332</f>
        <v>1411702.42</v>
      </c>
      <c r="I58" s="12">
        <f>'Resultat-VC (3)'!K332</f>
        <v>1388974.74</v>
      </c>
      <c r="J58" s="12">
        <f>'Resultat-VC (3)'!L332</f>
        <v>1378302.77</v>
      </c>
      <c r="K58" s="12">
        <f>'Resultat-VC (3)'!M332</f>
        <v>1354574.76</v>
      </c>
      <c r="L58" s="12">
        <f>'Resultat-VC (3)'!N332</f>
        <v>1354122.53</v>
      </c>
      <c r="M58" s="12">
        <f>'Resultat-VC (3)'!O332</f>
        <v>1345243.51</v>
      </c>
      <c r="N58" s="12">
        <f>'Resultat-VC (3)'!P332</f>
        <v>1379934.12</v>
      </c>
      <c r="O58" s="12">
        <f>'Resultat-VC (3)'!Q332</f>
        <v>1357846.96</v>
      </c>
      <c r="P58" s="12">
        <f>'Resultat-VC (3)'!R332</f>
        <v>1464253.09</v>
      </c>
      <c r="Q58" s="12">
        <f>'Resultat-VC (3)'!S332</f>
        <v>1437456.28</v>
      </c>
      <c r="R58" s="12">
        <f>'Resultat-VC (3)'!T332</f>
        <v>1443127.05</v>
      </c>
      <c r="S58" s="12">
        <f>'Resultat-VC (3)'!U332</f>
        <v>1446468.65</v>
      </c>
      <c r="T58" s="12">
        <f>'Resultat-VC (3)'!V332</f>
        <v>1446468.65</v>
      </c>
      <c r="U58" s="12">
        <f>'Resultat-VC (3)'!W332</f>
        <v>1473266.63</v>
      </c>
      <c r="V58" s="12">
        <f>'Resultat-VC (3)'!X332</f>
        <v>1462384.2</v>
      </c>
      <c r="W58" s="12">
        <f>'Resultat-VC (3)'!Y332</f>
        <v>1457332.8</v>
      </c>
      <c r="X58" s="12">
        <f>'Resultat-VC (3)'!Z332</f>
        <v>1468581.92</v>
      </c>
      <c r="Y58" s="12">
        <f>'Resultat-VC (3)'!AA332</f>
        <v>1453627.78</v>
      </c>
      <c r="Z58" s="12">
        <f>'Resultat-VC (3)'!AB332</f>
        <v>1469211.05</v>
      </c>
      <c r="AA58" s="12">
        <f>'Resultat-VC (3)'!AC332</f>
        <v>1516423.76</v>
      </c>
      <c r="AB58" s="12">
        <f>'Resultat-VC (3)'!AD332</f>
        <v>1614409.66</v>
      </c>
      <c r="AC58" s="12">
        <v>1511153</v>
      </c>
    </row>
    <row r="59" spans="2:32" x14ac:dyDescent="0.3">
      <c r="B59" s="11" t="s">
        <v>13</v>
      </c>
      <c r="C59" s="12">
        <f>'Resultat-VC (3)'!E7</f>
        <v>0</v>
      </c>
      <c r="D59" s="12">
        <f>'Resultat-VC (3)'!F7</f>
        <v>0</v>
      </c>
      <c r="E59" s="12">
        <f>'Resultat-VC (3)'!G7</f>
        <v>0</v>
      </c>
      <c r="F59" s="12">
        <f>'Resultat-VC (3)'!H7</f>
        <v>0</v>
      </c>
      <c r="G59" s="12">
        <f>'Resultat-VC (3)'!I7</f>
        <v>0</v>
      </c>
      <c r="H59" s="12">
        <f>'Resultat-VC (3)'!J7</f>
        <v>0</v>
      </c>
      <c r="I59" s="12">
        <f>'Resultat-VC (3)'!K7</f>
        <v>0</v>
      </c>
      <c r="J59" s="12">
        <f>'Resultat-VC (3)'!L7</f>
        <v>0</v>
      </c>
      <c r="K59" s="12">
        <f>'Resultat-VC (3)'!M7</f>
        <v>0</v>
      </c>
      <c r="L59" s="12">
        <f>'Resultat-VC (3)'!N7</f>
        <v>42957.22</v>
      </c>
      <c r="M59" s="12">
        <f>'Resultat-VC (3)'!O7</f>
        <v>87371.97</v>
      </c>
      <c r="N59" s="12">
        <f>'Resultat-VC (3)'!P7</f>
        <v>149764.63</v>
      </c>
      <c r="O59" s="12">
        <f>'Resultat-VC (3)'!Q7</f>
        <v>157005.96</v>
      </c>
      <c r="P59" s="12">
        <f>'Resultat-VC (3)'!R7</f>
        <v>202669.33</v>
      </c>
      <c r="Q59" s="12">
        <f>'Resultat-VC (3)'!S7</f>
        <v>224834.78</v>
      </c>
      <c r="R59" s="12">
        <f>'Resultat-VC (3)'!T7</f>
        <v>248373.36</v>
      </c>
      <c r="S59" s="12">
        <f>'Resultat-VC (3)'!U7</f>
        <v>275498.18</v>
      </c>
      <c r="T59" s="12">
        <f>'Resultat-VC (3)'!V7</f>
        <v>275498.18</v>
      </c>
      <c r="U59" s="12">
        <f>'Resultat-VC (3)'!W7</f>
        <v>330771.15999999997</v>
      </c>
      <c r="V59" s="12">
        <f>'Resultat-VC (3)'!X7</f>
        <v>333083.84999999998</v>
      </c>
      <c r="W59" s="12">
        <f>'Resultat-VC (3)'!Y7</f>
        <v>381700.68</v>
      </c>
      <c r="X59" s="12">
        <f>'Resultat-VC (3)'!Z7</f>
        <v>395221.25</v>
      </c>
      <c r="Y59" s="12">
        <f>'Resultat-VC (3)'!AA7</f>
        <v>407547.53</v>
      </c>
      <c r="Z59" s="12">
        <f>'Resultat-VC (3)'!AB7</f>
        <v>476681.84</v>
      </c>
      <c r="AA59" s="12">
        <f>'Resultat-VC (3)'!AC7</f>
        <v>525489.02</v>
      </c>
      <c r="AB59" s="12">
        <f>'Resultat-VC (3)'!AD7</f>
        <v>520984.24</v>
      </c>
      <c r="AC59" s="12">
        <v>526087</v>
      </c>
    </row>
    <row r="60" spans="2:32" x14ac:dyDescent="0.3">
      <c r="B60" s="11" t="s">
        <v>8</v>
      </c>
      <c r="C60" s="12">
        <f>'Resultat-VC (3)'!E308</f>
        <v>576629.42000000004</v>
      </c>
      <c r="D60" s="12">
        <f>'Resultat-VC (3)'!F308</f>
        <v>538419.9</v>
      </c>
      <c r="E60" s="12">
        <f>'Resultat-VC (3)'!G308</f>
        <v>536473.77</v>
      </c>
      <c r="F60" s="12">
        <f>'Resultat-VC (3)'!H308</f>
        <v>550570.62</v>
      </c>
      <c r="G60" s="12">
        <f>'Resultat-VC (3)'!I308</f>
        <v>543463.78</v>
      </c>
      <c r="H60" s="12">
        <f>'Resultat-VC (3)'!J308</f>
        <v>554797.06999999995</v>
      </c>
      <c r="I60" s="12">
        <f>'Resultat-VC (3)'!K308</f>
        <v>561980.07999999996</v>
      </c>
      <c r="J60" s="12">
        <f>'Resultat-VC (3)'!L308</f>
        <v>561435.34</v>
      </c>
      <c r="K60" s="12">
        <f>'Resultat-VC (3)'!M308</f>
        <v>551572.65</v>
      </c>
      <c r="L60" s="12">
        <f>'Resultat-VC (3)'!N308</f>
        <v>551227.38</v>
      </c>
      <c r="M60" s="12">
        <f>'Resultat-VC (3)'!O308</f>
        <v>557956.29</v>
      </c>
      <c r="N60" s="12">
        <f>'Resultat-VC (3)'!P308</f>
        <v>546787.05000000005</v>
      </c>
      <c r="O60" s="12">
        <f>'Resultat-VC (3)'!Q308</f>
        <v>551449.07999999996</v>
      </c>
      <c r="P60" s="12">
        <f>'Resultat-VC (3)'!R308</f>
        <v>597099.94999999995</v>
      </c>
      <c r="Q60" s="12">
        <f>'Resultat-VC (3)'!S308</f>
        <v>582417.76</v>
      </c>
      <c r="R60" s="12">
        <f>'Resultat-VC (3)'!T308</f>
        <v>583148.56000000006</v>
      </c>
      <c r="S60" s="12">
        <f>'Resultat-VC (3)'!U308</f>
        <v>580193.38</v>
      </c>
      <c r="T60" s="12">
        <f>'Resultat-VC (3)'!V308</f>
        <v>580193.38</v>
      </c>
      <c r="U60" s="12">
        <f>'Resultat-VC (3)'!W308</f>
        <v>582133.43999999994</v>
      </c>
      <c r="V60" s="12">
        <f>'Resultat-VC (3)'!X308</f>
        <v>579340.43000000005</v>
      </c>
      <c r="W60" s="12">
        <f>'Resultat-VC (3)'!Y308</f>
        <v>568287.16</v>
      </c>
      <c r="X60" s="12">
        <f>'Resultat-VC (3)'!Z308</f>
        <v>569373.54</v>
      </c>
      <c r="Y60" s="12">
        <f>'Resultat-VC (3)'!AA308</f>
        <v>571560.69999999995</v>
      </c>
      <c r="Z60" s="12">
        <f>'Resultat-VC (3)'!AB308</f>
        <v>558083.66</v>
      </c>
      <c r="AA60" s="12">
        <f>'Resultat-VC (3)'!AC308</f>
        <v>561806.44999999995</v>
      </c>
      <c r="AB60" s="12">
        <f>'Resultat-VC (3)'!AD308</f>
        <v>584364.66</v>
      </c>
      <c r="AC60" s="12">
        <v>563916</v>
      </c>
    </row>
    <row r="61" spans="2:32" x14ac:dyDescent="0.3">
      <c r="B61" s="11" t="s">
        <v>4</v>
      </c>
      <c r="C61" s="13">
        <f>'Resultat-VC (3)'!E33</f>
        <v>3387788.51</v>
      </c>
      <c r="D61" s="13">
        <f>'Resultat-VC (3)'!F33</f>
        <v>3257986.84</v>
      </c>
      <c r="E61" s="13">
        <f>'Resultat-VC (3)'!G33</f>
        <v>3221008.75</v>
      </c>
      <c r="F61" s="13">
        <f>'Resultat-VC (3)'!H33</f>
        <v>3302493.09</v>
      </c>
      <c r="G61" s="13">
        <f>'Resultat-VC (3)'!I33</f>
        <v>3274832.26</v>
      </c>
      <c r="H61" s="13">
        <f>'Resultat-VC (3)'!J33</f>
        <v>3270634.89</v>
      </c>
      <c r="I61" s="13">
        <f>'Resultat-VC (3)'!K33</f>
        <v>3300053.13</v>
      </c>
      <c r="J61" s="13">
        <f>'Resultat-VC (3)'!L33</f>
        <v>3298555.49</v>
      </c>
      <c r="K61" s="13">
        <f>'Resultat-VC (3)'!M33</f>
        <v>3225088.12</v>
      </c>
      <c r="L61" s="13">
        <f>'Resultat-VC (3)'!N33</f>
        <v>3426266.87</v>
      </c>
      <c r="M61" s="13">
        <f>'Resultat-VC (3)'!O33</f>
        <v>3070676.45</v>
      </c>
      <c r="N61" s="13">
        <f>'Resultat-VC (3)'!P33</f>
        <v>3484742.06</v>
      </c>
      <c r="O61" s="13">
        <f>'Resultat-VC (3)'!Q33</f>
        <v>3390122.98</v>
      </c>
      <c r="P61" s="13">
        <f>'Resultat-VC (3)'!R33</f>
        <v>3468679.75</v>
      </c>
      <c r="Q61" s="13">
        <f>'Resultat-VC (3)'!S33</f>
        <v>3499441.84</v>
      </c>
      <c r="R61" s="13">
        <f>'Resultat-VC (3)'!T33</f>
        <v>3508258.03</v>
      </c>
      <c r="S61" s="13">
        <f>'Resultat-VC (3)'!U33</f>
        <v>3505660.13</v>
      </c>
      <c r="T61" s="13">
        <f>'Resultat-VC (3)'!V33</f>
        <v>3505660.13</v>
      </c>
      <c r="U61" s="13">
        <f>'Resultat-VC (3)'!W33</f>
        <v>3483460.95</v>
      </c>
      <c r="V61" s="13">
        <f>'Resultat-VC (3)'!X33</f>
        <v>3481113.62</v>
      </c>
      <c r="W61" s="13">
        <f>'Resultat-VC (3)'!Y33</f>
        <v>3429516.42</v>
      </c>
      <c r="X61" s="13">
        <f>'Resultat-VC (3)'!Z33</f>
        <v>3456283.45</v>
      </c>
      <c r="Y61" s="13">
        <f>'Resultat-VC (3)'!AA33</f>
        <v>3469460.02</v>
      </c>
      <c r="Z61" s="13">
        <f>'Resultat-VC (3)'!AB33</f>
        <v>3494373.28</v>
      </c>
      <c r="AA61" s="13">
        <f>'Resultat-VC (3)'!AC33</f>
        <v>3575214.23</v>
      </c>
      <c r="AB61" s="13">
        <f>'Resultat-VC (3)'!AD33</f>
        <v>3339426.36</v>
      </c>
      <c r="AC61" s="13">
        <v>3445724</v>
      </c>
    </row>
    <row r="62" spans="2:32" x14ac:dyDescent="0.3">
      <c r="B62" s="11" t="s">
        <v>7</v>
      </c>
      <c r="C62" s="12">
        <f>'Resultat-VC (3)'!E61</f>
        <v>2665355.58</v>
      </c>
      <c r="D62" s="12">
        <f>'Resultat-VC (3)'!F61</f>
        <v>2508673.73</v>
      </c>
      <c r="E62" s="12">
        <f>'Resultat-VC (3)'!G61</f>
        <v>2481925.39</v>
      </c>
      <c r="F62" s="12">
        <f>'Resultat-VC (3)'!H61</f>
        <v>2551115.2599999998</v>
      </c>
      <c r="G62" s="12">
        <f>'Resultat-VC (3)'!I61</f>
        <v>2500798.4900000002</v>
      </c>
      <c r="H62" s="12">
        <f>'Resultat-VC (3)'!J61</f>
        <v>2586789.5</v>
      </c>
      <c r="I62" s="12">
        <f>'Resultat-VC (3)'!K61</f>
        <v>2585325.91</v>
      </c>
      <c r="J62" s="12">
        <f>'Resultat-VC (3)'!L61</f>
        <v>2563245.62</v>
      </c>
      <c r="K62" s="12">
        <f>'Resultat-VC (3)'!M61</f>
        <v>2537965.6800000002</v>
      </c>
      <c r="L62" s="12">
        <f>'Resultat-VC (3)'!N61</f>
        <v>2522402.62</v>
      </c>
      <c r="M62" s="12">
        <f>'Resultat-VC (3)'!O61</f>
        <v>2571134.4900000002</v>
      </c>
      <c r="N62" s="12">
        <f>'Resultat-VC (3)'!P61</f>
        <v>2660875.59</v>
      </c>
      <c r="O62" s="12">
        <f>'Resultat-VC (3)'!Q61</f>
        <v>2613482.17</v>
      </c>
      <c r="P62" s="12">
        <f>'Resultat-VC (3)'!R61</f>
        <v>2704111.81</v>
      </c>
      <c r="Q62" s="12">
        <f>'Resultat-VC (3)'!S61</f>
        <v>2799509.47</v>
      </c>
      <c r="R62" s="12">
        <f>'Resultat-VC (3)'!T61</f>
        <v>2809768.15</v>
      </c>
      <c r="S62" s="12">
        <f>'Resultat-VC (3)'!U61</f>
        <v>2824575.4</v>
      </c>
      <c r="T62" s="12">
        <f>'Resultat-VC (3)'!V61</f>
        <v>2824575.4</v>
      </c>
      <c r="U62" s="12">
        <f>'Resultat-VC (3)'!W61</f>
        <v>2921849.46</v>
      </c>
      <c r="V62" s="12">
        <f>'Resultat-VC (3)'!X61</f>
        <v>2908494.65</v>
      </c>
      <c r="W62" s="12">
        <f>'Resultat-VC (3)'!Y61</f>
        <v>2893252.96</v>
      </c>
      <c r="X62" s="12">
        <f>'Resultat-VC (3)'!Z61</f>
        <v>2839929.93</v>
      </c>
      <c r="Y62" s="12">
        <f>'Resultat-VC (3)'!AA61</f>
        <v>2840592.97</v>
      </c>
      <c r="Z62" s="12">
        <f>'Resultat-VC (3)'!AB61</f>
        <v>2900068.22</v>
      </c>
      <c r="AA62" s="12">
        <f>'Resultat-VC (3)'!AC61</f>
        <v>3005573.63</v>
      </c>
      <c r="AB62" s="12">
        <f>'Resultat-VC (3)'!AD61</f>
        <v>2682738.66</v>
      </c>
      <c r="AC62" s="12">
        <v>2923423</v>
      </c>
    </row>
    <row r="63" spans="2:32" x14ac:dyDescent="0.3">
      <c r="B63" s="11" t="s">
        <v>6</v>
      </c>
      <c r="C63" s="12">
        <f>'Resultat-VC (3)'!E224</f>
        <v>1424083.87</v>
      </c>
      <c r="D63" s="12">
        <f>'Resultat-VC (3)'!F224</f>
        <v>1399564.45</v>
      </c>
      <c r="E63" s="12">
        <f>'Resultat-VC (3)'!G224</f>
        <v>1390109.28</v>
      </c>
      <c r="F63" s="12">
        <f>'Resultat-VC (3)'!H224</f>
        <v>1468569.45</v>
      </c>
      <c r="G63" s="12">
        <f>'Resultat-VC (3)'!I224</f>
        <v>1463536.67</v>
      </c>
      <c r="H63" s="12">
        <f>'Resultat-VC (3)'!J224</f>
        <v>1501030.3</v>
      </c>
      <c r="I63" s="12">
        <f>'Resultat-VC (3)'!K224</f>
        <v>1365204.94</v>
      </c>
      <c r="J63" s="12">
        <f>'Resultat-VC (3)'!L224</f>
        <v>1300562.45</v>
      </c>
      <c r="K63" s="12">
        <f>'Resultat-VC (3)'!M224</f>
        <v>1271015.92</v>
      </c>
      <c r="L63" s="12">
        <f>'Resultat-VC (3)'!N224</f>
        <v>1274715.67</v>
      </c>
      <c r="M63" s="12">
        <f>'Resultat-VC (3)'!O224</f>
        <v>1269375.57</v>
      </c>
      <c r="N63" s="12">
        <f>'Resultat-VC (3)'!P224</f>
        <v>1289531.55</v>
      </c>
      <c r="O63" s="12">
        <f>'Resultat-VC (3)'!Q224</f>
        <v>1299059.3799999999</v>
      </c>
      <c r="P63" s="12">
        <f>'Resultat-VC (3)'!R224</f>
        <v>1342227.49</v>
      </c>
      <c r="Q63" s="12">
        <f>'Resultat-VC (3)'!S224</f>
        <v>1346090.09</v>
      </c>
      <c r="R63" s="12">
        <f>'Resultat-VC (3)'!T224</f>
        <v>1349742.67</v>
      </c>
      <c r="S63" s="12">
        <f>'Resultat-VC (3)'!U224</f>
        <v>1333132.01</v>
      </c>
      <c r="T63" s="12">
        <f>'Resultat-VC (3)'!V224</f>
        <v>1358132.01</v>
      </c>
      <c r="U63" s="12">
        <f>'Resultat-VC (3)'!W224</f>
        <v>1414410.83</v>
      </c>
      <c r="V63" s="12">
        <f>'Resultat-VC (3)'!X224</f>
        <v>1436654.08</v>
      </c>
      <c r="W63" s="12">
        <f>'Resultat-VC (3)'!Y224</f>
        <v>1389986.57</v>
      </c>
      <c r="X63" s="12">
        <f>'Resultat-VC (3)'!Z224</f>
        <v>1377911.34</v>
      </c>
      <c r="Y63" s="12">
        <f>'Resultat-VC (3)'!AA224</f>
        <v>1379231.2</v>
      </c>
      <c r="Z63" s="12">
        <f>'Resultat-VC (3)'!AB224</f>
        <v>1385454.76</v>
      </c>
      <c r="AA63" s="12">
        <f>'Resultat-VC (3)'!AC224</f>
        <v>1428878.38</v>
      </c>
      <c r="AB63" s="12">
        <f>'Resultat-VC (3)'!AD224</f>
        <v>1442578.61</v>
      </c>
      <c r="AC63" s="12">
        <v>1404497</v>
      </c>
    </row>
    <row r="64" spans="2:32" x14ac:dyDescent="0.3">
      <c r="B64" s="11" t="s">
        <v>5</v>
      </c>
      <c r="C64" s="12">
        <f>'Resultat-VC (3)'!E200</f>
        <v>485839.86</v>
      </c>
      <c r="D64" s="12">
        <f>'Resultat-VC (3)'!F200</f>
        <v>478426.45</v>
      </c>
      <c r="E64" s="12">
        <f>'Resultat-VC (3)'!G200</f>
        <v>471301.48</v>
      </c>
      <c r="F64" s="12">
        <f>'Resultat-VC (3)'!H200</f>
        <v>482720.73</v>
      </c>
      <c r="G64" s="12">
        <f>'Resultat-VC (3)'!I200</f>
        <v>474241.52</v>
      </c>
      <c r="H64" s="12">
        <f>'Resultat-VC (3)'!J200</f>
        <v>471309.34</v>
      </c>
      <c r="I64" s="12">
        <f>'Resultat-VC (3)'!K200</f>
        <v>476785.22</v>
      </c>
      <c r="J64" s="12">
        <f>'Resultat-VC (3)'!L200</f>
        <v>480948.07</v>
      </c>
      <c r="K64" s="12">
        <f>'Resultat-VC (3)'!M200</f>
        <v>468300.6</v>
      </c>
      <c r="L64" s="12">
        <f>'Resultat-VC (3)'!N200</f>
        <v>470895.5</v>
      </c>
      <c r="M64" s="12">
        <f>'Resultat-VC (3)'!O200</f>
        <v>470266.97</v>
      </c>
      <c r="N64" s="12">
        <f>'Resultat-VC (3)'!P200</f>
        <v>469379.52</v>
      </c>
      <c r="O64" s="12">
        <f>'Resultat-VC (3)'!Q200</f>
        <v>472636.7</v>
      </c>
      <c r="P64" s="12">
        <f>'Resultat-VC (3)'!R200</f>
        <v>488574.21</v>
      </c>
      <c r="Q64" s="12">
        <f>'Resultat-VC (3)'!S200</f>
        <v>488764.65</v>
      </c>
      <c r="R64" s="12">
        <f>'Resultat-VC (3)'!T200</f>
        <v>488691.16</v>
      </c>
      <c r="S64" s="12">
        <f>'Resultat-VC (3)'!U200</f>
        <v>490569.68</v>
      </c>
      <c r="T64" s="12">
        <f>'Resultat-VC (3)'!V200</f>
        <v>490569.68</v>
      </c>
      <c r="U64" s="12">
        <f>'Resultat-VC (3)'!W200</f>
        <v>479323.44</v>
      </c>
      <c r="V64" s="12">
        <f>'Resultat-VC (3)'!X200</f>
        <v>505544.22</v>
      </c>
      <c r="W64" s="12">
        <f>'Resultat-VC (3)'!Y200</f>
        <v>479942.55</v>
      </c>
      <c r="X64" s="12">
        <f>'Resultat-VC (3)'!Z200</f>
        <v>496276.55</v>
      </c>
      <c r="Y64" s="12">
        <f>'Resultat-VC (3)'!AA200</f>
        <v>490506.56</v>
      </c>
      <c r="Z64" s="12">
        <f>'Resultat-VC (3)'!AB200</f>
        <v>492665.69</v>
      </c>
      <c r="AA64" s="12">
        <f>'Resultat-VC (3)'!AC200</f>
        <v>486576.58</v>
      </c>
      <c r="AB64" s="12">
        <f>'Resultat-VC (3)'!AD200</f>
        <v>493036.77</v>
      </c>
      <c r="AC64" s="12">
        <v>503351</v>
      </c>
    </row>
    <row r="65" spans="2:29" x14ac:dyDescent="0.3">
      <c r="B65" s="11" t="s">
        <v>11</v>
      </c>
      <c r="C65" s="12">
        <f>'Resultat-VC (3)'!E144</f>
        <v>1769766.26</v>
      </c>
      <c r="D65" s="12">
        <f>'Resultat-VC (3)'!F144</f>
        <v>1754001.77</v>
      </c>
      <c r="E65" s="12">
        <f>'Resultat-VC (3)'!G144</f>
        <v>1744358.04</v>
      </c>
      <c r="F65" s="12">
        <f>'Resultat-VC (3)'!H144</f>
        <v>1743508.22</v>
      </c>
      <c r="G65" s="12">
        <f>'Resultat-VC (3)'!I144</f>
        <v>1739666.95</v>
      </c>
      <c r="H65" s="12">
        <f>'Resultat-VC (3)'!J144</f>
        <v>1747620.09</v>
      </c>
      <c r="I65" s="12">
        <f>'Resultat-VC (3)'!K144</f>
        <v>1783600.8</v>
      </c>
      <c r="J65" s="12">
        <f>'Resultat-VC (3)'!L144</f>
        <v>1775319.44</v>
      </c>
      <c r="K65" s="12">
        <f>'Resultat-VC (3)'!M144</f>
        <v>1784733.67</v>
      </c>
      <c r="L65" s="12">
        <f>'Resultat-VC (3)'!N144</f>
        <v>1770869.19</v>
      </c>
      <c r="M65" s="12">
        <f>'Resultat-VC (3)'!O144</f>
        <v>1717947.85</v>
      </c>
      <c r="N65" s="12">
        <f>'Resultat-VC (3)'!P144</f>
        <v>1768768.13</v>
      </c>
      <c r="O65" s="12">
        <f>'Resultat-VC (3)'!Q144</f>
        <v>1738564.25</v>
      </c>
      <c r="P65" s="12">
        <f>'Resultat-VC (3)'!R144</f>
        <v>1767718.78</v>
      </c>
      <c r="Q65" s="12">
        <f>'Resultat-VC (3)'!S144</f>
        <v>1842333.89</v>
      </c>
      <c r="R65" s="12">
        <f>'Resultat-VC (3)'!T144</f>
        <v>1839556.48</v>
      </c>
      <c r="S65" s="12">
        <f>'Resultat-VC (3)'!U144</f>
        <v>1854788.95</v>
      </c>
      <c r="T65" s="12">
        <f>'Resultat-VC (3)'!V144</f>
        <v>1854788.95</v>
      </c>
      <c r="U65" s="12">
        <f>'Resultat-VC (3)'!W144</f>
        <v>1841674.53</v>
      </c>
      <c r="V65" s="12">
        <f>'Resultat-VC (3)'!X144</f>
        <v>1851874.4</v>
      </c>
      <c r="W65" s="12">
        <f>'Resultat-VC (3)'!Y144</f>
        <v>1789515.93</v>
      </c>
      <c r="X65" s="12">
        <f>'Resultat-VC (3)'!Z144</f>
        <v>1817868.84</v>
      </c>
      <c r="Y65" s="12">
        <f>'Resultat-VC (3)'!AA144</f>
        <v>1791837.23</v>
      </c>
      <c r="Z65" s="12">
        <f>'Resultat-VC (3)'!AB144</f>
        <v>1779277.37</v>
      </c>
      <c r="AA65" s="12">
        <f>'Resultat-VC (3)'!AC144</f>
        <v>1883734.64</v>
      </c>
      <c r="AB65" s="12">
        <f>'Resultat-VC (3)'!AD144</f>
        <v>1799178.6</v>
      </c>
      <c r="AC65" s="12">
        <v>2022439</v>
      </c>
    </row>
    <row r="66" spans="2:29" x14ac:dyDescent="0.3">
      <c r="B66" s="11" t="s">
        <v>1</v>
      </c>
      <c r="C66" s="12">
        <f>'Resultat-VC (3)'!E89</f>
        <v>2325318.9500000002</v>
      </c>
      <c r="D66" s="12">
        <f>'Resultat-VC (3)'!F89</f>
        <v>2282442.62</v>
      </c>
      <c r="E66" s="12">
        <f>'Resultat-VC (3)'!G89</f>
        <v>2278606.2999999998</v>
      </c>
      <c r="F66" s="12">
        <f>'Resultat-VC (3)'!H89</f>
        <v>2326465.44</v>
      </c>
      <c r="G66" s="12">
        <f>'Resultat-VC (3)'!I89</f>
        <v>2320123.37</v>
      </c>
      <c r="H66" s="12">
        <f>'Resultat-VC (3)'!J89</f>
        <v>2310671.77</v>
      </c>
      <c r="I66" s="12">
        <f>'Resultat-VC (3)'!K89</f>
        <v>2346140.15</v>
      </c>
      <c r="J66" s="12">
        <f>'Resultat-VC (3)'!L89</f>
        <v>2292339.2000000002</v>
      </c>
      <c r="K66" s="12">
        <f>'Resultat-VC (3)'!M89</f>
        <v>2337895.67</v>
      </c>
      <c r="L66" s="12">
        <f>'Resultat-VC (3)'!N89</f>
        <v>2329807.2599999998</v>
      </c>
      <c r="M66" s="12">
        <f>'Resultat-VC (3)'!O89</f>
        <v>2356163.86</v>
      </c>
      <c r="N66" s="12">
        <f>'Resultat-VC (3)'!P89</f>
        <v>2428389.08</v>
      </c>
      <c r="O66" s="12">
        <f>'Resultat-VC (3)'!Q89</f>
        <v>2340487.27</v>
      </c>
      <c r="P66" s="12">
        <f>'Resultat-VC (3)'!R89</f>
        <v>2456969.13</v>
      </c>
      <c r="Q66" s="12">
        <f>'Resultat-VC (3)'!S89</f>
        <v>2456678.1800000002</v>
      </c>
      <c r="R66" s="12">
        <f>'Resultat-VC (3)'!T89</f>
        <v>2469967.9500000002</v>
      </c>
      <c r="S66" s="12">
        <f>'Resultat-VC (3)'!U89</f>
        <v>2480600.71</v>
      </c>
      <c r="T66" s="12">
        <f>'Resultat-VC (3)'!V89</f>
        <v>2480600.71</v>
      </c>
      <c r="U66" s="12">
        <f>'Resultat-VC (3)'!W89</f>
        <v>2562652.91</v>
      </c>
      <c r="V66" s="12">
        <f>'Resultat-VC (3)'!X89</f>
        <v>2524475.4900000002</v>
      </c>
      <c r="W66" s="12">
        <f>'Resultat-VC (3)'!Y89</f>
        <v>2467942.5499999998</v>
      </c>
      <c r="X66" s="12">
        <f>'Resultat-VC (3)'!Z89</f>
        <v>2480744.0499999998</v>
      </c>
      <c r="Y66" s="12">
        <f>'Resultat-VC (3)'!AA89</f>
        <v>2557696.41</v>
      </c>
      <c r="Z66" s="12">
        <f>'Resultat-VC (3)'!AB89</f>
        <v>2537571.59</v>
      </c>
      <c r="AA66" s="12">
        <f>'Resultat-VC (3)'!AC89</f>
        <v>2552913.31</v>
      </c>
      <c r="AB66" s="12">
        <f>'Resultat-VC (3)'!AD89</f>
        <v>2513531.25</v>
      </c>
      <c r="AC66" s="12">
        <v>2549879</v>
      </c>
    </row>
    <row r="67" spans="2:29" x14ac:dyDescent="0.3">
      <c r="B67" s="11" t="s">
        <v>10</v>
      </c>
      <c r="C67" s="12">
        <f>'Resultat-VC (3)'!E252</f>
        <v>1418017.1</v>
      </c>
      <c r="D67" s="12">
        <f>'Resultat-VC (3)'!F252</f>
        <v>1328306.71</v>
      </c>
      <c r="E67" s="12">
        <f>'Resultat-VC (3)'!G252</f>
        <v>1329298.8500000001</v>
      </c>
      <c r="F67" s="12">
        <f>'Resultat-VC (3)'!H252</f>
        <v>1424141.19</v>
      </c>
      <c r="G67" s="12">
        <f>'Resultat-VC (3)'!I252</f>
        <v>1438573.61</v>
      </c>
      <c r="H67" s="12">
        <f>'Resultat-VC (3)'!J252</f>
        <v>1491057.46</v>
      </c>
      <c r="I67" s="12">
        <f>'Resultat-VC (3)'!K252</f>
        <v>1558532.89</v>
      </c>
      <c r="J67" s="12">
        <f>'Resultat-VC (3)'!L252</f>
        <v>1545614.28</v>
      </c>
      <c r="K67" s="12">
        <f>'Resultat-VC (3)'!M252</f>
        <v>1559551.98</v>
      </c>
      <c r="L67" s="12">
        <f>'Resultat-VC (3)'!N252</f>
        <v>1573019.16</v>
      </c>
      <c r="M67" s="12">
        <f>'Resultat-VC (3)'!O252</f>
        <v>1610007.63</v>
      </c>
      <c r="N67" s="12">
        <f>'Resultat-VC (3)'!P252</f>
        <v>1765360.43</v>
      </c>
      <c r="O67" s="12">
        <f>'Resultat-VC (3)'!Q252</f>
        <v>1729121.18</v>
      </c>
      <c r="P67" s="12">
        <f>'Resultat-VC (3)'!R252</f>
        <v>1830735.13</v>
      </c>
      <c r="Q67" s="12">
        <f>'Resultat-VC (3)'!S252</f>
        <v>1848754.56</v>
      </c>
      <c r="R67" s="12">
        <f>'Resultat-VC (3)'!T252</f>
        <v>1916658.8</v>
      </c>
      <c r="S67" s="12">
        <f>'Resultat-VC (3)'!U252</f>
        <v>1930724.06</v>
      </c>
      <c r="T67" s="12">
        <f>'Resultat-VC (3)'!V252</f>
        <v>1930724.06</v>
      </c>
      <c r="U67" s="12">
        <f>'Resultat-VC (3)'!W252</f>
        <v>2050386.6</v>
      </c>
      <c r="V67" s="12">
        <f>'Resultat-VC (3)'!X252</f>
        <v>1949296.37</v>
      </c>
      <c r="W67" s="12">
        <f>'Resultat-VC (3)'!Y252</f>
        <v>1953427.75</v>
      </c>
      <c r="X67" s="12">
        <f>'Resultat-VC (3)'!Z252</f>
        <v>1988354.44</v>
      </c>
      <c r="Y67" s="12">
        <f>'Resultat-VC (3)'!AA252</f>
        <v>2055481.7</v>
      </c>
      <c r="Z67" s="12">
        <f>'Resultat-VC (3)'!AB252</f>
        <v>2014246.96</v>
      </c>
      <c r="AA67" s="12">
        <f>'Resultat-VC (3)'!AC252</f>
        <v>2183950.5099999998</v>
      </c>
      <c r="AB67" s="12">
        <f>'Resultat-VC (3)'!AD252</f>
        <v>2083294.83</v>
      </c>
      <c r="AC67" s="12">
        <v>2076726</v>
      </c>
    </row>
    <row r="68" spans="2:29" x14ac:dyDescent="0.3">
      <c r="B68" s="11" t="s">
        <v>9</v>
      </c>
      <c r="C68" s="12">
        <f>'Resultat-VC (3)'!E144</f>
        <v>1769766.26</v>
      </c>
      <c r="D68" s="12">
        <f>'Resultat-VC (3)'!F144</f>
        <v>1754001.77</v>
      </c>
      <c r="E68" s="12">
        <f>'Resultat-VC (3)'!G144</f>
        <v>1744358.04</v>
      </c>
      <c r="F68" s="12">
        <f>'Resultat-VC (3)'!H144</f>
        <v>1743508.22</v>
      </c>
      <c r="G68" s="12">
        <f>'Resultat-VC (3)'!I144</f>
        <v>1739666.95</v>
      </c>
      <c r="H68" s="12">
        <f>'Resultat-VC (3)'!J144</f>
        <v>1747620.09</v>
      </c>
      <c r="I68" s="12">
        <f>'Resultat-VC (3)'!K144</f>
        <v>1783600.8</v>
      </c>
      <c r="J68" s="12">
        <f>'Resultat-VC (3)'!L144</f>
        <v>1775319.44</v>
      </c>
      <c r="K68" s="12">
        <f>'Resultat-VC (3)'!M144</f>
        <v>1784733.67</v>
      </c>
      <c r="L68" s="12">
        <f>'Resultat-VC (3)'!N144</f>
        <v>1770869.19</v>
      </c>
      <c r="M68" s="12">
        <f>'Resultat-VC (3)'!O144</f>
        <v>1717947.85</v>
      </c>
      <c r="N68" s="12">
        <f>'Resultat-VC (3)'!P144</f>
        <v>1768768.13</v>
      </c>
      <c r="O68" s="12">
        <f>'Resultat-VC (3)'!Q144</f>
        <v>1738564.25</v>
      </c>
      <c r="P68" s="12">
        <f>'Resultat-VC (3)'!R144</f>
        <v>1767718.78</v>
      </c>
      <c r="Q68" s="12">
        <f>'Resultat-VC (3)'!S144</f>
        <v>1842333.89</v>
      </c>
      <c r="R68" s="12">
        <f>'Resultat-VC (3)'!T144</f>
        <v>1839556.48</v>
      </c>
      <c r="S68" s="12">
        <f>'Resultat-VC (3)'!U144</f>
        <v>1854788.95</v>
      </c>
      <c r="T68" s="12">
        <f>'Resultat-VC (3)'!V144</f>
        <v>1854788.95</v>
      </c>
      <c r="U68" s="12">
        <f>'Resultat-VC (3)'!W144</f>
        <v>1841674.53</v>
      </c>
      <c r="V68" s="12">
        <f>'Resultat-VC (3)'!X144</f>
        <v>1851874.4</v>
      </c>
      <c r="W68" s="12">
        <f>'Resultat-VC (3)'!Y144</f>
        <v>1789515.93</v>
      </c>
      <c r="X68" s="12">
        <f>'Resultat-VC (3)'!Z144</f>
        <v>1817868.84</v>
      </c>
      <c r="Y68" s="12">
        <f>'Resultat-VC (3)'!AA144</f>
        <v>1791837.23</v>
      </c>
      <c r="Z68" s="12">
        <f>'Resultat-VC (3)'!AB144</f>
        <v>1779277.37</v>
      </c>
      <c r="AA68" s="12">
        <f>'Resultat-VC (3)'!AC144</f>
        <v>1883734.64</v>
      </c>
      <c r="AB68" s="12">
        <f>'Resultat-VC (3)'!AD144</f>
        <v>1799178.6</v>
      </c>
      <c r="AC68" s="12">
        <v>1816398</v>
      </c>
    </row>
    <row r="69" spans="2:29" x14ac:dyDescent="0.3">
      <c r="B69" s="11" t="s">
        <v>3</v>
      </c>
      <c r="C69" s="12">
        <f>'Resultat-VC (3)'!E172</f>
        <v>1980180.94</v>
      </c>
      <c r="D69" s="12">
        <f>'Resultat-VC (3)'!F172</f>
        <v>1861016.22</v>
      </c>
      <c r="E69" s="12">
        <f>'Resultat-VC (3)'!G172</f>
        <v>1863382.44</v>
      </c>
      <c r="F69" s="12">
        <f>'Resultat-VC (3)'!H172</f>
        <v>1857178.96</v>
      </c>
      <c r="G69" s="12">
        <f>'Resultat-VC (3)'!I172</f>
        <v>1875873.3</v>
      </c>
      <c r="H69" s="12">
        <f>'Resultat-VC (3)'!J172</f>
        <v>1876371.73</v>
      </c>
      <c r="I69" s="12">
        <f>'Resultat-VC (3)'!K172</f>
        <v>1857390.01</v>
      </c>
      <c r="J69" s="12">
        <f>'Resultat-VC (3)'!L172</f>
        <v>1859294.44</v>
      </c>
      <c r="K69" s="12">
        <f>'Resultat-VC (3)'!M172</f>
        <v>1851322.5</v>
      </c>
      <c r="L69" s="12">
        <f>'Resultat-VC (3)'!N172</f>
        <v>1854032.73</v>
      </c>
      <c r="M69" s="12">
        <f>'Resultat-VC (3)'!O172</f>
        <v>1846328.47</v>
      </c>
      <c r="N69" s="12">
        <f>'Resultat-VC (3)'!P172</f>
        <v>2013192.27</v>
      </c>
      <c r="O69" s="12">
        <f>'Resultat-VC (3)'!Q172</f>
        <v>1893763.49</v>
      </c>
      <c r="P69" s="12">
        <f>'Resultat-VC (3)'!R172</f>
        <v>1967639.65</v>
      </c>
      <c r="Q69" s="12">
        <f>'Resultat-VC (3)'!S172</f>
        <v>1982794.37</v>
      </c>
      <c r="R69" s="12">
        <f>'Resultat-VC (3)'!T172</f>
        <v>1981903.02</v>
      </c>
      <c r="S69" s="12">
        <f>'Resultat-VC (3)'!U172</f>
        <v>1974639.89</v>
      </c>
      <c r="T69" s="12">
        <f>'Resultat-VC (3)'!V172</f>
        <v>1974639.89</v>
      </c>
      <c r="U69" s="12">
        <f>'Resultat-VC (3)'!W172</f>
        <v>1974334.75</v>
      </c>
      <c r="V69" s="12">
        <f>'Resultat-VC (3)'!X172</f>
        <v>1970021.7</v>
      </c>
      <c r="W69" s="12">
        <f>'Resultat-VC (3)'!Y172</f>
        <v>1945649.01</v>
      </c>
      <c r="X69" s="12">
        <f>'Resultat-VC (3)'!Z172</f>
        <v>1942942.74</v>
      </c>
      <c r="Y69" s="12">
        <f>'Resultat-VC (3)'!AA172</f>
        <v>1967836.67</v>
      </c>
      <c r="Z69" s="12">
        <f>'Resultat-VC (3)'!AB172</f>
        <v>1982737.48</v>
      </c>
      <c r="AA69" s="12">
        <f>'Resultat-VC (3)'!AC172</f>
        <v>2106476.7200000002</v>
      </c>
      <c r="AB69" s="12">
        <f>'Resultat-VC (3)'!AD172</f>
        <v>1895541.49</v>
      </c>
      <c r="AC69" s="12">
        <v>1965258</v>
      </c>
    </row>
    <row r="70" spans="2:29" x14ac:dyDescent="0.3">
      <c r="B70" s="16"/>
      <c r="C70" s="17">
        <f>SUM(C56:C69)</f>
        <v>23723222.000000004</v>
      </c>
      <c r="D70" s="17">
        <f t="shared" ref="D70:AA70" si="10">SUM(D56:D69)</f>
        <v>22382452.649999999</v>
      </c>
      <c r="E70" s="17">
        <f t="shared" si="10"/>
        <v>22220683.650000002</v>
      </c>
      <c r="F70" s="17">
        <f t="shared" si="10"/>
        <v>22738083.770000003</v>
      </c>
      <c r="G70" s="17">
        <f t="shared" si="10"/>
        <v>22629732.16</v>
      </c>
      <c r="H70" s="17">
        <f t="shared" si="10"/>
        <v>22843573.170000002</v>
      </c>
      <c r="I70" s="17">
        <f t="shared" si="10"/>
        <v>22895800.510000002</v>
      </c>
      <c r="J70" s="17">
        <f t="shared" si="10"/>
        <v>22677723.460000005</v>
      </c>
      <c r="K70" s="17">
        <f t="shared" si="10"/>
        <v>22559895.700000003</v>
      </c>
      <c r="L70" s="17">
        <f t="shared" si="10"/>
        <v>22805335.780000005</v>
      </c>
      <c r="M70" s="17">
        <f t="shared" si="10"/>
        <v>22494105.870000001</v>
      </c>
      <c r="N70" s="17">
        <f t="shared" si="10"/>
        <v>24308094.18</v>
      </c>
      <c r="O70" s="17">
        <f t="shared" si="10"/>
        <v>23690655.689999998</v>
      </c>
      <c r="P70" s="17">
        <f t="shared" si="10"/>
        <v>24802712.289999999</v>
      </c>
      <c r="Q70" s="17">
        <f>SUM(Q56:Q69)</f>
        <v>24919689.600000001</v>
      </c>
      <c r="R70" s="17">
        <f t="shared" si="10"/>
        <v>25021188.789999999</v>
      </c>
      <c r="S70" s="17">
        <f t="shared" si="10"/>
        <v>25100398.619999997</v>
      </c>
      <c r="T70" s="17">
        <f t="shared" si="10"/>
        <v>25125398.619999997</v>
      </c>
      <c r="U70" s="17">
        <f t="shared" si="10"/>
        <v>25598993.280000005</v>
      </c>
      <c r="V70" s="17">
        <f t="shared" si="10"/>
        <v>25361587.710000001</v>
      </c>
      <c r="W70" s="17">
        <f t="shared" si="10"/>
        <v>25081604.350000001</v>
      </c>
      <c r="X70" s="17">
        <f t="shared" si="10"/>
        <v>25196963.25</v>
      </c>
      <c r="Y70" s="17">
        <f t="shared" si="10"/>
        <v>25330761.090000004</v>
      </c>
      <c r="Z70" s="17">
        <f t="shared" si="10"/>
        <v>25469596.120000001</v>
      </c>
      <c r="AA70" s="17">
        <f t="shared" si="10"/>
        <v>26677584.389999993</v>
      </c>
      <c r="AB70" s="17">
        <f t="shared" ref="AB70:AC70" si="11">SUM(AB56:AB69)</f>
        <v>25617094.84</v>
      </c>
      <c r="AC70" s="17">
        <f t="shared" si="11"/>
        <v>26111805</v>
      </c>
    </row>
    <row r="72" spans="2:29" x14ac:dyDescent="0.3">
      <c r="B72" s="16" t="s">
        <v>18</v>
      </c>
      <c r="C72" s="16">
        <v>202312</v>
      </c>
      <c r="D72" s="16">
        <v>202401</v>
      </c>
      <c r="E72" s="16">
        <v>202402</v>
      </c>
      <c r="F72" s="16">
        <v>202403</v>
      </c>
      <c r="G72" s="16">
        <v>202404</v>
      </c>
      <c r="H72" s="16">
        <v>202405</v>
      </c>
      <c r="I72" s="16">
        <v>202406</v>
      </c>
      <c r="J72" s="16">
        <v>202407</v>
      </c>
      <c r="K72" s="16">
        <v>202408</v>
      </c>
      <c r="L72" s="16">
        <v>202409</v>
      </c>
      <c r="M72" s="16">
        <v>202410</v>
      </c>
      <c r="N72" s="16">
        <v>202411</v>
      </c>
      <c r="O72" s="16">
        <v>202412</v>
      </c>
      <c r="P72" s="16">
        <v>202501</v>
      </c>
      <c r="Q72" s="16">
        <v>202502</v>
      </c>
      <c r="R72" s="16">
        <v>202503</v>
      </c>
      <c r="S72" s="16">
        <v>202504</v>
      </c>
      <c r="T72" s="16">
        <v>202505</v>
      </c>
      <c r="U72" s="16">
        <v>202506</v>
      </c>
      <c r="V72" s="16">
        <v>202507</v>
      </c>
      <c r="W72" s="16">
        <v>202508</v>
      </c>
      <c r="X72" s="16">
        <v>202509</v>
      </c>
      <c r="Y72" s="16">
        <v>202510</v>
      </c>
      <c r="Z72" s="16">
        <v>202511</v>
      </c>
      <c r="AA72" s="16">
        <v>202512</v>
      </c>
      <c r="AB72" s="16">
        <v>202601</v>
      </c>
      <c r="AC72">
        <v>202602</v>
      </c>
    </row>
    <row r="73" spans="2:29" x14ac:dyDescent="0.3">
      <c r="B73" s="11" t="s">
        <v>12</v>
      </c>
      <c r="C73" s="14">
        <f>'Resultat-VC (3)'!E365</f>
        <v>-1013138.39</v>
      </c>
      <c r="D73" s="14">
        <f>'Resultat-VC (3)'!F365</f>
        <v>-842467.73</v>
      </c>
      <c r="E73" s="14">
        <f>'Resultat-VC (3)'!G365</f>
        <v>-956713.42</v>
      </c>
      <c r="F73" s="14">
        <f>'Resultat-VC (3)'!H365</f>
        <v>-776270.84</v>
      </c>
      <c r="G73" s="14">
        <f>'Resultat-VC (3)'!I365</f>
        <v>-1055803.98</v>
      </c>
      <c r="H73" s="14">
        <f>'Resultat-VC (3)'!J365</f>
        <v>-910145.03</v>
      </c>
      <c r="I73" s="14">
        <f>'Resultat-VC (3)'!K365</f>
        <v>-792824.99</v>
      </c>
      <c r="J73" s="14">
        <f>'Resultat-VC (3)'!L365</f>
        <v>-886763.21</v>
      </c>
      <c r="K73" s="14">
        <f>'Resultat-VC (3)'!M365</f>
        <v>-844508.18</v>
      </c>
      <c r="L73" s="14">
        <f>'Resultat-VC (3)'!N365</f>
        <v>-843611.63</v>
      </c>
      <c r="M73" s="14">
        <f>'Resultat-VC (3)'!O365</f>
        <v>-839487.83</v>
      </c>
      <c r="N73" s="14">
        <f>'Resultat-VC (3)'!P365</f>
        <v>-797302.85</v>
      </c>
      <c r="O73" s="14">
        <f>'Resultat-VC (3)'!Q365</f>
        <v>-943947.08</v>
      </c>
      <c r="P73" s="14">
        <f>'Resultat-VC (3)'!R365</f>
        <v>-923177.16</v>
      </c>
      <c r="Q73" s="14">
        <f>'Resultat-VC (3)'!S365</f>
        <v>-961029.14</v>
      </c>
      <c r="R73" s="14">
        <f>'Resultat-VC (3)'!T365</f>
        <v>-991437.14</v>
      </c>
      <c r="S73" s="14">
        <f>'Resultat-VC (3)'!U365</f>
        <v>-943222.7</v>
      </c>
      <c r="T73" s="14">
        <f>'Resultat-VC (3)'!V365</f>
        <v>-973969.54</v>
      </c>
      <c r="U73" s="14">
        <f>'Resultat-VC (3)'!W365</f>
        <v>-999912.19</v>
      </c>
      <c r="V73" s="14">
        <f>'Resultat-VC (3)'!X365</f>
        <v>-1146233.26</v>
      </c>
      <c r="W73" s="14">
        <f>'Resultat-VC (3)'!Y365</f>
        <v>-1010754.35</v>
      </c>
      <c r="X73" s="14">
        <f>'Resultat-VC (3)'!Z365</f>
        <v>-1024291.51</v>
      </c>
      <c r="Y73" s="14">
        <f>'Resultat-VC (3)'!AA365</f>
        <v>-985513.16</v>
      </c>
      <c r="Z73" s="14">
        <f>'Resultat-VC (3)'!AB365</f>
        <v>-1081118.33</v>
      </c>
      <c r="AA73" s="14">
        <f>'Resultat-VC (3)'!AC365</f>
        <v>-1054668.47</v>
      </c>
      <c r="AB73" s="14">
        <f>'Resultat-VC (3)'!AD365</f>
        <v>-1148624.3500000001</v>
      </c>
      <c r="AC73" s="14">
        <v>-1052367</v>
      </c>
    </row>
    <row r="74" spans="2:29" x14ac:dyDescent="0.3">
      <c r="B74" s="11" t="s">
        <v>0</v>
      </c>
      <c r="C74" s="14">
        <f>'Resultat-VC (3)'!E294</f>
        <v>-185716</v>
      </c>
      <c r="D74" s="14">
        <f>'Resultat-VC (3)'!F294</f>
        <v>0</v>
      </c>
      <c r="E74" s="14">
        <f>'Resultat-VC (3)'!G294</f>
        <v>0</v>
      </c>
      <c r="F74" s="14">
        <f>'Resultat-VC (3)'!H294</f>
        <v>0</v>
      </c>
      <c r="G74" s="14">
        <f>'Resultat-VC (3)'!I294</f>
        <v>0</v>
      </c>
      <c r="H74" s="14">
        <f>'Resultat-VC (3)'!J294</f>
        <v>0</v>
      </c>
      <c r="I74" s="14">
        <f>'Resultat-VC (3)'!K294</f>
        <v>0</v>
      </c>
      <c r="J74" s="14">
        <f>'Resultat-VC (3)'!L294</f>
        <v>0</v>
      </c>
      <c r="K74" s="14">
        <f>'Resultat-VC (3)'!M294</f>
        <v>0</v>
      </c>
      <c r="L74" s="14">
        <f>'Resultat-VC (3)'!N294</f>
        <v>0</v>
      </c>
      <c r="M74" s="14">
        <f>'Resultat-VC (3)'!O294</f>
        <v>0</v>
      </c>
      <c r="N74" s="14">
        <f>'Resultat-VC (3)'!P294</f>
        <v>0</v>
      </c>
      <c r="O74" s="14">
        <f>'Resultat-VC (3)'!Q294</f>
        <v>0</v>
      </c>
      <c r="P74" s="14">
        <f>'Resultat-VC (3)'!R294</f>
        <v>0</v>
      </c>
      <c r="Q74" s="14">
        <f>'Resultat-VC (3)'!S294</f>
        <v>0</v>
      </c>
      <c r="R74" s="14">
        <f>'Resultat-VC (3)'!T294</f>
        <v>0</v>
      </c>
      <c r="S74" s="14">
        <f>'Resultat-VC (3)'!U294</f>
        <v>0</v>
      </c>
      <c r="T74" s="14">
        <f>'Resultat-VC (3)'!V294</f>
        <v>0</v>
      </c>
      <c r="U74" s="14">
        <f>'Resultat-VC (3)'!W294</f>
        <v>0</v>
      </c>
      <c r="V74" s="14">
        <f>'Resultat-VC (3)'!X294</f>
        <v>0</v>
      </c>
      <c r="W74" s="14">
        <f>'Resultat-VC (3)'!Y294</f>
        <v>0</v>
      </c>
      <c r="X74" s="14">
        <f>'Resultat-VC (3)'!Z294</f>
        <v>0</v>
      </c>
      <c r="Y74" s="14">
        <f>'Resultat-VC (3)'!AA294</f>
        <v>0</v>
      </c>
      <c r="Z74" s="14">
        <f>'Resultat-VC (3)'!AB294</f>
        <v>0</v>
      </c>
      <c r="AA74" s="14">
        <f>'Resultat-VC (3)'!AC294</f>
        <v>0</v>
      </c>
      <c r="AB74" s="14">
        <f>'Resultat-VC (3)'!AD294</f>
        <v>0</v>
      </c>
      <c r="AC74" s="14">
        <v>-1722429</v>
      </c>
    </row>
    <row r="75" spans="2:29" x14ac:dyDescent="0.3">
      <c r="B75" s="11" t="s">
        <v>2</v>
      </c>
      <c r="C75" s="14">
        <f>'Resultat-VC (3)'!E337</f>
        <v>-766169.5</v>
      </c>
      <c r="D75" s="14">
        <f>'Resultat-VC (3)'!F337</f>
        <v>-845027.87</v>
      </c>
      <c r="E75" s="14">
        <f>'Resultat-VC (3)'!G337</f>
        <v>-802764.12</v>
      </c>
      <c r="F75" s="14">
        <f>'Resultat-VC (3)'!H337</f>
        <v>-819760.24</v>
      </c>
      <c r="G75" s="14">
        <f>'Resultat-VC (3)'!I337</f>
        <v>-825608.08</v>
      </c>
      <c r="H75" s="14">
        <f>'Resultat-VC (3)'!J337</f>
        <v>-823604.46</v>
      </c>
      <c r="I75" s="14">
        <f>'Resultat-VC (3)'!K337</f>
        <v>-697577.94</v>
      </c>
      <c r="J75" s="14">
        <f>'Resultat-VC (3)'!L337</f>
        <v>-734404.87</v>
      </c>
      <c r="K75" s="14">
        <f>'Resultat-VC (3)'!M337</f>
        <v>-770284.49</v>
      </c>
      <c r="L75" s="14">
        <f>'Resultat-VC (3)'!N337</f>
        <v>-715262.28</v>
      </c>
      <c r="M75" s="14">
        <f>'Resultat-VC (3)'!O337</f>
        <v>-665950.24</v>
      </c>
      <c r="N75" s="14">
        <f>'Resultat-VC (3)'!P337</f>
        <v>-561173.77</v>
      </c>
      <c r="O75" s="14">
        <f>'Resultat-VC (3)'!Q337</f>
        <v>-644997.49</v>
      </c>
      <c r="P75" s="14">
        <f>'Resultat-VC (3)'!R337</f>
        <v>-578005.39</v>
      </c>
      <c r="Q75" s="14">
        <f>'Resultat-VC (3)'!S337</f>
        <v>-695890.68</v>
      </c>
      <c r="R75" s="14">
        <f>'Resultat-VC (3)'!T337</f>
        <v>-711993.26</v>
      </c>
      <c r="S75" s="14">
        <f>'Resultat-VC (3)'!U337</f>
        <v>-1001840.83</v>
      </c>
      <c r="T75" s="14">
        <f>'Resultat-VC (3)'!V337</f>
        <v>-863444.03</v>
      </c>
      <c r="U75" s="14">
        <f>'Resultat-VC (3)'!W337</f>
        <v>-702951.35</v>
      </c>
      <c r="V75" s="14">
        <f>'Resultat-VC (3)'!X337</f>
        <v>-769469.37</v>
      </c>
      <c r="W75" s="14">
        <f>'Resultat-VC (3)'!Y337</f>
        <v>-893973.1</v>
      </c>
      <c r="X75" s="14">
        <f>'Resultat-VC (3)'!Z337</f>
        <v>-883278.94</v>
      </c>
      <c r="Y75" s="14">
        <f>'Resultat-VC (3)'!AA337</f>
        <v>-787090.19</v>
      </c>
      <c r="Z75" s="14">
        <f>'Resultat-VC (3)'!AB337</f>
        <v>-977373.81</v>
      </c>
      <c r="AA75" s="14">
        <f>'Resultat-VC (3)'!AC337</f>
        <v>-823135.11</v>
      </c>
      <c r="AB75" s="14">
        <f>'Resultat-VC (3)'!AD337</f>
        <v>-890994.91</v>
      </c>
      <c r="AC75" s="14">
        <v>-894718</v>
      </c>
    </row>
    <row r="76" spans="2:29" x14ac:dyDescent="0.3">
      <c r="B76" s="11" t="s">
        <v>13</v>
      </c>
      <c r="C76" s="14">
        <f>'Resultat-VC (3)'!E12</f>
        <v>0</v>
      </c>
      <c r="D76" s="14">
        <f>'Resultat-VC (3)'!F12</f>
        <v>0</v>
      </c>
      <c r="E76" s="14">
        <f>'Resultat-VC (3)'!G12</f>
        <v>0</v>
      </c>
      <c r="F76" s="14">
        <f>'Resultat-VC (3)'!H12</f>
        <v>0</v>
      </c>
      <c r="G76" s="14">
        <f>'Resultat-VC (3)'!I12</f>
        <v>-90679.8</v>
      </c>
      <c r="H76" s="14">
        <f>'Resultat-VC (3)'!J12</f>
        <v>-101126.21</v>
      </c>
      <c r="I76" s="14">
        <f>'Resultat-VC (3)'!K12</f>
        <v>-99615.21</v>
      </c>
      <c r="J76" s="14">
        <f>'Resultat-VC (3)'!L12</f>
        <v>-100860.21</v>
      </c>
      <c r="K76" s="14">
        <f>'Resultat-VC (3)'!M12</f>
        <v>-176307.24</v>
      </c>
      <c r="L76" s="14">
        <f>'Resultat-VC (3)'!N12</f>
        <v>-587574.44999999995</v>
      </c>
      <c r="M76" s="14">
        <f>'Resultat-VC (3)'!O12</f>
        <v>-631054.06000000006</v>
      </c>
      <c r="N76" s="14">
        <f>'Resultat-VC (3)'!P12</f>
        <v>-792145.81</v>
      </c>
      <c r="O76" s="14">
        <f>'Resultat-VC (3)'!Q12</f>
        <v>-1001478.61</v>
      </c>
      <c r="P76" s="14">
        <f>'Resultat-VC (3)'!R12</f>
        <v>-635308.02</v>
      </c>
      <c r="Q76" s="14">
        <f>'Resultat-VC (3)'!S12</f>
        <v>-644869.24</v>
      </c>
      <c r="R76" s="14">
        <f>'Resultat-VC (3)'!T12</f>
        <v>-469462.36</v>
      </c>
      <c r="S76" s="14">
        <f>'Resultat-VC (3)'!U12</f>
        <v>-770294.22</v>
      </c>
      <c r="T76" s="14">
        <f>'Resultat-VC (3)'!V12</f>
        <v>-606283.24</v>
      </c>
      <c r="U76" s="14">
        <f>'Resultat-VC (3)'!W12</f>
        <v>-749676.94</v>
      </c>
      <c r="V76" s="14">
        <f>'Resultat-VC (3)'!X12</f>
        <v>-648318.19999999995</v>
      </c>
      <c r="W76" s="14">
        <f>'Resultat-VC (3)'!Y12</f>
        <v>-735801.19</v>
      </c>
      <c r="X76" s="14">
        <f>'Resultat-VC (3)'!Z12</f>
        <v>-558198.34</v>
      </c>
      <c r="Y76" s="14">
        <f>'Resultat-VC (3)'!AA12</f>
        <v>-659107.97</v>
      </c>
      <c r="Z76" s="14">
        <f>'Resultat-VC (3)'!AB12</f>
        <v>-523949.07</v>
      </c>
      <c r="AA76" s="14">
        <f>'Resultat-VC (3)'!AC12</f>
        <v>-518894.56</v>
      </c>
      <c r="AB76" s="14">
        <f>'Resultat-VC (3)'!AD12</f>
        <v>-548991.86</v>
      </c>
      <c r="AC76" s="14">
        <v>-662683</v>
      </c>
    </row>
    <row r="77" spans="2:29" x14ac:dyDescent="0.3">
      <c r="B77" s="11" t="s">
        <v>8</v>
      </c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</row>
    <row r="78" spans="2:29" x14ac:dyDescent="0.3">
      <c r="B78" s="11" t="s">
        <v>4</v>
      </c>
      <c r="C78" s="15">
        <f>'Resultat-VC (3)'!E38</f>
        <v>-1655124.85</v>
      </c>
      <c r="D78" s="15">
        <f>'Resultat-VC (3)'!F38</f>
        <v>-1620790.79</v>
      </c>
      <c r="E78" s="15">
        <f>'Resultat-VC (3)'!G38</f>
        <v>-1702474.15</v>
      </c>
      <c r="F78" s="15">
        <f>'Resultat-VC (3)'!H38</f>
        <v>-1588865.51</v>
      </c>
      <c r="G78" s="15">
        <f>'Resultat-VC (3)'!I38</f>
        <v>-1738137.5</v>
      </c>
      <c r="H78" s="15">
        <f>'Resultat-VC (3)'!J38</f>
        <v>-1844514.75</v>
      </c>
      <c r="I78" s="15">
        <f>'Resultat-VC (3)'!K38</f>
        <v>-1805177.31</v>
      </c>
      <c r="J78" s="15">
        <f>'Resultat-VC (3)'!L38</f>
        <v>-1840020.43</v>
      </c>
      <c r="K78" s="15">
        <f>'Resultat-VC (3)'!M38</f>
        <v>-1902602.4</v>
      </c>
      <c r="L78" s="15">
        <f>'Resultat-VC (3)'!N38</f>
        <v>-2083027.15</v>
      </c>
      <c r="M78" s="15">
        <f>'Resultat-VC (3)'!O38</f>
        <v>-1839555.1</v>
      </c>
      <c r="N78" s="15">
        <f>'Resultat-VC (3)'!P38</f>
        <v>-1841113.46</v>
      </c>
      <c r="O78" s="15">
        <f>'Resultat-VC (3)'!Q38</f>
        <v>-1966897.13</v>
      </c>
      <c r="P78" s="15">
        <f>'Resultat-VC (3)'!R38</f>
        <v>-1780154.03</v>
      </c>
      <c r="Q78" s="15">
        <f>'Resultat-VC (3)'!S38</f>
        <v>-1870192.19</v>
      </c>
      <c r="R78" s="15">
        <f>'Resultat-VC (3)'!T38</f>
        <v>-1812623.69</v>
      </c>
      <c r="S78" s="15">
        <f>'Resultat-VC (3)'!U38</f>
        <v>-1585311.15</v>
      </c>
      <c r="T78" s="15">
        <f>'Resultat-VC (3)'!V38</f>
        <v>-1553251.91</v>
      </c>
      <c r="U78" s="15">
        <f>'Resultat-VC (3)'!W38</f>
        <v>-1608763.58</v>
      </c>
      <c r="V78" s="15">
        <f>'Resultat-VC (3)'!X38</f>
        <v>-1636803.39</v>
      </c>
      <c r="W78" s="15">
        <f>'Resultat-VC (3)'!Y38</f>
        <v>-1721765.27</v>
      </c>
      <c r="X78" s="15">
        <f>'Resultat-VC (3)'!Z38</f>
        <v>-1702511.71</v>
      </c>
      <c r="Y78" s="15">
        <f>'Resultat-VC (3)'!AA38</f>
        <v>-1630892.8</v>
      </c>
      <c r="Z78" s="15">
        <f>'Resultat-VC (3)'!AB38</f>
        <v>-1583895.12</v>
      </c>
      <c r="AA78" s="15">
        <f>'Resultat-VC (3)'!AC38</f>
        <v>-1687174.69</v>
      </c>
      <c r="AB78" s="15">
        <f>'Resultat-VC (3)'!AD38</f>
        <v>-1639769.83</v>
      </c>
      <c r="AC78" s="14">
        <v>-1429586</v>
      </c>
    </row>
    <row r="79" spans="2:29" x14ac:dyDescent="0.3">
      <c r="B79" s="11" t="s">
        <v>7</v>
      </c>
      <c r="C79" s="14">
        <f>'Resultat-VC (3)'!E66</f>
        <v>-1375917.15</v>
      </c>
      <c r="D79" s="14">
        <f>'Resultat-VC (3)'!F66</f>
        <v>-1410584.62</v>
      </c>
      <c r="E79" s="14">
        <f>'Resultat-VC (3)'!G66</f>
        <v>-1329656.8</v>
      </c>
      <c r="F79" s="14">
        <f>'Resultat-VC (3)'!H66</f>
        <v>-1322354.1100000001</v>
      </c>
      <c r="G79" s="14">
        <f>'Resultat-VC (3)'!I66</f>
        <v>-1334150.81</v>
      </c>
      <c r="H79" s="14">
        <f>'Resultat-VC (3)'!J66</f>
        <v>-1397043.09</v>
      </c>
      <c r="I79" s="14">
        <f>'Resultat-VC (3)'!K66</f>
        <v>-1417157.29</v>
      </c>
      <c r="J79" s="14">
        <f>'Resultat-VC (3)'!L66</f>
        <v>-1414838.62</v>
      </c>
      <c r="K79" s="14">
        <f>'Resultat-VC (3)'!M66</f>
        <v>-1422407.57</v>
      </c>
      <c r="L79" s="14">
        <f>'Resultat-VC (3)'!N66</f>
        <v>-1354402.33</v>
      </c>
      <c r="M79" s="14">
        <f>'Resultat-VC (3)'!O66</f>
        <v>-1479402.88</v>
      </c>
      <c r="N79" s="14">
        <f>'Resultat-VC (3)'!P66</f>
        <v>-1443023.24</v>
      </c>
      <c r="O79" s="14">
        <f>'Resultat-VC (3)'!Q66</f>
        <v>-1642654.58</v>
      </c>
      <c r="P79" s="14">
        <f>'Resultat-VC (3)'!R66</f>
        <v>-1481541.79</v>
      </c>
      <c r="Q79" s="14">
        <f>'Resultat-VC (3)'!S66</f>
        <v>-1318172.17</v>
      </c>
      <c r="R79" s="14">
        <f>'Resultat-VC (3)'!T66</f>
        <v>-1517472.52</v>
      </c>
      <c r="S79" s="14">
        <f>'Resultat-VC (3)'!U66</f>
        <v>-1505970.95</v>
      </c>
      <c r="T79" s="14">
        <f>'Resultat-VC (3)'!V66</f>
        <v>-1535177.28</v>
      </c>
      <c r="U79" s="14">
        <f>'Resultat-VC (3)'!W66</f>
        <v>-1548090.84</v>
      </c>
      <c r="V79" s="14">
        <f>'Resultat-VC (3)'!X66</f>
        <v>-1616191.89</v>
      </c>
      <c r="W79" s="14">
        <f>'Resultat-VC (3)'!Y66</f>
        <v>-1454131.6</v>
      </c>
      <c r="X79" s="14">
        <f>'Resultat-VC (3)'!Z66</f>
        <v>-1413694.75</v>
      </c>
      <c r="Y79" s="14">
        <f>'Resultat-VC (3)'!AA66</f>
        <v>-1237191.06</v>
      </c>
      <c r="Z79" s="14">
        <f>'Resultat-VC (3)'!AB66</f>
        <v>-1589573.27</v>
      </c>
      <c r="AA79" s="14">
        <f>'Resultat-VC (3)'!AC66</f>
        <v>-1491310.24</v>
      </c>
      <c r="AB79" s="14">
        <f>'Resultat-VC (3)'!AD66</f>
        <v>-1572593.34</v>
      </c>
      <c r="AC79" s="15">
        <v>-1544955</v>
      </c>
    </row>
    <row r="80" spans="2:29" x14ac:dyDescent="0.3">
      <c r="B80" s="11" t="s">
        <v>6</v>
      </c>
      <c r="C80" s="14">
        <f>'Resultat-VC (3)'!E229</f>
        <v>-932554.89</v>
      </c>
      <c r="D80" s="14">
        <f>'Resultat-VC (3)'!F229</f>
        <v>-897587.93</v>
      </c>
      <c r="E80" s="14">
        <f>'Resultat-VC (3)'!G229</f>
        <v>-940606.18</v>
      </c>
      <c r="F80" s="14">
        <f>'Resultat-VC (3)'!H229</f>
        <v>-1001509.9</v>
      </c>
      <c r="G80" s="14">
        <f>'Resultat-VC (3)'!I229</f>
        <v>-900785.7</v>
      </c>
      <c r="H80" s="14">
        <f>'Resultat-VC (3)'!J229</f>
        <v>-1027435.83</v>
      </c>
      <c r="I80" s="14">
        <f>'Resultat-VC (3)'!K229</f>
        <v>-1254894.92</v>
      </c>
      <c r="J80" s="14">
        <f>'Resultat-VC (3)'!L229</f>
        <v>-1084219.3400000001</v>
      </c>
      <c r="K80" s="14">
        <f>'Resultat-VC (3)'!M229</f>
        <v>-1008762.6</v>
      </c>
      <c r="L80" s="14">
        <f>'Resultat-VC (3)'!N229</f>
        <v>-1167109.02</v>
      </c>
      <c r="M80" s="14">
        <f>'Resultat-VC (3)'!O229</f>
        <v>-993350.94</v>
      </c>
      <c r="N80" s="14">
        <f>'Resultat-VC (3)'!P229</f>
        <v>-1194415.26</v>
      </c>
      <c r="O80" s="14">
        <f>'Resultat-VC (3)'!Q229</f>
        <v>-1017489.02</v>
      </c>
      <c r="P80" s="14">
        <f>'Resultat-VC (3)'!R229</f>
        <v>-1026205.88</v>
      </c>
      <c r="Q80" s="14">
        <f>'Resultat-VC (3)'!S229</f>
        <v>-1030710.95</v>
      </c>
      <c r="R80" s="14">
        <f>'Resultat-VC (3)'!T229</f>
        <v>-923730.58</v>
      </c>
      <c r="S80" s="14">
        <f>'Resultat-VC (3)'!U229</f>
        <v>-930409.12</v>
      </c>
      <c r="T80" s="14">
        <f>'Resultat-VC (3)'!V229</f>
        <v>-912204.47</v>
      </c>
      <c r="U80" s="14">
        <f>'Resultat-VC (3)'!W229</f>
        <v>-899756.83</v>
      </c>
      <c r="V80" s="14">
        <f>'Resultat-VC (3)'!X229</f>
        <v>-938673.61</v>
      </c>
      <c r="W80" s="14">
        <f>'Resultat-VC (3)'!Y229</f>
        <v>-1006487.07</v>
      </c>
      <c r="X80" s="14">
        <f>'Resultat-VC (3)'!Z229</f>
        <v>-919905.43</v>
      </c>
      <c r="Y80" s="14">
        <f>'Resultat-VC (3)'!AA229</f>
        <v>-909093.81</v>
      </c>
      <c r="Z80" s="14">
        <f>'Resultat-VC (3)'!AB229</f>
        <v>-830347.41</v>
      </c>
      <c r="AA80" s="14">
        <f>'Resultat-VC (3)'!AC229</f>
        <v>-853628.81</v>
      </c>
      <c r="AB80" s="14">
        <f>'Resultat-VC (3)'!AD229</f>
        <v>-924924.4</v>
      </c>
      <c r="AC80" s="14">
        <v>-852142</v>
      </c>
    </row>
    <row r="81" spans="2:29" x14ac:dyDescent="0.3">
      <c r="B81" s="11" t="s">
        <v>5</v>
      </c>
      <c r="C81" s="14">
        <f>'Resultat-VC (3)'!E205</f>
        <v>-120835.69</v>
      </c>
      <c r="D81" s="14">
        <f>'Resultat-VC (3)'!F205</f>
        <v>-119910.46</v>
      </c>
      <c r="E81" s="14">
        <f>'Resultat-VC (3)'!G205</f>
        <v>-224884.31</v>
      </c>
      <c r="F81" s="14">
        <f>'Resultat-VC (3)'!H205</f>
        <v>-161576.10999999999</v>
      </c>
      <c r="G81" s="14">
        <f>'Resultat-VC (3)'!I205</f>
        <v>-149698.69</v>
      </c>
      <c r="H81" s="14">
        <f>'Resultat-VC (3)'!J205</f>
        <v>-149392.38</v>
      </c>
      <c r="I81" s="14">
        <f>'Resultat-VC (3)'!K205</f>
        <v>-149843.06</v>
      </c>
      <c r="J81" s="14">
        <f>'Resultat-VC (3)'!L205</f>
        <v>-135148.49</v>
      </c>
      <c r="K81" s="14">
        <f>'Resultat-VC (3)'!M205</f>
        <v>-143483.23000000001</v>
      </c>
      <c r="L81" s="14">
        <f>'Resultat-VC (3)'!N205</f>
        <v>-155671.10999999999</v>
      </c>
      <c r="M81" s="14">
        <f>'Resultat-VC (3)'!O205</f>
        <v>-146448.76</v>
      </c>
      <c r="N81" s="14">
        <f>'Resultat-VC (3)'!P205</f>
        <v>-150757.48000000001</v>
      </c>
      <c r="O81" s="14">
        <f>'Resultat-VC (3)'!Q205</f>
        <v>-148610.71</v>
      </c>
      <c r="P81" s="14">
        <f>'Resultat-VC (3)'!R205</f>
        <v>-90923.64</v>
      </c>
      <c r="Q81" s="14">
        <f>'Resultat-VC (3)'!S205</f>
        <v>-94603.520000000004</v>
      </c>
      <c r="R81" s="14">
        <f>'Resultat-VC (3)'!T205</f>
        <v>-91998.41</v>
      </c>
      <c r="S81" s="14">
        <f>'Resultat-VC (3)'!U205</f>
        <v>-99374.69</v>
      </c>
      <c r="T81" s="14">
        <f>'Resultat-VC (3)'!V205</f>
        <v>-100501.35</v>
      </c>
      <c r="U81" s="14">
        <f>'Resultat-VC (3)'!W205</f>
        <v>-100979.07</v>
      </c>
      <c r="V81" s="14">
        <f>'Resultat-VC (3)'!X205</f>
        <v>-104260.32</v>
      </c>
      <c r="W81" s="14">
        <f>'Resultat-VC (3)'!Y205</f>
        <v>-109266.05</v>
      </c>
      <c r="X81" s="14">
        <f>'Resultat-VC (3)'!Z205</f>
        <v>-103013.47</v>
      </c>
      <c r="Y81" s="14">
        <f>'Resultat-VC (3)'!AA205</f>
        <v>-99459.5</v>
      </c>
      <c r="Z81" s="14">
        <f>'Resultat-VC (3)'!AB205</f>
        <v>-102985.54</v>
      </c>
      <c r="AA81" s="14">
        <f>'Resultat-VC (3)'!AC205</f>
        <v>-95260.66</v>
      </c>
      <c r="AB81" s="14">
        <f>'Resultat-VC (3)'!AD205</f>
        <v>-74910.679999999993</v>
      </c>
      <c r="AC81" s="14">
        <v>-69829</v>
      </c>
    </row>
    <row r="82" spans="2:29" x14ac:dyDescent="0.3">
      <c r="B82" s="11" t="s">
        <v>11</v>
      </c>
      <c r="C82" s="14">
        <f>'Resultat-VC (3)'!E122</f>
        <v>-1014459.89</v>
      </c>
      <c r="D82" s="14">
        <f>'Resultat-VC (3)'!F122</f>
        <v>-1211121.8799999999</v>
      </c>
      <c r="E82" s="14">
        <f>'Resultat-VC (3)'!G122</f>
        <v>-1195215.8400000001</v>
      </c>
      <c r="F82" s="14">
        <f>'Resultat-VC (3)'!H122</f>
        <v>-1054294.95</v>
      </c>
      <c r="G82" s="14">
        <f>'Resultat-VC (3)'!I122</f>
        <v>-1172261.52</v>
      </c>
      <c r="H82" s="14">
        <f>'Resultat-VC (3)'!J122</f>
        <v>-1137780.6299999999</v>
      </c>
      <c r="I82" s="14">
        <f>'Resultat-VC (3)'!K122</f>
        <v>-1191249.71</v>
      </c>
      <c r="J82" s="14">
        <f>'Resultat-VC (3)'!L122</f>
        <v>-1244106.98</v>
      </c>
      <c r="K82" s="14">
        <f>'Resultat-VC (3)'!M122</f>
        <v>-1311940.1499999999</v>
      </c>
      <c r="L82" s="14">
        <f>'Resultat-VC (3)'!N122</f>
        <v>-1383202.17</v>
      </c>
      <c r="M82" s="14">
        <f>'Resultat-VC (3)'!O122</f>
        <v>-1498894.64</v>
      </c>
      <c r="N82" s="14">
        <f>'Resultat-VC (3)'!P122</f>
        <v>-1562700.03</v>
      </c>
      <c r="O82" s="14">
        <f>'Resultat-VC (3)'!Q122</f>
        <v>-1444356.33</v>
      </c>
      <c r="P82" s="14">
        <f>'Resultat-VC (3)'!R122</f>
        <v>-1421815.54</v>
      </c>
      <c r="Q82" s="14">
        <f>'Resultat-VC (3)'!S122</f>
        <v>-1230688.6399999999</v>
      </c>
      <c r="R82" s="14">
        <f>'Resultat-VC (3)'!T122</f>
        <v>-1256672.03</v>
      </c>
      <c r="S82" s="14">
        <f>'Resultat-VC (3)'!U122</f>
        <v>-1154777.1200000001</v>
      </c>
      <c r="T82" s="14">
        <f>'Resultat-VC (3)'!V122</f>
        <v>-1264303.58</v>
      </c>
      <c r="U82" s="14">
        <f>'Resultat-VC (3)'!W122</f>
        <v>-1265934.1399999999</v>
      </c>
      <c r="V82" s="14">
        <f>'Resultat-VC (3)'!X122</f>
        <v>-1188377.45</v>
      </c>
      <c r="W82" s="14">
        <f>'Resultat-VC (3)'!Y122</f>
        <v>-1266319.43</v>
      </c>
      <c r="X82" s="14">
        <f>'Resultat-VC (3)'!Z122</f>
        <v>-1250761.46</v>
      </c>
      <c r="Y82" s="14">
        <f>'Resultat-VC (3)'!AA122</f>
        <v>-1317455.3500000001</v>
      </c>
      <c r="Z82" s="14">
        <f>'Resultat-VC (3)'!AB122</f>
        <v>-1271302.29</v>
      </c>
      <c r="AA82" s="14">
        <f>'Resultat-VC (3)'!AC122</f>
        <v>-1250000.17</v>
      </c>
      <c r="AB82" s="14">
        <f>'Resultat-VC (3)'!AD122</f>
        <v>-1174632.1000000001</v>
      </c>
      <c r="AC82" s="14">
        <v>-1195801</v>
      </c>
    </row>
    <row r="83" spans="2:29" x14ac:dyDescent="0.3">
      <c r="B83" s="11" t="s">
        <v>1</v>
      </c>
      <c r="C83" s="14">
        <f>'Resultat-VC (3)'!E94</f>
        <v>-1280079.02</v>
      </c>
      <c r="D83" s="14">
        <f>'Resultat-VC (3)'!F94</f>
        <v>-1202898.6100000001</v>
      </c>
      <c r="E83" s="14">
        <f>'Resultat-VC (3)'!G94</f>
        <v>-1213219.9099999999</v>
      </c>
      <c r="F83" s="14">
        <f>'Resultat-VC (3)'!H94</f>
        <v>-1261114.3500000001</v>
      </c>
      <c r="G83" s="14">
        <f>'Resultat-VC (3)'!I94</f>
        <v>-1327154.52</v>
      </c>
      <c r="H83" s="14">
        <f>'Resultat-VC (3)'!J94</f>
        <v>-1337064.51</v>
      </c>
      <c r="I83" s="14">
        <f>'Resultat-VC (3)'!K94</f>
        <v>-1396818.18</v>
      </c>
      <c r="J83" s="14">
        <f>'Resultat-VC (3)'!L94</f>
        <v>-1413507.79</v>
      </c>
      <c r="K83" s="14">
        <f>'Resultat-VC (3)'!M94</f>
        <v>-1402524.45</v>
      </c>
      <c r="L83" s="14">
        <f>'Resultat-VC (3)'!N94</f>
        <v>-1363992.99</v>
      </c>
      <c r="M83" s="14">
        <f>'Resultat-VC (3)'!O94</f>
        <v>-1466002.48</v>
      </c>
      <c r="N83" s="14">
        <f>'Resultat-VC (3)'!P94</f>
        <v>-1374774.81</v>
      </c>
      <c r="O83" s="14">
        <f>'Resultat-VC (3)'!Q94</f>
        <v>-1425820.02</v>
      </c>
      <c r="P83" s="14">
        <f>'Resultat-VC (3)'!R94</f>
        <v>-1398695.58</v>
      </c>
      <c r="Q83" s="14">
        <f>'Resultat-VC (3)'!S94</f>
        <v>-1251826.6100000001</v>
      </c>
      <c r="R83" s="14">
        <f>'Resultat-VC (3)'!T94</f>
        <v>-1244887.1200000001</v>
      </c>
      <c r="S83" s="14">
        <f>'Resultat-VC (3)'!U94</f>
        <v>-1304324.95</v>
      </c>
      <c r="T83" s="14">
        <f>'Resultat-VC (3)'!V94</f>
        <v>-1311728.1000000001</v>
      </c>
      <c r="U83" s="14">
        <f>'Resultat-VC (3)'!W94</f>
        <v>-1325681.3799999999</v>
      </c>
      <c r="V83" s="14">
        <f>'Resultat-VC (3)'!X94</f>
        <v>-1321166.99</v>
      </c>
      <c r="W83" s="14">
        <f>'Resultat-VC (3)'!Y94</f>
        <v>-1276928.98</v>
      </c>
      <c r="X83" s="14">
        <f>'Resultat-VC (3)'!Z94</f>
        <v>-1225370.7</v>
      </c>
      <c r="Y83" s="14">
        <f>'Resultat-VC (3)'!AA94</f>
        <v>-1264317.8400000001</v>
      </c>
      <c r="Z83" s="14">
        <f>'Resultat-VC (3)'!AB94</f>
        <v>-1454821.18</v>
      </c>
      <c r="AA83" s="14">
        <f>'Resultat-VC (3)'!AC94</f>
        <v>-1366290.61</v>
      </c>
      <c r="AB83" s="14">
        <f>'Resultat-VC (3)'!AD94</f>
        <v>-1551672.58</v>
      </c>
      <c r="AC83" s="14">
        <v>-1425514</v>
      </c>
    </row>
    <row r="84" spans="2:29" x14ac:dyDescent="0.3">
      <c r="B84" s="11" t="s">
        <v>10</v>
      </c>
      <c r="C84" s="14">
        <f>'Resultat-VC (3)'!E257</f>
        <v>-802223.64</v>
      </c>
      <c r="D84" s="14">
        <f>'Resultat-VC (3)'!F257</f>
        <v>-771760.16</v>
      </c>
      <c r="E84" s="14">
        <f>'Resultat-VC (3)'!G257</f>
        <v>-673372.48</v>
      </c>
      <c r="F84" s="14">
        <f>'Resultat-VC (3)'!H257</f>
        <v>-835829.84</v>
      </c>
      <c r="G84" s="14">
        <f>'Resultat-VC (3)'!I257</f>
        <v>-786669.75</v>
      </c>
      <c r="H84" s="14">
        <f>'Resultat-VC (3)'!J257</f>
        <v>-707269.17</v>
      </c>
      <c r="I84" s="14">
        <f>'Resultat-VC (3)'!K257</f>
        <v>-827122.29</v>
      </c>
      <c r="J84" s="14">
        <f>'Resultat-VC (3)'!L257</f>
        <v>-871621.76</v>
      </c>
      <c r="K84" s="14">
        <f>'Resultat-VC (3)'!M257</f>
        <v>-879177.16</v>
      </c>
      <c r="L84" s="14">
        <f>'Resultat-VC (3)'!N257</f>
        <v>-761399.99</v>
      </c>
      <c r="M84" s="14">
        <f>'Resultat-VC (3)'!O257</f>
        <v>-847727.74</v>
      </c>
      <c r="N84" s="14">
        <f>'Resultat-VC (3)'!P257</f>
        <v>-882261.37</v>
      </c>
      <c r="O84" s="14">
        <f>'Resultat-VC (3)'!Q257</f>
        <v>-876952.14</v>
      </c>
      <c r="P84" s="14">
        <f>'Resultat-VC (3)'!R257</f>
        <v>-957554.82</v>
      </c>
      <c r="Q84" s="14">
        <f>'Resultat-VC (3)'!S257</f>
        <v>-858841.17</v>
      </c>
      <c r="R84" s="14">
        <f>'Resultat-VC (3)'!T257</f>
        <v>-975727.3</v>
      </c>
      <c r="S84" s="14">
        <f>'Resultat-VC (3)'!U257</f>
        <v>-865912.39</v>
      </c>
      <c r="T84" s="14">
        <f>'Resultat-VC (3)'!V257</f>
        <v>-963642.66</v>
      </c>
      <c r="U84" s="14">
        <f>'Resultat-VC (3)'!W257</f>
        <v>-979325.99</v>
      </c>
      <c r="V84" s="14">
        <f>'Resultat-VC (3)'!X257</f>
        <v>-1068084.7</v>
      </c>
      <c r="W84" s="14">
        <f>'Resultat-VC (3)'!Y257</f>
        <v>-1112699.03</v>
      </c>
      <c r="X84" s="14">
        <f>'Resultat-VC (3)'!Z257</f>
        <v>-1192804.6100000001</v>
      </c>
      <c r="Y84" s="14">
        <f>'Resultat-VC (3)'!AA257</f>
        <v>-1198045.1599999999</v>
      </c>
      <c r="Z84" s="14">
        <f>'Resultat-VC (3)'!AB257</f>
        <v>-1033971.05</v>
      </c>
      <c r="AA84" s="14">
        <f>'Resultat-VC (3)'!AC257</f>
        <v>-1206470.98</v>
      </c>
      <c r="AB84" s="14">
        <f>'Resultat-VC (3)'!AD257</f>
        <v>-1239252.1399999999</v>
      </c>
      <c r="AC84" s="14">
        <v>-1239593</v>
      </c>
    </row>
    <row r="85" spans="2:29" x14ac:dyDescent="0.3">
      <c r="B85" s="11" t="s">
        <v>9</v>
      </c>
      <c r="C85" s="14">
        <f>'Resultat-VC (3)'!E149</f>
        <v>-977057.62</v>
      </c>
      <c r="D85" s="14">
        <f>'Resultat-VC (3)'!F149</f>
        <v>-869758.51</v>
      </c>
      <c r="E85" s="14">
        <f>'Resultat-VC (3)'!G149</f>
        <v>-1029196.37</v>
      </c>
      <c r="F85" s="14">
        <f>'Resultat-VC (3)'!H149</f>
        <v>-843568.85</v>
      </c>
      <c r="G85" s="14">
        <f>'Resultat-VC (3)'!I149</f>
        <v>-910476.08</v>
      </c>
      <c r="H85" s="14">
        <f>'Resultat-VC (3)'!J149</f>
        <v>-1249661.06</v>
      </c>
      <c r="I85" s="14">
        <f>'Resultat-VC (3)'!K149</f>
        <v>-1099911.22</v>
      </c>
      <c r="J85" s="14">
        <f>'Resultat-VC (3)'!L149</f>
        <v>-1307377.79</v>
      </c>
      <c r="K85" s="14">
        <f>'Resultat-VC (3)'!M149</f>
        <v>-1109563.72</v>
      </c>
      <c r="L85" s="14">
        <f>'Resultat-VC (3)'!N149</f>
        <v>-1160655</v>
      </c>
      <c r="M85" s="14">
        <f>'Resultat-VC (3)'!O149</f>
        <v>-1257092.8799999999</v>
      </c>
      <c r="N85" s="14">
        <f>'Resultat-VC (3)'!P149</f>
        <v>-1047784.88</v>
      </c>
      <c r="O85" s="14">
        <f>'Resultat-VC (3)'!Q149</f>
        <v>-1181485.43</v>
      </c>
      <c r="P85" s="14">
        <f>'Resultat-VC (3)'!R149</f>
        <v>-1013455.17</v>
      </c>
      <c r="Q85" s="14">
        <f>'Resultat-VC (3)'!S149</f>
        <v>-962887.99</v>
      </c>
      <c r="R85" s="14">
        <f>'Resultat-VC (3)'!T149</f>
        <v>-1010254.16</v>
      </c>
      <c r="S85" s="14">
        <f>'Resultat-VC (3)'!U149</f>
        <v>-1122042.3400000001</v>
      </c>
      <c r="T85" s="14">
        <f>'Resultat-VC (3)'!V149</f>
        <v>-1120983.6399999999</v>
      </c>
      <c r="U85" s="14">
        <f>'Resultat-VC (3)'!W149</f>
        <v>-1114942.96</v>
      </c>
      <c r="V85" s="14">
        <f>'Resultat-VC (3)'!X149</f>
        <v>-1065305.9099999999</v>
      </c>
      <c r="W85" s="14">
        <f>'Resultat-VC (3)'!Y149</f>
        <v>-1162182.3700000001</v>
      </c>
      <c r="X85" s="14">
        <f>'Resultat-VC (3)'!Z149</f>
        <v>-1170389.72</v>
      </c>
      <c r="Y85" s="14">
        <f>'Resultat-VC (3)'!AA149</f>
        <v>-1063264.8500000001</v>
      </c>
      <c r="Z85" s="14">
        <f>'Resultat-VC (3)'!AB149</f>
        <v>-1056848.8799999999</v>
      </c>
      <c r="AA85" s="14">
        <f>'Resultat-VC (3)'!AC149</f>
        <v>-1103990.67</v>
      </c>
      <c r="AB85" s="14">
        <f>'Resultat-VC (3)'!AD149</f>
        <v>-1231187.04</v>
      </c>
      <c r="AC85" s="14">
        <v>-1184534</v>
      </c>
    </row>
    <row r="86" spans="2:29" x14ac:dyDescent="0.3">
      <c r="B86" s="11" t="s">
        <v>3</v>
      </c>
      <c r="C86" s="14">
        <f>'Resultat-VC (3)'!E177</f>
        <v>-1168550.28</v>
      </c>
      <c r="D86" s="14">
        <f>'Resultat-VC (3)'!F177</f>
        <v>-1330326.68</v>
      </c>
      <c r="E86" s="14">
        <f>'Resultat-VC (3)'!G177</f>
        <v>-1166634.5900000001</v>
      </c>
      <c r="F86" s="14">
        <f>'Resultat-VC (3)'!H177</f>
        <v>-1194361.26</v>
      </c>
      <c r="G86" s="14">
        <f>'Resultat-VC (3)'!I177</f>
        <v>-1323195.6399999999</v>
      </c>
      <c r="H86" s="14">
        <f>'Resultat-VC (3)'!J177</f>
        <v>-1292967.5900000001</v>
      </c>
      <c r="I86" s="14">
        <f>'Resultat-VC (3)'!K177</f>
        <v>-1326957.1000000001</v>
      </c>
      <c r="J86" s="14">
        <f>'Resultat-VC (3)'!L177</f>
        <v>-1290031.07</v>
      </c>
      <c r="K86" s="14">
        <f>'Resultat-VC (3)'!M177</f>
        <v>-1281413.45</v>
      </c>
      <c r="L86" s="14">
        <f>'Resultat-VC (3)'!N177</f>
        <v>-1157475.07</v>
      </c>
      <c r="M86" s="14">
        <f>'Resultat-VC (3)'!O177</f>
        <v>-1238627.57</v>
      </c>
      <c r="N86" s="14">
        <f>'Resultat-VC (3)'!P177</f>
        <v>-1254187.8</v>
      </c>
      <c r="O86" s="14">
        <f>'Resultat-VC (3)'!Q177</f>
        <v>-1236301.54</v>
      </c>
      <c r="P86" s="14">
        <f>'Resultat-VC (3)'!R177</f>
        <v>-1319324.74</v>
      </c>
      <c r="Q86" s="14">
        <f>'Resultat-VC (3)'!S177</f>
        <v>-1283923.3500000001</v>
      </c>
      <c r="R86" s="14">
        <f>'Resultat-VC (3)'!T177</f>
        <v>-1361736.3</v>
      </c>
      <c r="S86" s="14">
        <f>'Resultat-VC (3)'!U177</f>
        <v>-1349584.41</v>
      </c>
      <c r="T86" s="14">
        <f>'Resultat-VC (3)'!V177</f>
        <v>-1318828.8899999999</v>
      </c>
      <c r="U86" s="14">
        <f>'Resultat-VC (3)'!W177</f>
        <v>-1318108.03</v>
      </c>
      <c r="V86" s="14">
        <f>'Resultat-VC (3)'!X177</f>
        <v>-1287148.46</v>
      </c>
      <c r="W86" s="14">
        <f>'Resultat-VC (3)'!Y177</f>
        <v>-1322658.23</v>
      </c>
      <c r="X86" s="14">
        <f>'Resultat-VC (3)'!Z177</f>
        <v>-1327543.98</v>
      </c>
      <c r="Y86" s="14">
        <f>'Resultat-VC (3)'!AA177</f>
        <v>-1259949.78</v>
      </c>
      <c r="Z86" s="14">
        <f>'Resultat-VC (3)'!AB177</f>
        <v>-1288716.3999999999</v>
      </c>
      <c r="AA86" s="14">
        <f>'Resultat-VC (3)'!AC177</f>
        <v>-1291151.42</v>
      </c>
      <c r="AB86" s="14">
        <f>'Resultat-VC (3)'!AD177</f>
        <v>-1386911.82</v>
      </c>
      <c r="AC86" s="14">
        <v>-1297610</v>
      </c>
    </row>
    <row r="87" spans="2:29" x14ac:dyDescent="0.3">
      <c r="B87" s="16"/>
      <c r="C87" s="18">
        <f>SUM(C73:C86)</f>
        <v>-11291826.92</v>
      </c>
      <c r="D87" s="18">
        <f t="shared" ref="D87:AA87" si="12">SUM(D73:D86)</f>
        <v>-11122235.239999998</v>
      </c>
      <c r="E87" s="18">
        <f t="shared" si="12"/>
        <v>-11234738.169999998</v>
      </c>
      <c r="F87" s="18">
        <f t="shared" si="12"/>
        <v>-10859505.960000001</v>
      </c>
      <c r="G87" s="18">
        <f t="shared" si="12"/>
        <v>-11614622.07</v>
      </c>
      <c r="H87" s="18">
        <f t="shared" si="12"/>
        <v>-11978004.710000001</v>
      </c>
      <c r="I87" s="18">
        <f t="shared" si="12"/>
        <v>-12059149.219999999</v>
      </c>
      <c r="J87" s="18">
        <f t="shared" si="12"/>
        <v>-12322900.560000002</v>
      </c>
      <c r="K87" s="18">
        <f t="shared" si="12"/>
        <v>-12252974.639999999</v>
      </c>
      <c r="L87" s="18">
        <f t="shared" si="12"/>
        <v>-12733383.189999999</v>
      </c>
      <c r="M87" s="18">
        <f t="shared" si="12"/>
        <v>-12903595.119999997</v>
      </c>
      <c r="N87" s="18">
        <f t="shared" si="12"/>
        <v>-12901640.760000002</v>
      </c>
      <c r="O87" s="18">
        <f t="shared" si="12"/>
        <v>-13530990.079999998</v>
      </c>
      <c r="P87" s="18">
        <f t="shared" si="12"/>
        <v>-12626161.760000002</v>
      </c>
      <c r="Q87" s="18">
        <f t="shared" si="12"/>
        <v>-12203635.649999999</v>
      </c>
      <c r="R87" s="18">
        <f t="shared" si="12"/>
        <v>-12367994.870000001</v>
      </c>
      <c r="S87" s="18">
        <f t="shared" si="12"/>
        <v>-12633064.870000001</v>
      </c>
      <c r="T87" s="18">
        <f t="shared" si="12"/>
        <v>-12524318.690000001</v>
      </c>
      <c r="U87" s="18">
        <f t="shared" si="12"/>
        <v>-12614123.299999999</v>
      </c>
      <c r="V87" s="18">
        <f t="shared" si="12"/>
        <v>-12790033.550000001</v>
      </c>
      <c r="W87" s="18">
        <f t="shared" si="12"/>
        <v>-13072966.669999998</v>
      </c>
      <c r="X87" s="18">
        <f t="shared" si="12"/>
        <v>-12771764.619999999</v>
      </c>
      <c r="Y87" s="18">
        <f t="shared" si="12"/>
        <v>-12411381.469999999</v>
      </c>
      <c r="Z87" s="18">
        <f t="shared" si="12"/>
        <v>-12794902.35</v>
      </c>
      <c r="AA87" s="18">
        <f t="shared" si="12"/>
        <v>-12741976.390000001</v>
      </c>
      <c r="AB87" s="18">
        <f t="shared" ref="AB87" si="13">SUM(AB73:AB86)</f>
        <v>-13384465.050000001</v>
      </c>
      <c r="AC87" s="18">
        <f>SUM(AC73:AC86)</f>
        <v>-14571761</v>
      </c>
    </row>
    <row r="88" spans="2:29" x14ac:dyDescent="0.3"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</row>
    <row r="89" spans="2:29" x14ac:dyDescent="0.3">
      <c r="B89" s="16" t="s">
        <v>19</v>
      </c>
      <c r="C89" s="16">
        <v>202312</v>
      </c>
      <c r="D89" s="16">
        <v>202401</v>
      </c>
      <c r="E89" s="16">
        <v>202402</v>
      </c>
      <c r="F89" s="16">
        <v>202403</v>
      </c>
      <c r="G89" s="16">
        <v>202404</v>
      </c>
      <c r="H89" s="16">
        <v>202405</v>
      </c>
      <c r="I89" s="16">
        <v>202406</v>
      </c>
      <c r="J89" s="16">
        <v>202407</v>
      </c>
      <c r="K89" s="16">
        <v>202408</v>
      </c>
      <c r="L89" s="16">
        <v>202409</v>
      </c>
      <c r="M89" s="16">
        <v>202410</v>
      </c>
      <c r="N89" s="16">
        <v>202411</v>
      </c>
      <c r="O89" s="16">
        <v>202412</v>
      </c>
      <c r="P89" s="16">
        <v>202501</v>
      </c>
      <c r="Q89" s="16">
        <v>202502</v>
      </c>
      <c r="R89" s="16">
        <v>202503</v>
      </c>
      <c r="S89" s="16">
        <v>202504</v>
      </c>
      <c r="T89" s="16">
        <v>202505</v>
      </c>
      <c r="U89" s="16">
        <v>202506</v>
      </c>
      <c r="V89" s="16">
        <v>202507</v>
      </c>
      <c r="W89" s="16">
        <v>202508</v>
      </c>
      <c r="X89" s="16">
        <v>202509</v>
      </c>
      <c r="Y89" s="16">
        <v>202510</v>
      </c>
      <c r="Z89" s="16">
        <v>202511</v>
      </c>
      <c r="AA89" s="16">
        <v>202512</v>
      </c>
      <c r="AB89" s="16">
        <v>202601</v>
      </c>
      <c r="AC89">
        <v>202602</v>
      </c>
    </row>
    <row r="90" spans="2:29" x14ac:dyDescent="0.3">
      <c r="B90" s="11" t="s">
        <v>12</v>
      </c>
      <c r="C90" s="14">
        <f>'Resultat-VC (3)'!E366</f>
        <v>-581360.23</v>
      </c>
      <c r="D90" s="14">
        <f>'Resultat-VC (3)'!F366</f>
        <v>-596639.19999999995</v>
      </c>
      <c r="E90" s="14">
        <f>'Resultat-VC (3)'!G366</f>
        <v>-493413.56</v>
      </c>
      <c r="F90" s="14">
        <f>'Resultat-VC (3)'!H366</f>
        <v>-445967.31</v>
      </c>
      <c r="G90" s="14">
        <f>'Resultat-VC (3)'!I366</f>
        <v>-590627.24</v>
      </c>
      <c r="H90" s="14">
        <f>'Resultat-VC (3)'!J366</f>
        <v>-554095.81999999995</v>
      </c>
      <c r="I90" s="14">
        <f>'Resultat-VC (3)'!K366</f>
        <v>-594438.99</v>
      </c>
      <c r="J90" s="14">
        <f>'Resultat-VC (3)'!L366</f>
        <v>-476739.26</v>
      </c>
      <c r="K90" s="14">
        <f>'Resultat-VC (3)'!M366</f>
        <v>-576011.55000000005</v>
      </c>
      <c r="L90" s="14">
        <f>'Resultat-VC (3)'!N366</f>
        <v>-321518.03999999998</v>
      </c>
      <c r="M90" s="14">
        <f>'Resultat-VC (3)'!O366</f>
        <v>-627661.57999999996</v>
      </c>
      <c r="N90" s="14">
        <f>'Resultat-VC (3)'!P366</f>
        <v>-625792.56000000006</v>
      </c>
      <c r="O90" s="14">
        <f>'Resultat-VC (3)'!Q366</f>
        <v>-520104.61</v>
      </c>
      <c r="P90" s="14">
        <f>'Resultat-VC (3)'!R366</f>
        <v>-557489.98</v>
      </c>
      <c r="Q90" s="14">
        <f>'Resultat-VC (3)'!S366</f>
        <v>-465151.2</v>
      </c>
      <c r="R90" s="14">
        <f>'Resultat-VC (3)'!T366</f>
        <v>-611249.47</v>
      </c>
      <c r="S90" s="14">
        <f>'Resultat-VC (3)'!U366</f>
        <v>-587961.81999999995</v>
      </c>
      <c r="T90" s="14">
        <f>'Resultat-VC (3)'!V366</f>
        <v>-594892.78</v>
      </c>
      <c r="U90" s="14">
        <f>'Resultat-VC (3)'!W366</f>
        <v>-644254.06000000006</v>
      </c>
      <c r="V90" s="14">
        <f>'Resultat-VC (3)'!X366</f>
        <v>-609641.68999999994</v>
      </c>
      <c r="W90" s="14">
        <f>'Resultat-VC (3)'!Y366</f>
        <v>-621269.92000000004</v>
      </c>
      <c r="X90" s="14">
        <f>'Resultat-VC (3)'!Z366</f>
        <v>-560613.43000000005</v>
      </c>
      <c r="Y90" s="14">
        <f>'Resultat-VC (3)'!AA366</f>
        <v>-606626.82999999996</v>
      </c>
      <c r="Z90" s="14">
        <f>'Resultat-VC (3)'!AB366</f>
        <v>-737259.55</v>
      </c>
      <c r="AA90" s="14">
        <f>'Resultat-VC (3)'!AC366</f>
        <v>-638900.82999999996</v>
      </c>
      <c r="AB90" s="14">
        <f>'Resultat-VC (3)'!AD366</f>
        <v>-480587.23</v>
      </c>
      <c r="AC90" s="14">
        <v>-529518</v>
      </c>
    </row>
    <row r="91" spans="2:29" x14ac:dyDescent="0.3">
      <c r="B91" s="11" t="s">
        <v>0</v>
      </c>
      <c r="C91" s="14">
        <f>'Resultat-VC (3)'!E295</f>
        <v>72786</v>
      </c>
      <c r="D91" s="14">
        <f>'Resultat-VC (3)'!F295</f>
        <v>-167588.10999999999</v>
      </c>
      <c r="E91" s="14">
        <f>'Resultat-VC (3)'!G295</f>
        <v>-206170.61</v>
      </c>
      <c r="F91" s="14">
        <f>'Resultat-VC (3)'!H295</f>
        <v>-247994.06</v>
      </c>
      <c r="G91" s="14">
        <f>'Resultat-VC (3)'!I295</f>
        <v>-154665.39000000001</v>
      </c>
      <c r="H91" s="14">
        <f>'Resultat-VC (3)'!J295</f>
        <v>-118281.29</v>
      </c>
      <c r="I91" s="14">
        <f>'Resultat-VC (3)'!K295</f>
        <v>-274941.8</v>
      </c>
      <c r="J91" s="14">
        <f>'Resultat-VC (3)'!L295</f>
        <v>-205139.42</v>
      </c>
      <c r="K91" s="14">
        <f>'Resultat-VC (3)'!M295</f>
        <v>-440735.14</v>
      </c>
      <c r="L91" s="14">
        <f>'Resultat-VC (3)'!N295</f>
        <v>-275208.25</v>
      </c>
      <c r="M91" s="14">
        <f>'Resultat-VC (3)'!O295</f>
        <v>-296622.94</v>
      </c>
      <c r="N91" s="14">
        <f>'Resultat-VC (3)'!P295</f>
        <v>39914.639999999999</v>
      </c>
      <c r="O91" s="14">
        <f>'Resultat-VC (3)'!Q295</f>
        <v>-10491.61</v>
      </c>
      <c r="P91" s="14">
        <f>'Resultat-VC (3)'!R295</f>
        <v>56760.32</v>
      </c>
      <c r="Q91" s="14">
        <f>'Resultat-VC (3)'!S295</f>
        <v>188.81</v>
      </c>
      <c r="R91" s="14">
        <f>'Resultat-VC (3)'!T295</f>
        <v>-96554.25</v>
      </c>
      <c r="S91" s="14">
        <f>'Resultat-VC (3)'!U295</f>
        <v>-74936.490000000005</v>
      </c>
      <c r="T91" s="14">
        <f>'Resultat-VC (3)'!V295</f>
        <v>-88034.65</v>
      </c>
      <c r="U91" s="14">
        <f>'Resultat-VC (3)'!W295</f>
        <v>73349.899999999994</v>
      </c>
      <c r="V91" s="14">
        <f>'Resultat-VC (3)'!X295</f>
        <v>-152640.75</v>
      </c>
      <c r="W91" s="14">
        <f>'Resultat-VC (3)'!Y295</f>
        <v>-78987.3</v>
      </c>
      <c r="X91" s="14">
        <f>'Resultat-VC (3)'!Z295</f>
        <v>14959.35</v>
      </c>
      <c r="Y91" s="14">
        <f>'Resultat-VC (3)'!AA295</f>
        <v>-56321.78</v>
      </c>
      <c r="Z91" s="14">
        <f>'Resultat-VC (3)'!AB295</f>
        <v>53755.7</v>
      </c>
      <c r="AA91" s="14">
        <f>'Resultat-VC (3)'!AC295</f>
        <v>188169.96</v>
      </c>
      <c r="AB91" s="14">
        <f>'Resultat-VC (3)'!AD295</f>
        <v>199190.09</v>
      </c>
      <c r="AC91" s="14">
        <v>-553032</v>
      </c>
    </row>
    <row r="92" spans="2:29" x14ac:dyDescent="0.3">
      <c r="B92" s="11" t="s">
        <v>2</v>
      </c>
      <c r="C92" s="14">
        <f>'Resultat-VC (3)'!E338</f>
        <v>-540870.07999999996</v>
      </c>
      <c r="D92" s="14">
        <f>'Resultat-VC (3)'!F338</f>
        <v>-393766.47</v>
      </c>
      <c r="E92" s="14">
        <f>'Resultat-VC (3)'!G338</f>
        <v>-403969.1</v>
      </c>
      <c r="F92" s="14">
        <f>'Resultat-VC (3)'!H338</f>
        <v>-455877.45</v>
      </c>
      <c r="G92" s="14">
        <f>'Resultat-VC (3)'!I338</f>
        <v>-449839.78</v>
      </c>
      <c r="H92" s="14">
        <f>'Resultat-VC (3)'!J338</f>
        <v>-462816.32</v>
      </c>
      <c r="I92" s="14">
        <f>'Resultat-VC (3)'!K338</f>
        <v>-412256.59</v>
      </c>
      <c r="J92" s="14">
        <f>'Resultat-VC (3)'!L338</f>
        <v>-375221.37</v>
      </c>
      <c r="K92" s="14">
        <f>'Resultat-VC (3)'!M338</f>
        <v>-523121.57</v>
      </c>
      <c r="L92" s="14">
        <f>'Resultat-VC (3)'!N338</f>
        <v>-515462.28</v>
      </c>
      <c r="M92" s="14">
        <f>'Resultat-VC (3)'!O338</f>
        <v>-523606.45</v>
      </c>
      <c r="N92" s="14">
        <f>'Resultat-VC (3)'!P338</f>
        <v>-532337.99</v>
      </c>
      <c r="O92" s="14">
        <f>'Resultat-VC (3)'!Q338</f>
        <v>-539818.21</v>
      </c>
      <c r="P92" s="14">
        <f>'Resultat-VC (3)'!R338</f>
        <v>-503103.83</v>
      </c>
      <c r="Q92" s="14">
        <f>'Resultat-VC (3)'!S338</f>
        <v>-425495.67</v>
      </c>
      <c r="R92" s="14">
        <f>'Resultat-VC (3)'!T338</f>
        <v>-442467.47</v>
      </c>
      <c r="S92" s="14">
        <f>'Resultat-VC (3)'!U338</f>
        <v>-422317.39</v>
      </c>
      <c r="T92" s="14">
        <f>'Resultat-VC (3)'!V338</f>
        <v>-404142.71</v>
      </c>
      <c r="U92" s="14">
        <f>'Resultat-VC (3)'!W338</f>
        <v>-384265.22</v>
      </c>
      <c r="V92" s="14">
        <f>'Resultat-VC (3)'!X338</f>
        <v>-407415.11</v>
      </c>
      <c r="W92" s="14">
        <f>'Resultat-VC (3)'!Y338</f>
        <v>-281021.15000000002</v>
      </c>
      <c r="X92" s="14">
        <f>'Resultat-VC (3)'!Z338</f>
        <v>-418862.44</v>
      </c>
      <c r="Y92" s="14">
        <f>'Resultat-VC (3)'!AA338</f>
        <v>-372410.87</v>
      </c>
      <c r="Z92" s="14">
        <f>'Resultat-VC (3)'!AB338</f>
        <v>-412521.99</v>
      </c>
      <c r="AA92" s="14">
        <f>'Resultat-VC (3)'!AC338</f>
        <v>-335254.96999999997</v>
      </c>
      <c r="AB92" s="14">
        <f>'Resultat-VC (3)'!AD338</f>
        <v>-365152.95</v>
      </c>
      <c r="AC92" s="14">
        <v>-325487</v>
      </c>
    </row>
    <row r="93" spans="2:29" x14ac:dyDescent="0.3">
      <c r="B93" s="11" t="s">
        <v>13</v>
      </c>
      <c r="C93" s="14">
        <f>'Resultat-VC (3)'!E13</f>
        <v>0</v>
      </c>
      <c r="D93" s="14">
        <f>'Resultat-VC (3)'!F13</f>
        <v>0</v>
      </c>
      <c r="E93" s="14">
        <f>'Resultat-VC (3)'!G13</f>
        <v>0</v>
      </c>
      <c r="F93" s="14">
        <f>'Resultat-VC (3)'!H13</f>
        <v>0</v>
      </c>
      <c r="G93" s="14">
        <f>'Resultat-VC (3)'!I13</f>
        <v>0</v>
      </c>
      <c r="H93" s="14">
        <f>'Resultat-VC (3)'!J13</f>
        <v>0</v>
      </c>
      <c r="I93" s="14">
        <f>'Resultat-VC (3)'!K13</f>
        <v>0</v>
      </c>
      <c r="J93" s="14">
        <f>'Resultat-VC (3)'!L13</f>
        <v>0</v>
      </c>
      <c r="K93" s="14">
        <f>'Resultat-VC (3)'!M13</f>
        <v>0</v>
      </c>
      <c r="L93" s="14">
        <f>'Resultat-VC (3)'!N13</f>
        <v>-83035.66</v>
      </c>
      <c r="M93" s="14">
        <f>'Resultat-VC (3)'!O13</f>
        <v>-99296.4</v>
      </c>
      <c r="N93" s="14">
        <f>'Resultat-VC (3)'!P13</f>
        <v>-68805.509999999995</v>
      </c>
      <c r="O93" s="14">
        <f>'Resultat-VC (3)'!Q13</f>
        <v>-44656.31</v>
      </c>
      <c r="P93" s="14">
        <f>'Resultat-VC (3)'!R13</f>
        <v>-125261.98</v>
      </c>
      <c r="Q93" s="14">
        <f>'Resultat-VC (3)'!S13</f>
        <v>-76784.13</v>
      </c>
      <c r="R93" s="14">
        <f>'Resultat-VC (3)'!T13</f>
        <v>-177794.16</v>
      </c>
      <c r="S93" s="14">
        <f>'Resultat-VC (3)'!U13</f>
        <v>22091.03</v>
      </c>
      <c r="T93" s="14">
        <f>'Resultat-VC (3)'!V13</f>
        <v>-92914.18</v>
      </c>
      <c r="U93" s="14">
        <f>'Resultat-VC (3)'!W13</f>
        <v>-97214.99</v>
      </c>
      <c r="V93" s="14">
        <f>'Resultat-VC (3)'!X13</f>
        <v>-94605.58</v>
      </c>
      <c r="W93" s="14">
        <f>'Resultat-VC (3)'!Y13</f>
        <v>-70805.509999999995</v>
      </c>
      <c r="X93" s="14">
        <f>'Resultat-VC (3)'!Z13</f>
        <v>-125041.86</v>
      </c>
      <c r="Y93" s="14">
        <f>'Resultat-VC (3)'!AA13</f>
        <v>-120179.26</v>
      </c>
      <c r="Z93" s="14">
        <f>'Resultat-VC (3)'!AB13</f>
        <v>-146964.92000000001</v>
      </c>
      <c r="AA93" s="14">
        <f>'Resultat-VC (3)'!AC13</f>
        <v>-127613.72</v>
      </c>
      <c r="AB93" s="14">
        <f>'Resultat-VC (3)'!AD13</f>
        <v>-153486.87</v>
      </c>
      <c r="AC93" s="14">
        <v>-118974</v>
      </c>
    </row>
    <row r="94" spans="2:29" x14ac:dyDescent="0.3">
      <c r="B94" s="11" t="s">
        <v>8</v>
      </c>
      <c r="C94" s="14">
        <f>'Resultat-VC (3)'!E313</f>
        <v>-104173.3</v>
      </c>
      <c r="D94" s="14">
        <f>'Resultat-VC (3)'!F313</f>
        <v>-80607.289999999994</v>
      </c>
      <c r="E94" s="14">
        <f>'Resultat-VC (3)'!G313</f>
        <v>-66610.899999999994</v>
      </c>
      <c r="F94" s="14">
        <f>'Resultat-VC (3)'!H313</f>
        <v>-80267.95</v>
      </c>
      <c r="G94" s="14">
        <f>'Resultat-VC (3)'!I313</f>
        <v>-72602.05</v>
      </c>
      <c r="H94" s="14">
        <f>'Resultat-VC (3)'!J313</f>
        <v>-83683.44</v>
      </c>
      <c r="I94" s="14">
        <f>'Resultat-VC (3)'!K313</f>
        <v>-94539.06</v>
      </c>
      <c r="J94" s="14">
        <f>'Resultat-VC (3)'!L313</f>
        <v>-72724.62</v>
      </c>
      <c r="K94" s="14">
        <f>'Resultat-VC (3)'!M313</f>
        <v>-64885.34</v>
      </c>
      <c r="L94" s="14">
        <f>'Resultat-VC (3)'!N313</f>
        <v>-92999.11</v>
      </c>
      <c r="M94" s="14">
        <f>'Resultat-VC (3)'!O313</f>
        <v>-79832.37</v>
      </c>
      <c r="N94" s="14">
        <f>'Resultat-VC (3)'!P313</f>
        <v>-73858.39</v>
      </c>
      <c r="O94" s="14">
        <f>'Resultat-VC (3)'!Q313</f>
        <v>-89420.92</v>
      </c>
      <c r="P94" s="14">
        <f>'Resultat-VC (3)'!R313</f>
        <v>-57296.41</v>
      </c>
      <c r="Q94" s="14">
        <f>'Resultat-VC (3)'!S313</f>
        <v>-84295.54</v>
      </c>
      <c r="R94" s="14">
        <f>'Resultat-VC (3)'!T313</f>
        <v>-92368.26</v>
      </c>
      <c r="S94" s="14">
        <f>'Resultat-VC (3)'!U313</f>
        <v>-71527.710000000006</v>
      </c>
      <c r="T94" s="14">
        <f>'Resultat-VC (3)'!V313</f>
        <v>-77125.710000000006</v>
      </c>
      <c r="U94" s="14">
        <f>'Resultat-VC (3)'!W313</f>
        <v>-122452.25</v>
      </c>
      <c r="V94" s="14">
        <f>'Resultat-VC (3)'!X313</f>
        <v>-79868.92</v>
      </c>
      <c r="W94" s="14">
        <f>'Resultat-VC (3)'!Y313</f>
        <v>-65236.4</v>
      </c>
      <c r="X94" s="14">
        <f>'Resultat-VC (3)'!Z313</f>
        <v>-79457.48</v>
      </c>
      <c r="Y94" s="14">
        <f>'Resultat-VC (3)'!AA313</f>
        <v>-92663.57</v>
      </c>
      <c r="Z94" s="14">
        <f>'Resultat-VC (3)'!AB313</f>
        <v>-74457.53</v>
      </c>
      <c r="AA94" s="14">
        <f>'Resultat-VC (3)'!AC313</f>
        <v>-63953.4</v>
      </c>
      <c r="AB94" s="14">
        <f>'Resultat-VC (3)'!AD313</f>
        <v>-80681.149999999994</v>
      </c>
      <c r="AC94" s="14">
        <v>-78512</v>
      </c>
    </row>
    <row r="95" spans="2:29" x14ac:dyDescent="0.3">
      <c r="B95" s="11" t="s">
        <v>4</v>
      </c>
      <c r="C95" s="15">
        <f>'Resultat-VC (3)'!E39</f>
        <v>-997354.58</v>
      </c>
      <c r="D95" s="15">
        <f>'Resultat-VC (3)'!F39</f>
        <v>-897635.13</v>
      </c>
      <c r="E95" s="15">
        <f>'Resultat-VC (3)'!G39</f>
        <v>-911545.79</v>
      </c>
      <c r="F95" s="15">
        <f>'Resultat-VC (3)'!H39</f>
        <v>-1009142.33</v>
      </c>
      <c r="G95" s="15">
        <f>'Resultat-VC (3)'!I39</f>
        <v>-1037026.48</v>
      </c>
      <c r="H95" s="15">
        <f>'Resultat-VC (3)'!J39</f>
        <v>-997977.35</v>
      </c>
      <c r="I95" s="15">
        <f>'Resultat-VC (3)'!K39</f>
        <v>-933865.22</v>
      </c>
      <c r="J95" s="15">
        <f>'Resultat-VC (3)'!L39</f>
        <v>-864029.5</v>
      </c>
      <c r="K95" s="15">
        <f>'Resultat-VC (3)'!M39</f>
        <v>-852029.29</v>
      </c>
      <c r="L95" s="15">
        <f>'Resultat-VC (3)'!N39</f>
        <v>-1009011.99</v>
      </c>
      <c r="M95" s="15">
        <f>'Resultat-VC (3)'!O39</f>
        <v>-960356.63</v>
      </c>
      <c r="N95" s="15">
        <f>'Resultat-VC (3)'!P39</f>
        <v>-934324.02</v>
      </c>
      <c r="O95" s="15">
        <f>'Resultat-VC (3)'!Q39</f>
        <v>-854571.17</v>
      </c>
      <c r="P95" s="15">
        <f>'Resultat-VC (3)'!R39</f>
        <v>-870145.6</v>
      </c>
      <c r="Q95" s="15">
        <f>'Resultat-VC (3)'!S39</f>
        <v>-875506.41</v>
      </c>
      <c r="R95" s="15">
        <f>'Resultat-VC (3)'!T39</f>
        <v>-912172.6</v>
      </c>
      <c r="S95" s="15">
        <f>'Resultat-VC (3)'!U39</f>
        <v>-897872.02</v>
      </c>
      <c r="T95" s="15">
        <f>'Resultat-VC (3)'!V39</f>
        <v>-930227.13</v>
      </c>
      <c r="U95" s="15">
        <f>'Resultat-VC (3)'!W39</f>
        <v>-1034782.28</v>
      </c>
      <c r="V95" s="15">
        <f>'Resultat-VC (3)'!X39</f>
        <v>-906285.13</v>
      </c>
      <c r="W95" s="15">
        <f>'Resultat-VC (3)'!Y39</f>
        <v>-817876.07</v>
      </c>
      <c r="X95" s="15">
        <f>'Resultat-VC (3)'!Z39</f>
        <v>-930687.45</v>
      </c>
      <c r="Y95" s="15">
        <f>'Resultat-VC (3)'!AA39</f>
        <v>-1070153.8700000001</v>
      </c>
      <c r="Z95" s="15">
        <f>'Resultat-VC (3)'!AB39</f>
        <v>-890435.29</v>
      </c>
      <c r="AA95" s="15">
        <f>'Resultat-VC (3)'!AC39</f>
        <v>-972829.35</v>
      </c>
      <c r="AB95" s="15">
        <f>'Resultat-VC (3)'!AD39</f>
        <v>-822431.49</v>
      </c>
      <c r="AC95" s="15">
        <v>-914534</v>
      </c>
    </row>
    <row r="96" spans="2:29" x14ac:dyDescent="0.3">
      <c r="B96" s="11" t="s">
        <v>7</v>
      </c>
      <c r="C96" s="14">
        <f>'Resultat-VC (3)'!E67</f>
        <v>-734675.75</v>
      </c>
      <c r="D96" s="14">
        <f>'Resultat-VC (3)'!F67</f>
        <v>-735274.68</v>
      </c>
      <c r="E96" s="14">
        <f>'Resultat-VC (3)'!G67</f>
        <v>-814770.96</v>
      </c>
      <c r="F96" s="14">
        <f>'Resultat-VC (3)'!H67</f>
        <v>-692110.81</v>
      </c>
      <c r="G96" s="14">
        <f>'Resultat-VC (3)'!I67</f>
        <v>-804981.66</v>
      </c>
      <c r="H96" s="14">
        <f>'Resultat-VC (3)'!J67</f>
        <v>-807608.58</v>
      </c>
      <c r="I96" s="14">
        <f>'Resultat-VC (3)'!K67</f>
        <v>-694303.42</v>
      </c>
      <c r="J96" s="14">
        <f>'Resultat-VC (3)'!L67</f>
        <v>-683840.68</v>
      </c>
      <c r="K96" s="14">
        <f>'Resultat-VC (3)'!M67</f>
        <v>-643889.28</v>
      </c>
      <c r="L96" s="14">
        <f>'Resultat-VC (3)'!N67</f>
        <v>-642795.43000000005</v>
      </c>
      <c r="M96" s="14">
        <f>'Resultat-VC (3)'!O67</f>
        <v>-750590.98</v>
      </c>
      <c r="N96" s="14">
        <f>'Resultat-VC (3)'!P67</f>
        <v>-676594.68</v>
      </c>
      <c r="O96" s="14">
        <f>'Resultat-VC (3)'!Q67</f>
        <v>-589202.4</v>
      </c>
      <c r="P96" s="14">
        <f>'Resultat-VC (3)'!R67</f>
        <v>-613952.86</v>
      </c>
      <c r="Q96" s="14">
        <f>'Resultat-VC (3)'!S67</f>
        <v>-581790.44999999995</v>
      </c>
      <c r="R96" s="14">
        <f>'Resultat-VC (3)'!T67</f>
        <v>-714684.4</v>
      </c>
      <c r="S96" s="14">
        <f>'Resultat-VC (3)'!U67</f>
        <v>-683814.94</v>
      </c>
      <c r="T96" s="14">
        <f>'Resultat-VC (3)'!V67</f>
        <v>-715147.87</v>
      </c>
      <c r="U96" s="14">
        <f>'Resultat-VC (3)'!W67</f>
        <v>-585527.30000000005</v>
      </c>
      <c r="V96" s="14">
        <f>'Resultat-VC (3)'!X67</f>
        <v>-713099.8</v>
      </c>
      <c r="W96" s="14">
        <f>'Resultat-VC (3)'!Y67</f>
        <v>-773657.47</v>
      </c>
      <c r="X96" s="14">
        <f>'Resultat-VC (3)'!Z67</f>
        <v>-580672.81999999995</v>
      </c>
      <c r="Y96" s="14">
        <f>'Resultat-VC (3)'!AA67</f>
        <v>-863988.53</v>
      </c>
      <c r="Z96" s="14">
        <f>'Resultat-VC (3)'!AB67</f>
        <v>-750284.6</v>
      </c>
      <c r="AA96" s="14">
        <f>'Resultat-VC (3)'!AC67</f>
        <v>-808781.79</v>
      </c>
      <c r="AB96" s="14">
        <f>'Resultat-VC (3)'!AD67</f>
        <v>-596362.35</v>
      </c>
      <c r="AC96" s="14">
        <v>-606824</v>
      </c>
    </row>
    <row r="97" spans="2:29" x14ac:dyDescent="0.3">
      <c r="B97" s="11" t="s">
        <v>6</v>
      </c>
      <c r="C97" s="14">
        <f>'Resultat-VC (3)'!E230</f>
        <v>-322979.48</v>
      </c>
      <c r="D97" s="14">
        <f>'Resultat-VC (3)'!F230</f>
        <v>-313590.78000000003</v>
      </c>
      <c r="E97" s="14">
        <f>'Resultat-VC (3)'!G230</f>
        <v>-349602.76</v>
      </c>
      <c r="F97" s="14">
        <f>'Resultat-VC (3)'!H230</f>
        <v>-310292.58</v>
      </c>
      <c r="G97" s="14">
        <f>'Resultat-VC (3)'!I230</f>
        <v>-367967.48</v>
      </c>
      <c r="H97" s="14">
        <f>'Resultat-VC (3)'!J230</f>
        <v>-370816.02</v>
      </c>
      <c r="I97" s="14">
        <f>'Resultat-VC (3)'!K230</f>
        <v>-303093.45</v>
      </c>
      <c r="J97" s="14">
        <f>'Resultat-VC (3)'!L230</f>
        <v>-365476.06</v>
      </c>
      <c r="K97" s="14">
        <f>'Resultat-VC (3)'!M230</f>
        <v>-330038.62</v>
      </c>
      <c r="L97" s="14">
        <f>'Resultat-VC (3)'!N230</f>
        <v>-338469.94</v>
      </c>
      <c r="M97" s="14">
        <f>'Resultat-VC (3)'!O230</f>
        <v>-367047.83</v>
      </c>
      <c r="N97" s="14">
        <f>'Resultat-VC (3)'!P230</f>
        <v>-320624.51</v>
      </c>
      <c r="O97" s="14">
        <f>'Resultat-VC (3)'!Q230</f>
        <v>-288891.57</v>
      </c>
      <c r="P97" s="14">
        <f>'Resultat-VC (3)'!R230</f>
        <v>-335920.46</v>
      </c>
      <c r="Q97" s="14">
        <f>'Resultat-VC (3)'!S230</f>
        <v>-272533.15999999997</v>
      </c>
      <c r="R97" s="14">
        <f>'Resultat-VC (3)'!T230</f>
        <v>-316783.51</v>
      </c>
      <c r="S97" s="14">
        <f>'Resultat-VC (3)'!U230</f>
        <v>-293588.57</v>
      </c>
      <c r="T97" s="14">
        <f>'Resultat-VC (3)'!V230</f>
        <v>-340164.78</v>
      </c>
      <c r="U97" s="14">
        <f>'Resultat-VC (3)'!W230</f>
        <v>-412925.93</v>
      </c>
      <c r="V97" s="14">
        <f>'Resultat-VC (3)'!X230</f>
        <v>-247030.37</v>
      </c>
      <c r="W97" s="14">
        <f>'Resultat-VC (3)'!Y230</f>
        <v>-287004.83</v>
      </c>
      <c r="X97" s="14">
        <f>'Resultat-VC (3)'!Z230</f>
        <v>-397141.53</v>
      </c>
      <c r="Y97" s="14">
        <f>'Resultat-VC (3)'!AA230</f>
        <v>-256036.71</v>
      </c>
      <c r="Z97" s="14">
        <f>'Resultat-VC (3)'!AB230</f>
        <v>-332828.36</v>
      </c>
      <c r="AA97" s="14">
        <f>'Resultat-VC (3)'!AC230</f>
        <v>-310310.67</v>
      </c>
      <c r="AB97" s="14">
        <f>'Resultat-VC (3)'!AD230</f>
        <v>-310589.75</v>
      </c>
      <c r="AC97" s="14">
        <v>-359521</v>
      </c>
    </row>
    <row r="98" spans="2:29" x14ac:dyDescent="0.3">
      <c r="B98" s="11" t="s">
        <v>5</v>
      </c>
      <c r="C98" s="14">
        <f>'Resultat-VC (3)'!E206</f>
        <v>-126571.43</v>
      </c>
      <c r="D98" s="14">
        <f>'Resultat-VC (3)'!F206</f>
        <v>-130673.02</v>
      </c>
      <c r="E98" s="14">
        <f>'Resultat-VC (3)'!G206</f>
        <v>-123926.3</v>
      </c>
      <c r="F98" s="14">
        <f>'Resultat-VC (3)'!H206</f>
        <v>-122709.04</v>
      </c>
      <c r="G98" s="14">
        <f>'Resultat-VC (3)'!I206</f>
        <v>-128275.66</v>
      </c>
      <c r="H98" s="14">
        <f>'Resultat-VC (3)'!J206</f>
        <v>-112734.21</v>
      </c>
      <c r="I98" s="14">
        <f>'Resultat-VC (3)'!K206</f>
        <v>-107810.26</v>
      </c>
      <c r="J98" s="14">
        <f>'Resultat-VC (3)'!L206</f>
        <v>-119670</v>
      </c>
      <c r="K98" s="14">
        <f>'Resultat-VC (3)'!M206</f>
        <v>-129137.74</v>
      </c>
      <c r="L98" s="14">
        <f>'Resultat-VC (3)'!N206</f>
        <v>-128838.95</v>
      </c>
      <c r="M98" s="14">
        <f>'Resultat-VC (3)'!O206</f>
        <v>-128258.49</v>
      </c>
      <c r="N98" s="14">
        <f>'Resultat-VC (3)'!P206</f>
        <v>-117118.23</v>
      </c>
      <c r="O98" s="14">
        <f>'Resultat-VC (3)'!Q206</f>
        <v>-107212.76</v>
      </c>
      <c r="P98" s="14">
        <f>'Resultat-VC (3)'!R206</f>
        <v>-93104.36</v>
      </c>
      <c r="Q98" s="14">
        <f>'Resultat-VC (3)'!S206</f>
        <v>-130549.7</v>
      </c>
      <c r="R98" s="14">
        <f>'Resultat-VC (3)'!T206</f>
        <v>-114347.63</v>
      </c>
      <c r="S98" s="14">
        <f>'Resultat-VC (3)'!U206</f>
        <v>-112411.62</v>
      </c>
      <c r="T98" s="14">
        <f>'Resultat-VC (3)'!V206</f>
        <v>-120572.62</v>
      </c>
      <c r="U98" s="14">
        <f>'Resultat-VC (3)'!W206</f>
        <v>-175371.17</v>
      </c>
      <c r="V98" s="14">
        <f>'Resultat-VC (3)'!X206</f>
        <v>-66191.259999999995</v>
      </c>
      <c r="W98" s="14">
        <f>'Resultat-VC (3)'!Y206</f>
        <v>-105050.2</v>
      </c>
      <c r="X98" s="14">
        <f>'Resultat-VC (3)'!Z206</f>
        <v>-106072.49</v>
      </c>
      <c r="Y98" s="14">
        <f>'Resultat-VC (3)'!AA206</f>
        <v>-136769.60000000001</v>
      </c>
      <c r="Z98" s="14">
        <f>'Resultat-VC (3)'!AB206</f>
        <v>-152221.94</v>
      </c>
      <c r="AA98" s="14">
        <f>'Resultat-VC (3)'!AC206</f>
        <v>-104057.28</v>
      </c>
      <c r="AB98" s="14">
        <f>'Resultat-VC (3)'!AD206</f>
        <v>-112904.31</v>
      </c>
      <c r="AC98" s="14">
        <v>-86394</v>
      </c>
    </row>
    <row r="99" spans="2:29" x14ac:dyDescent="0.3">
      <c r="B99" s="11" t="s">
        <v>11</v>
      </c>
      <c r="C99" s="14">
        <f>'Resultat-VC (3)'!E123</f>
        <v>-425737.78</v>
      </c>
      <c r="D99" s="14">
        <f>'Resultat-VC (3)'!F123</f>
        <v>-437494.19</v>
      </c>
      <c r="E99" s="14">
        <f>'Resultat-VC (3)'!G123</f>
        <v>-409351.92</v>
      </c>
      <c r="F99" s="14">
        <f>'Resultat-VC (3)'!H123</f>
        <v>-448860.69</v>
      </c>
      <c r="G99" s="14">
        <f>'Resultat-VC (3)'!I123</f>
        <v>-443064.73</v>
      </c>
      <c r="H99" s="14">
        <f>'Resultat-VC (3)'!J123</f>
        <v>-473449.38</v>
      </c>
      <c r="I99" s="14">
        <f>'Resultat-VC (3)'!K123</f>
        <v>-470814.86</v>
      </c>
      <c r="J99" s="14">
        <f>'Resultat-VC (3)'!L123</f>
        <v>-344129.12</v>
      </c>
      <c r="K99" s="14">
        <f>'Resultat-VC (3)'!M123</f>
        <v>-567238.12</v>
      </c>
      <c r="L99" s="14">
        <f>'Resultat-VC (3)'!N123</f>
        <v>-457774.41</v>
      </c>
      <c r="M99" s="14">
        <f>'Resultat-VC (3)'!O123</f>
        <v>-465060.77</v>
      </c>
      <c r="N99" s="14">
        <f>'Resultat-VC (3)'!P123</f>
        <v>-477205.04</v>
      </c>
      <c r="O99" s="14">
        <f>'Resultat-VC (3)'!Q123</f>
        <v>-447945.41</v>
      </c>
      <c r="P99" s="14">
        <f>'Resultat-VC (3)'!R123</f>
        <v>-438458.31</v>
      </c>
      <c r="Q99" s="14">
        <f>'Resultat-VC (3)'!S123</f>
        <v>-494054.19</v>
      </c>
      <c r="R99" s="14">
        <f>'Resultat-VC (3)'!T123</f>
        <v>-464144.81</v>
      </c>
      <c r="S99" s="14">
        <f>'Resultat-VC (3)'!U123</f>
        <v>-504479.28</v>
      </c>
      <c r="T99" s="14">
        <f>'Resultat-VC (3)'!V123</f>
        <v>-514429.52</v>
      </c>
      <c r="U99" s="14">
        <f>'Resultat-VC (3)'!W123</f>
        <v>-533057.79</v>
      </c>
      <c r="V99" s="14">
        <f>'Resultat-VC (3)'!X123</f>
        <v>-386352.71</v>
      </c>
      <c r="W99" s="14">
        <f>'Resultat-VC (3)'!Y123</f>
        <v>-512903.97</v>
      </c>
      <c r="X99" s="14">
        <f>'Resultat-VC (3)'!Z123</f>
        <v>-631788.01</v>
      </c>
      <c r="Y99" s="14">
        <f>'Resultat-VC (3)'!AA123</f>
        <v>-551517.51</v>
      </c>
      <c r="Z99" s="14">
        <f>'Resultat-VC (3)'!AB123</f>
        <v>-428184.68</v>
      </c>
      <c r="AA99" s="14">
        <f>'Resultat-VC (3)'!AC123</f>
        <v>-500318.94</v>
      </c>
      <c r="AB99" s="14">
        <f>'Resultat-VC (3)'!AD123</f>
        <v>-420671.67</v>
      </c>
      <c r="AC99" s="14">
        <v>-462274</v>
      </c>
    </row>
    <row r="100" spans="2:29" x14ac:dyDescent="0.3">
      <c r="B100" s="11" t="s">
        <v>1</v>
      </c>
      <c r="C100" s="14">
        <f>'Resultat-VC (3)'!E95</f>
        <v>-648079.65</v>
      </c>
      <c r="D100" s="14">
        <f>'Resultat-VC (3)'!F95</f>
        <v>-676955.66</v>
      </c>
      <c r="E100" s="14">
        <f>'Resultat-VC (3)'!G95</f>
        <v>-602687.97</v>
      </c>
      <c r="F100" s="14">
        <f>'Resultat-VC (3)'!H95</f>
        <v>-619019.73</v>
      </c>
      <c r="G100" s="14">
        <f>'Resultat-VC (3)'!I95</f>
        <v>-604154.53</v>
      </c>
      <c r="H100" s="14">
        <f>'Resultat-VC (3)'!J95</f>
        <v>-659552.72</v>
      </c>
      <c r="I100" s="14">
        <f>'Resultat-VC (3)'!K95</f>
        <v>-544282.31999999995</v>
      </c>
      <c r="J100" s="14">
        <f>'Resultat-VC (3)'!L95</f>
        <v>-530760.63</v>
      </c>
      <c r="K100" s="14">
        <f>'Resultat-VC (3)'!M95</f>
        <v>-624837.68000000005</v>
      </c>
      <c r="L100" s="14">
        <f>'Resultat-VC (3)'!N95</f>
        <v>-587799.56000000006</v>
      </c>
      <c r="M100" s="14">
        <f>'Resultat-VC (3)'!O95</f>
        <v>-704160.36</v>
      </c>
      <c r="N100" s="14">
        <f>'Resultat-VC (3)'!P95</f>
        <v>-708823.31</v>
      </c>
      <c r="O100" s="14">
        <f>'Resultat-VC (3)'!Q95</f>
        <v>-510440.9</v>
      </c>
      <c r="P100" s="14">
        <f>'Resultat-VC (3)'!R95</f>
        <v>-507068.58</v>
      </c>
      <c r="Q100" s="14">
        <f>'Resultat-VC (3)'!S95</f>
        <v>-554007.19999999995</v>
      </c>
      <c r="R100" s="14">
        <f>'Resultat-VC (3)'!T95</f>
        <v>-545208.23</v>
      </c>
      <c r="S100" s="14">
        <f>'Resultat-VC (3)'!U95</f>
        <v>-561958.65</v>
      </c>
      <c r="T100" s="14">
        <f>'Resultat-VC (3)'!V95</f>
        <v>-545489.84</v>
      </c>
      <c r="U100" s="14">
        <f>'Resultat-VC (3)'!W95</f>
        <v>-610041.11</v>
      </c>
      <c r="V100" s="14">
        <f>'Resultat-VC (3)'!X95</f>
        <v>-482293.64</v>
      </c>
      <c r="W100" s="14">
        <f>'Resultat-VC (3)'!Y95</f>
        <v>-599150.72</v>
      </c>
      <c r="X100" s="14">
        <f>'Resultat-VC (3)'!Z95</f>
        <v>-526319.32999999996</v>
      </c>
      <c r="Y100" s="14">
        <f>'Resultat-VC (3)'!AA95</f>
        <v>-638032.52</v>
      </c>
      <c r="Z100" s="14">
        <f>'Resultat-VC (3)'!AB95</f>
        <v>-568927.56999999995</v>
      </c>
      <c r="AA100" s="14">
        <f>'Resultat-VC (3)'!AC95</f>
        <v>-612833.85</v>
      </c>
      <c r="AB100" s="14">
        <f>'Resultat-VC (3)'!AD95</f>
        <v>-544251.19999999995</v>
      </c>
      <c r="AC100" s="14">
        <v>-527720</v>
      </c>
    </row>
    <row r="101" spans="2:29" x14ac:dyDescent="0.3">
      <c r="B101" s="11" t="s">
        <v>10</v>
      </c>
      <c r="C101" s="14">
        <f>'Resultat-VC (3)'!E258</f>
        <v>-376633.07</v>
      </c>
      <c r="D101" s="14">
        <f>'Resultat-VC (3)'!F258</f>
        <v>-406621.68</v>
      </c>
      <c r="E101" s="14">
        <f>'Resultat-VC (3)'!G258</f>
        <v>-366053</v>
      </c>
      <c r="F101" s="14">
        <f>'Resultat-VC (3)'!H258</f>
        <v>-349152.51</v>
      </c>
      <c r="G101" s="14">
        <f>'Resultat-VC (3)'!I258</f>
        <v>-367848.99</v>
      </c>
      <c r="H101" s="14">
        <f>'Resultat-VC (3)'!J258</f>
        <v>-334374.26</v>
      </c>
      <c r="I101" s="14">
        <f>'Resultat-VC (3)'!K258</f>
        <v>-332133.88</v>
      </c>
      <c r="J101" s="14">
        <f>'Resultat-VC (3)'!L258</f>
        <v>-293907.65000000002</v>
      </c>
      <c r="K101" s="14">
        <f>'Resultat-VC (3)'!M258</f>
        <v>-404834.98</v>
      </c>
      <c r="L101" s="14">
        <f>'Resultat-VC (3)'!N258</f>
        <v>-351759.31</v>
      </c>
      <c r="M101" s="14">
        <f>'Resultat-VC (3)'!O258</f>
        <v>-411951.66</v>
      </c>
      <c r="N101" s="14">
        <f>'Resultat-VC (3)'!P258</f>
        <v>-413221.27</v>
      </c>
      <c r="O101" s="14">
        <f>'Resultat-VC (3)'!Q258</f>
        <v>-397855.17</v>
      </c>
      <c r="P101" s="14">
        <f>'Resultat-VC (3)'!R258</f>
        <v>-389141.37</v>
      </c>
      <c r="Q101" s="14">
        <f>'Resultat-VC (3)'!S258</f>
        <v>-431937.28000000003</v>
      </c>
      <c r="R101" s="14">
        <f>'Resultat-VC (3)'!T258</f>
        <v>-464545.18</v>
      </c>
      <c r="S101" s="14">
        <f>'Resultat-VC (3)'!U258</f>
        <v>-461392.99</v>
      </c>
      <c r="T101" s="14">
        <f>'Resultat-VC (3)'!V258</f>
        <v>-509743.15</v>
      </c>
      <c r="U101" s="14">
        <f>'Resultat-VC (3)'!W258</f>
        <v>-436325.54</v>
      </c>
      <c r="V101" s="14">
        <f>'Resultat-VC (3)'!X258</f>
        <v>-508523.04</v>
      </c>
      <c r="W101" s="14">
        <f>'Resultat-VC (3)'!Y258</f>
        <v>-536160</v>
      </c>
      <c r="X101" s="14">
        <f>'Resultat-VC (3)'!Z258</f>
        <v>-417059.96</v>
      </c>
      <c r="Y101" s="14">
        <f>'Resultat-VC (3)'!AA258</f>
        <v>-659892.46</v>
      </c>
      <c r="Z101" s="14">
        <f>'Resultat-VC (3)'!AB258</f>
        <v>-641570.14</v>
      </c>
      <c r="AA101" s="14">
        <f>'Resultat-VC (3)'!AC258</f>
        <v>-494438.93</v>
      </c>
      <c r="AB101" s="14">
        <f>'Resultat-VC (3)'!AD258</f>
        <v>-578553.72</v>
      </c>
      <c r="AC101" s="14">
        <v>-468876</v>
      </c>
    </row>
    <row r="102" spans="2:29" x14ac:dyDescent="0.3">
      <c r="B102" s="11" t="s">
        <v>9</v>
      </c>
      <c r="C102" s="14">
        <f>'Resultat-VC (3)'!E150</f>
        <v>-468890.02</v>
      </c>
      <c r="D102" s="14">
        <f>'Resultat-VC (3)'!F150</f>
        <v>-473189.36</v>
      </c>
      <c r="E102" s="14">
        <f>'Resultat-VC (3)'!G150</f>
        <v>-449463.25</v>
      </c>
      <c r="F102" s="14">
        <f>'Resultat-VC (3)'!H150</f>
        <v>-513517.89</v>
      </c>
      <c r="G102" s="14">
        <f>'Resultat-VC (3)'!I150</f>
        <v>-466757.53</v>
      </c>
      <c r="H102" s="14">
        <f>'Resultat-VC (3)'!J150</f>
        <v>-429867.94</v>
      </c>
      <c r="I102" s="14">
        <f>'Resultat-VC (3)'!K150</f>
        <v>-474982.75</v>
      </c>
      <c r="J102" s="14">
        <f>'Resultat-VC (3)'!L150</f>
        <v>-407596.97</v>
      </c>
      <c r="K102" s="14">
        <f>'Resultat-VC (3)'!M150</f>
        <v>-384109.79</v>
      </c>
      <c r="L102" s="14">
        <f>'Resultat-VC (3)'!N150</f>
        <v>-460851.76</v>
      </c>
      <c r="M102" s="14">
        <f>'Resultat-VC (3)'!O150</f>
        <v>-457151.48</v>
      </c>
      <c r="N102" s="14">
        <f>'Resultat-VC (3)'!P150</f>
        <v>-452774.72</v>
      </c>
      <c r="O102" s="14">
        <f>'Resultat-VC (3)'!Q150</f>
        <v>-371225.41</v>
      </c>
      <c r="P102" s="14">
        <f>'Resultat-VC (3)'!R150</f>
        <v>-485051.71</v>
      </c>
      <c r="Q102" s="14">
        <f>'Resultat-VC (3)'!S150</f>
        <v>-427819.51</v>
      </c>
      <c r="R102" s="14">
        <f>'Resultat-VC (3)'!T150</f>
        <v>-502136.29</v>
      </c>
      <c r="S102" s="14">
        <f>'Resultat-VC (3)'!U150</f>
        <v>-455986.75</v>
      </c>
      <c r="T102" s="14">
        <f>'Resultat-VC (3)'!V150</f>
        <v>-545459.85</v>
      </c>
      <c r="U102" s="14">
        <f>'Resultat-VC (3)'!W150</f>
        <v>-449885.97</v>
      </c>
      <c r="V102" s="14">
        <f>'Resultat-VC (3)'!X150</f>
        <v>-374791.99</v>
      </c>
      <c r="W102" s="14">
        <f>'Resultat-VC (3)'!Y150</f>
        <v>-481933.85</v>
      </c>
      <c r="X102" s="14">
        <f>'Resultat-VC (3)'!Z150</f>
        <v>-486514.45</v>
      </c>
      <c r="Y102" s="14">
        <f>'Resultat-VC (3)'!AA150</f>
        <v>-439539.41</v>
      </c>
      <c r="Z102" s="14">
        <f>'Resultat-VC (3)'!AB150</f>
        <v>-522801.58</v>
      </c>
      <c r="AA102" s="14">
        <f>'Resultat-VC (3)'!AC150</f>
        <v>-428650.39</v>
      </c>
      <c r="AB102" s="14">
        <f>'Resultat-VC (3)'!AD150</f>
        <v>-405460.47999999998</v>
      </c>
      <c r="AC102" s="14">
        <v>-401035</v>
      </c>
    </row>
    <row r="103" spans="2:29" x14ac:dyDescent="0.3">
      <c r="B103" s="11" t="s">
        <v>3</v>
      </c>
      <c r="C103" s="14">
        <f>'Resultat-VC (3)'!E178</f>
        <v>-451816.75</v>
      </c>
      <c r="D103" s="14">
        <f>'Resultat-VC (3)'!F178</f>
        <v>-524252.09</v>
      </c>
      <c r="E103" s="14">
        <f>'Resultat-VC (3)'!G178</f>
        <v>-509606.6</v>
      </c>
      <c r="F103" s="14">
        <f>'Resultat-VC (3)'!H178</f>
        <v>-540516.68000000005</v>
      </c>
      <c r="G103" s="14">
        <f>'Resultat-VC (3)'!I178</f>
        <v>-547006.55000000005</v>
      </c>
      <c r="H103" s="14">
        <f>'Resultat-VC (3)'!J178</f>
        <v>-557367.03</v>
      </c>
      <c r="I103" s="14">
        <f>'Resultat-VC (3)'!K178</f>
        <v>-505583.49</v>
      </c>
      <c r="J103" s="14">
        <f>'Resultat-VC (3)'!L178</f>
        <v>-528047.56999999995</v>
      </c>
      <c r="K103" s="14">
        <f>'Resultat-VC (3)'!M178</f>
        <v>-565888.35</v>
      </c>
      <c r="L103" s="14">
        <f>'Resultat-VC (3)'!N178</f>
        <v>-562750.81999999995</v>
      </c>
      <c r="M103" s="14">
        <f>'Resultat-VC (3)'!O178</f>
        <v>-598573.1</v>
      </c>
      <c r="N103" s="14">
        <f>'Resultat-VC (3)'!P178</f>
        <v>-581683.47</v>
      </c>
      <c r="O103" s="14">
        <f>'Resultat-VC (3)'!Q178</f>
        <v>-515981.74</v>
      </c>
      <c r="P103" s="14">
        <f>'Resultat-VC (3)'!R178</f>
        <v>-529941.06000000006</v>
      </c>
      <c r="Q103" s="14">
        <f>'Resultat-VC (3)'!S178</f>
        <v>-526484.35</v>
      </c>
      <c r="R103" s="14">
        <f>'Resultat-VC (3)'!T178</f>
        <v>-536234.77</v>
      </c>
      <c r="S103" s="14">
        <f>'Resultat-VC (3)'!U178</f>
        <v>-541058.53</v>
      </c>
      <c r="T103" s="14">
        <f>'Resultat-VC (3)'!V178</f>
        <v>-554908.46</v>
      </c>
      <c r="U103" s="14">
        <f>'Resultat-VC (3)'!W178</f>
        <v>-482849.95</v>
      </c>
      <c r="V103" s="14">
        <f>'Resultat-VC (3)'!X178</f>
        <v>-456429.13</v>
      </c>
      <c r="W103" s="14">
        <f>'Resultat-VC (3)'!Y178</f>
        <v>-636941.75</v>
      </c>
      <c r="X103" s="14">
        <f>'Resultat-VC (3)'!Z178</f>
        <v>-484291.68</v>
      </c>
      <c r="Y103" s="14">
        <f>'Resultat-VC (3)'!AA178</f>
        <v>-670652.57999999996</v>
      </c>
      <c r="Z103" s="14">
        <f>'Resultat-VC (3)'!AB178</f>
        <v>-529166.80000000005</v>
      </c>
      <c r="AA103" s="14">
        <f>'Resultat-VC (3)'!AC178</f>
        <v>-581763.82999999996</v>
      </c>
      <c r="AB103" s="14">
        <f>'Resultat-VC (3)'!AD178</f>
        <v>-417628.64</v>
      </c>
      <c r="AC103" s="14">
        <v>-508305</v>
      </c>
    </row>
    <row r="104" spans="2:29" x14ac:dyDescent="0.3">
      <c r="B104" s="16"/>
      <c r="C104" s="17">
        <f>SUM(C90:C103)</f>
        <v>-5706356.120000001</v>
      </c>
      <c r="D104" s="17">
        <f t="shared" ref="D104:AA104" si="14">SUM(D90:D103)</f>
        <v>-5834287.6600000001</v>
      </c>
      <c r="E104" s="17">
        <f t="shared" si="14"/>
        <v>-5707172.7199999988</v>
      </c>
      <c r="F104" s="17">
        <f t="shared" si="14"/>
        <v>-5835429.0299999993</v>
      </c>
      <c r="G104" s="17">
        <f t="shared" si="14"/>
        <v>-6034818.0700000012</v>
      </c>
      <c r="H104" s="17">
        <f t="shared" si="14"/>
        <v>-5962624.3600000003</v>
      </c>
      <c r="I104" s="17">
        <f t="shared" si="14"/>
        <v>-5743046.0899999999</v>
      </c>
      <c r="J104" s="17">
        <f t="shared" si="14"/>
        <v>-5267282.8500000006</v>
      </c>
      <c r="K104" s="17">
        <f t="shared" si="14"/>
        <v>-6106757.4500000002</v>
      </c>
      <c r="L104" s="17">
        <f t="shared" si="14"/>
        <v>-5828275.5100000007</v>
      </c>
      <c r="M104" s="17">
        <f t="shared" si="14"/>
        <v>-6470171.0399999991</v>
      </c>
      <c r="N104" s="17">
        <f t="shared" si="14"/>
        <v>-5943249.0600000005</v>
      </c>
      <c r="O104" s="17">
        <f t="shared" si="14"/>
        <v>-5287818.1900000004</v>
      </c>
      <c r="P104" s="17">
        <f t="shared" si="14"/>
        <v>-5449176.1899999995</v>
      </c>
      <c r="Q104" s="17">
        <f t="shared" si="14"/>
        <v>-5346219.9799999995</v>
      </c>
      <c r="R104" s="17">
        <f t="shared" si="14"/>
        <v>-5990691.0299999993</v>
      </c>
      <c r="S104" s="17">
        <f t="shared" si="14"/>
        <v>-5647215.7299999995</v>
      </c>
      <c r="T104" s="17">
        <f t="shared" si="14"/>
        <v>-6033253.2500000009</v>
      </c>
      <c r="U104" s="17">
        <f t="shared" si="14"/>
        <v>-5895603.6600000001</v>
      </c>
      <c r="V104" s="17">
        <f t="shared" si="14"/>
        <v>-5485169.1199999992</v>
      </c>
      <c r="W104" s="17">
        <f t="shared" si="14"/>
        <v>-5867999.1399999997</v>
      </c>
      <c r="X104" s="17">
        <f t="shared" si="14"/>
        <v>-5729563.5800000001</v>
      </c>
      <c r="Y104" s="17">
        <f t="shared" si="14"/>
        <v>-6534785.5000000009</v>
      </c>
      <c r="Z104" s="17">
        <f t="shared" si="14"/>
        <v>-6133869.25</v>
      </c>
      <c r="AA104" s="17">
        <f t="shared" si="14"/>
        <v>-5791537.9899999993</v>
      </c>
      <c r="AB104" s="17">
        <f t="shared" ref="AB104:AC104" si="15">SUM(AB90:AB103)</f>
        <v>-5089571.72</v>
      </c>
      <c r="AC104" s="17">
        <f t="shared" si="15"/>
        <v>-5941006</v>
      </c>
    </row>
    <row r="105" spans="2:29" x14ac:dyDescent="0.3">
      <c r="Y105" s="6">
        <f>Y104-X104</f>
        <v>-805221.92000000086</v>
      </c>
      <c r="Z105" s="6">
        <f t="shared" ref="Z105:AA105" si="16">Z104-Y104</f>
        <v>400916.25000000093</v>
      </c>
      <c r="AA105" s="6">
        <f t="shared" si="16"/>
        <v>342331.26000000071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E3297-5967-4F30-B42E-71F819405262}">
  <dimension ref="A3:AB337"/>
  <sheetViews>
    <sheetView tabSelected="1" topLeftCell="A308" zoomScale="70" zoomScaleNormal="70" workbookViewId="0">
      <selection activeCell="AD31" sqref="AD31"/>
    </sheetView>
  </sheetViews>
  <sheetFormatPr defaultRowHeight="14.4" x14ac:dyDescent="0.3"/>
  <cols>
    <col min="1" max="1" width="40" bestFit="1" customWidth="1"/>
    <col min="2" max="2" width="10.6640625" customWidth="1"/>
    <col min="3" max="15" width="11.5546875" bestFit="1" customWidth="1"/>
    <col min="16" max="18" width="11.5546875" customWidth="1"/>
    <col min="19" max="21" width="10.88671875" bestFit="1" customWidth="1"/>
    <col min="22" max="22" width="10.6640625" customWidth="1"/>
    <col min="23" max="23" width="11" customWidth="1"/>
    <col min="24" max="24" width="11.33203125" customWidth="1"/>
    <col min="25" max="25" width="12.6640625" customWidth="1"/>
    <col min="26" max="26" width="12.33203125" customWidth="1"/>
    <col min="27" max="27" width="11.44140625" customWidth="1"/>
  </cols>
  <sheetData>
    <row r="3" spans="1:28" x14ac:dyDescent="0.3">
      <c r="A3" s="8" t="s">
        <v>49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 t="s">
        <v>57</v>
      </c>
      <c r="H3" t="s">
        <v>58</v>
      </c>
      <c r="I3" t="s">
        <v>59</v>
      </c>
      <c r="J3" t="s">
        <v>60</v>
      </c>
      <c r="K3" t="s">
        <v>61</v>
      </c>
      <c r="L3" t="s">
        <v>62</v>
      </c>
      <c r="M3" t="s">
        <v>63</v>
      </c>
      <c r="N3" t="s">
        <v>64</v>
      </c>
      <c r="O3" t="s">
        <v>65</v>
      </c>
      <c r="P3" t="s">
        <v>101</v>
      </c>
      <c r="Q3" t="s">
        <v>102</v>
      </c>
      <c r="R3" t="s">
        <v>103</v>
      </c>
      <c r="S3" t="s">
        <v>108</v>
      </c>
      <c r="T3" t="s">
        <v>110</v>
      </c>
      <c r="U3" t="s">
        <v>112</v>
      </c>
      <c r="V3" t="s">
        <v>115</v>
      </c>
      <c r="W3" t="s">
        <v>117</v>
      </c>
      <c r="X3" t="s">
        <v>121</v>
      </c>
      <c r="Y3" t="s">
        <v>125</v>
      </c>
      <c r="Z3" t="s">
        <v>127</v>
      </c>
      <c r="AA3" t="s">
        <v>143</v>
      </c>
      <c r="AB3" t="s">
        <v>144</v>
      </c>
    </row>
    <row r="4" spans="1:28" hidden="1" x14ac:dyDescent="0.3">
      <c r="A4" t="s">
        <v>12</v>
      </c>
      <c r="B4" s="5">
        <f>Info!C56/Info!C5</f>
        <v>345.82842559874359</v>
      </c>
      <c r="C4" s="5">
        <f>Info!D56/Info!D5</f>
        <v>310.27436047646944</v>
      </c>
      <c r="D4" s="5">
        <f>Info!E56/Info!E5</f>
        <v>306.34010446894951</v>
      </c>
      <c r="E4" s="5">
        <f>Info!F56/Info!F5</f>
        <v>313.32580582899055</v>
      </c>
      <c r="F4" s="5">
        <f>Info!G56/Info!G5</f>
        <v>316.53786558202597</v>
      </c>
      <c r="G4" s="5">
        <f>Info!H56/Info!H5</f>
        <v>314.51966075558983</v>
      </c>
      <c r="H4" s="5">
        <f>Info!I56/Info!I5</f>
        <v>314.80015358034171</v>
      </c>
      <c r="I4" s="5">
        <f>Info!J56/Info!J5</f>
        <v>316.73454055095357</v>
      </c>
      <c r="J4" s="5">
        <f>Info!K56/Info!K5</f>
        <v>318.1248559354591</v>
      </c>
      <c r="K4" s="5">
        <f>Info!L56/Info!L5</f>
        <v>320.53544061302682</v>
      </c>
      <c r="L4" s="5">
        <f>Info!M56/Info!M5</f>
        <v>321.44000757002271</v>
      </c>
      <c r="M4" s="5">
        <f>Info!N56/Info!N5</f>
        <v>350.52962962962965</v>
      </c>
      <c r="N4" s="5">
        <f>Info!O56/Info!O5</f>
        <v>339.26888767522303</v>
      </c>
      <c r="O4" s="5">
        <f>Info!P56/Info!P5</f>
        <v>335.18079357727345</v>
      </c>
      <c r="P4" s="5">
        <f>Info!Q56/Info!Q5</f>
        <v>320.72308640073925</v>
      </c>
      <c r="Q4" s="5">
        <f>Info!R56/Info!R5</f>
        <v>320.58343615052439</v>
      </c>
      <c r="R4" s="5">
        <f>Info!S56/Info!S5</f>
        <v>321.65676720804333</v>
      </c>
      <c r="S4" s="5">
        <f>Info!T56/Info!T5</f>
        <v>321.55729086129583</v>
      </c>
      <c r="T4" s="5">
        <f>Info!U56/Info!U5</f>
        <v>330.66159080316919</v>
      </c>
      <c r="U4" s="5">
        <f>Info!V56/Info!V5</f>
        <v>326.85837462988934</v>
      </c>
      <c r="V4" s="5">
        <f>Info!W56/Info!W5</f>
        <v>329.31072823878731</v>
      </c>
      <c r="W4" s="5">
        <f>Info!X56/Info!X5</f>
        <v>331.76767332916927</v>
      </c>
      <c r="X4" s="5">
        <f>Info!Y56/Info!Y5</f>
        <v>337.31710947302383</v>
      </c>
      <c r="Y4" s="5">
        <f>Info!Z56/Info!Z5</f>
        <v>334.50050331334808</v>
      </c>
      <c r="Z4" s="5">
        <f>Info!AA56/Info!AA5</f>
        <v>356.56125734243528</v>
      </c>
      <c r="AA4" s="5">
        <f>Info!AB56/Info!AB5</f>
        <v>339.53955066921611</v>
      </c>
      <c r="AB4" s="5">
        <f>Info!AC56/Info!AC5</f>
        <v>352.7914669223394</v>
      </c>
    </row>
    <row r="5" spans="1:28" hidden="1" x14ac:dyDescent="0.3">
      <c r="A5" t="s">
        <v>0</v>
      </c>
      <c r="B5" s="5">
        <f>Info!C57/Info!C6</f>
        <v>478.04701277667806</v>
      </c>
      <c r="C5" s="5">
        <f>Info!D57/Info!D6</f>
        <v>391.86835129310344</v>
      </c>
      <c r="D5" s="5">
        <f>Info!E57/Info!E6</f>
        <v>392.91148978128365</v>
      </c>
      <c r="E5" s="5">
        <f>Info!F57/Info!F6</f>
        <v>399.38636070853465</v>
      </c>
      <c r="F5" s="5">
        <f>Info!G57/Info!G6</f>
        <v>394.10745720399433</v>
      </c>
      <c r="G5" s="5">
        <f>Info!H57/Info!H6</f>
        <v>400.18570587185434</v>
      </c>
      <c r="H5" s="5">
        <f>Info!I57/Info!I6</f>
        <v>402.94226523297488</v>
      </c>
      <c r="I5" s="5">
        <f>Info!J57/Info!J6</f>
        <v>393.25440457061239</v>
      </c>
      <c r="J5" s="5">
        <f>Info!K57/Info!K6</f>
        <v>386.88154967122802</v>
      </c>
      <c r="K5" s="5">
        <f>Info!L57/Info!L6</f>
        <v>387.57393596320537</v>
      </c>
      <c r="L5" s="5">
        <f>Info!M57/Info!M6</f>
        <v>382.21682656826567</v>
      </c>
      <c r="M5" s="5">
        <f>Info!N57/Info!N6</f>
        <v>464.87065675769099</v>
      </c>
      <c r="N5" s="5">
        <f>Info!O57/Info!O6</f>
        <v>433.40395435967304</v>
      </c>
      <c r="O5" s="5">
        <f>Info!P57/Info!P6</f>
        <v>424.99573740710156</v>
      </c>
      <c r="P5" s="5">
        <f>Info!Q57/Info!Q6</f>
        <v>411.6967273931765</v>
      </c>
      <c r="Q5" s="5">
        <f>Info!R57/Info!R6</f>
        <v>408.11232068908402</v>
      </c>
      <c r="R5" s="5">
        <f>Info!S57/Info!S6</f>
        <v>409.0867511597084</v>
      </c>
      <c r="S5" s="5">
        <f>Info!T57/Info!T6</f>
        <v>410.51498420615127</v>
      </c>
      <c r="T5" s="5">
        <f>Info!U57/Info!U6</f>
        <v>418.81835276482349</v>
      </c>
      <c r="U5" s="5">
        <f>Info!V57/Info!V6</f>
        <v>400.46196576935859</v>
      </c>
      <c r="V5" s="5">
        <f>Info!W57/Info!W6</f>
        <v>404.6450074987502</v>
      </c>
      <c r="W5" s="5">
        <f>Info!X57/Info!X6</f>
        <v>405.18262426778244</v>
      </c>
      <c r="X5" s="5">
        <f>Info!Y57/Info!Y6</f>
        <v>401.13709515859767</v>
      </c>
      <c r="Y5" s="5">
        <f>Info!Z57/Info!Z6</f>
        <v>414.41889371657754</v>
      </c>
      <c r="Z5" s="5">
        <f>Info!AA57/Info!AA6</f>
        <v>455.67462066655503</v>
      </c>
      <c r="AA5" s="5">
        <f>Info!AB57/Info!AB6</f>
        <v>454.41914228389902</v>
      </c>
      <c r="AB5" s="5">
        <f>Info!AC57/Info!AC6</f>
        <v>435.21465705181953</v>
      </c>
    </row>
    <row r="6" spans="1:28" hidden="1" x14ac:dyDescent="0.3">
      <c r="A6" t="s">
        <v>2</v>
      </c>
      <c r="B6" s="5">
        <f>Info!C58/Info!C7</f>
        <v>349.05157992565057</v>
      </c>
      <c r="C6" s="5">
        <f>Info!D58/Info!D7</f>
        <v>339.92825199436885</v>
      </c>
      <c r="D6" s="5">
        <f>Info!E58/Info!E7</f>
        <v>328.0571002132196</v>
      </c>
      <c r="E6" s="5">
        <f>Info!F58/Info!F7</f>
        <v>342.0012464183381</v>
      </c>
      <c r="F6" s="5">
        <f>Info!G58/Info!G7</f>
        <v>338.72500957854402</v>
      </c>
      <c r="G6" s="5">
        <f>Info!H58/Info!H7</f>
        <v>340.00539980732174</v>
      </c>
      <c r="H6" s="5">
        <f>Info!I58/Info!I7</f>
        <v>335.17730212355212</v>
      </c>
      <c r="I6" s="5">
        <f>Info!J58/Info!J7</f>
        <v>331.72148495788207</v>
      </c>
      <c r="J6" s="5">
        <f>Info!K58/Info!K7</f>
        <v>326.4822270426609</v>
      </c>
      <c r="K6" s="5">
        <f>Info!L58/Info!L7</f>
        <v>324.72962350119906</v>
      </c>
      <c r="L6" s="5">
        <f>Info!M58/Info!M7</f>
        <v>324.54608202653799</v>
      </c>
      <c r="M6" s="5">
        <f>Info!N58/Info!N7</f>
        <v>332.75479141548112</v>
      </c>
      <c r="N6" s="5">
        <f>Info!O58/Info!O7</f>
        <v>327.50770863482876</v>
      </c>
      <c r="O6" s="5">
        <f>Info!P58/Info!P7</f>
        <v>331.12914744459522</v>
      </c>
      <c r="P6" s="5">
        <f>Info!Q58/Info!Q7</f>
        <v>326.47201453554396</v>
      </c>
      <c r="Q6" s="5">
        <f>Info!R58/Info!R7</f>
        <v>328.88036690975389</v>
      </c>
      <c r="R6" s="5">
        <f>Info!S58/Info!S7</f>
        <v>330.31939940625711</v>
      </c>
      <c r="S6" s="5">
        <f>Info!T58/Info!T7</f>
        <v>330.31939940625711</v>
      </c>
      <c r="T6" s="5">
        <f>Info!U58/Info!U7</f>
        <v>338.52633961397055</v>
      </c>
      <c r="U6" s="5">
        <f>Info!V58/Info!V7</f>
        <v>337.81108801108797</v>
      </c>
      <c r="V6" s="5">
        <f>Info!W58/Info!W7</f>
        <v>337.34555555555556</v>
      </c>
      <c r="W6" s="5">
        <f>Info!X58/Info!X7</f>
        <v>342.08756580479849</v>
      </c>
      <c r="X6" s="5">
        <f>Info!Y58/Info!Y7</f>
        <v>339.0780919057616</v>
      </c>
      <c r="Y6" s="5">
        <f>Info!Z58/Info!Z7</f>
        <v>343.83595834308449</v>
      </c>
      <c r="Z6" s="5">
        <f>Info!AA58/Info!AA7</f>
        <v>355.46736052508203</v>
      </c>
      <c r="AA6" s="5">
        <f>Info!AB58/Info!AB7</f>
        <v>379.7717384144907</v>
      </c>
      <c r="AB6" s="5">
        <f>Info!AC58/Info!AC7</f>
        <v>357.58471367723615</v>
      </c>
    </row>
    <row r="7" spans="1:28" hidden="1" x14ac:dyDescent="0.3">
      <c r="A7" t="s">
        <v>13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f>Info!L59/Info!L8</f>
        <v>220.2934358974359</v>
      </c>
      <c r="L7" s="5">
        <f>Info!M59/Info!M8</f>
        <v>244.05578212290504</v>
      </c>
      <c r="M7" s="5">
        <f>Info!N59/Info!N8</f>
        <v>319.32756929637526</v>
      </c>
      <c r="N7" s="5">
        <f>Info!O59/Info!O8</f>
        <v>287.55670329670329</v>
      </c>
      <c r="O7" s="5">
        <f>Info!P59/Info!P8</f>
        <v>319.16429921259839</v>
      </c>
      <c r="P7" s="5">
        <f>Info!Q59/Info!Q8</f>
        <v>318.91458156028369</v>
      </c>
      <c r="Q7" s="5">
        <f>Info!R59/Info!R8</f>
        <v>323.8244589308996</v>
      </c>
      <c r="R7" s="5">
        <f>Info!S59/Info!S8</f>
        <v>333.53290556900726</v>
      </c>
      <c r="S7" s="5">
        <f>Info!T59/Info!T8</f>
        <v>313.77924829157172</v>
      </c>
      <c r="T7" s="5">
        <f>Info!U59/Info!U8</f>
        <v>346.72029350104822</v>
      </c>
      <c r="U7" s="5">
        <f>Info!V59/Info!V8</f>
        <v>324.95985365853659</v>
      </c>
      <c r="V7" s="5">
        <f>Info!W59/Info!W8</f>
        <v>331.05002601908063</v>
      </c>
      <c r="W7" s="5">
        <f>Info!X59/Info!X8</f>
        <v>309.97745098039218</v>
      </c>
      <c r="X7" s="5">
        <f>Info!Y59/Info!Y8</f>
        <v>296.18279796511632</v>
      </c>
      <c r="Y7" s="5">
        <f>Info!Z59/Info!Z8</f>
        <v>327.39137362637365</v>
      </c>
      <c r="Z7" s="5">
        <f>Info!AA59/Info!AA8</f>
        <v>345.4891650230112</v>
      </c>
      <c r="AA7" s="5">
        <f>Info!AB59/Info!AB8</f>
        <v>322.99084934903902</v>
      </c>
      <c r="AB7" s="5">
        <f>Info!AC59/Info!AC8</f>
        <v>313.33353186420487</v>
      </c>
    </row>
    <row r="8" spans="1:28" hidden="1" x14ac:dyDescent="0.3">
      <c r="A8" t="s">
        <v>8</v>
      </c>
      <c r="B8" s="5">
        <f>Info!C60/Info!C9</f>
        <v>355.72450339296734</v>
      </c>
      <c r="C8" s="5">
        <f>Info!D60/Info!D9</f>
        <v>333.38693498452011</v>
      </c>
      <c r="D8" s="5">
        <f>Info!E60/Info!E9</f>
        <v>333.42061528899939</v>
      </c>
      <c r="E8" s="5">
        <f>Info!F60/Info!F9</f>
        <v>343.24851620947629</v>
      </c>
      <c r="F8" s="5">
        <f>Info!G60/Info!G9</f>
        <v>339.87728580362727</v>
      </c>
      <c r="G8" s="5">
        <f>Info!H60/Info!H9</f>
        <v>348.70966059082338</v>
      </c>
      <c r="H8" s="5">
        <f>Info!I60/Info!I9</f>
        <v>356.36022828154722</v>
      </c>
      <c r="I8" s="5">
        <f>Info!J60/Info!J9</f>
        <v>358.05825255102036</v>
      </c>
      <c r="J8" s="5">
        <f>Info!K60/Info!K9</f>
        <v>356.31308139534883</v>
      </c>
      <c r="K8" s="5">
        <f>Info!L60/Info!L9</f>
        <v>356.55069857697282</v>
      </c>
      <c r="L8" s="5">
        <f>Info!M60/Info!M9</f>
        <v>358.58373393316197</v>
      </c>
      <c r="M8" s="5">
        <f>Info!N60/Info!N9</f>
        <v>349.16159003831422</v>
      </c>
      <c r="N8" s="5">
        <f>Info!O60/Info!O9</f>
        <v>351.24145222929934</v>
      </c>
      <c r="O8" s="5">
        <f>Info!P60/Info!P9</f>
        <v>366.99443761524276</v>
      </c>
      <c r="P8" s="5">
        <f>Info!Q60/Info!Q9</f>
        <v>360.18414347557206</v>
      </c>
      <c r="Q8" s="5">
        <f>Info!R60/Info!R9</f>
        <v>359.30287122612452</v>
      </c>
      <c r="R8" s="5">
        <f>Info!S60/Info!S9</f>
        <v>360.59252952144192</v>
      </c>
      <c r="S8" s="5">
        <f>Info!T60/Info!T9</f>
        <v>362.16815230961299</v>
      </c>
      <c r="T8" s="5">
        <f>Info!U60/Info!U9</f>
        <v>366.58277078085638</v>
      </c>
      <c r="U8" s="5">
        <f>Info!V60/Info!V9</f>
        <v>368.30287984742534</v>
      </c>
      <c r="V8" s="5">
        <f>Info!W60/Info!W9</f>
        <v>364.05327354260089</v>
      </c>
      <c r="W8" s="5">
        <f>Info!X60/Info!X9</f>
        <v>368.05012281835815</v>
      </c>
      <c r="X8" s="5">
        <f>Info!Y60/Info!Y9</f>
        <v>371.38447043534762</v>
      </c>
      <c r="Y8" s="5">
        <f>Info!Z60/Info!Z9</f>
        <v>364.52231221423909</v>
      </c>
      <c r="Z8" s="5">
        <f>Info!AA60/Info!AA9</f>
        <v>368.63940288713906</v>
      </c>
      <c r="AA8" s="5">
        <f>Info!AB60/Info!AB9</f>
        <v>388.02434262948208</v>
      </c>
      <c r="AB8" s="5">
        <f>Info!AC60/Info!AC9</f>
        <v>375.69353764157228</v>
      </c>
    </row>
    <row r="9" spans="1:28" hidden="1" x14ac:dyDescent="0.3">
      <c r="A9" t="s">
        <v>4</v>
      </c>
      <c r="B9" s="5">
        <f>Info!C61/Info!C10</f>
        <v>415.17016053921566</v>
      </c>
      <c r="C9" s="5">
        <f>Info!D61/Info!D10</f>
        <v>400.24408353808354</v>
      </c>
      <c r="D9" s="5">
        <f>Info!E61/Info!E10</f>
        <v>396.92036352433763</v>
      </c>
      <c r="E9" s="5">
        <f>Info!F61/Info!F10</f>
        <v>407.61455072821525</v>
      </c>
      <c r="F9" s="5">
        <f>Info!G61/Info!G10</f>
        <v>403.80175832305792</v>
      </c>
      <c r="G9" s="5">
        <f>Info!H61/Info!H10</f>
        <v>403.88180908866389</v>
      </c>
      <c r="H9" s="5">
        <f>Info!I61/Info!I10</f>
        <v>407.56491663579101</v>
      </c>
      <c r="I9" s="5">
        <f>Info!J61/Info!J10</f>
        <v>408.3886950600471</v>
      </c>
      <c r="J9" s="5">
        <f>Info!K61/Info!K10</f>
        <v>398.89772665429808</v>
      </c>
      <c r="K9" s="5">
        <f>Info!L61/Info!L10</f>
        <v>421.69438400000001</v>
      </c>
      <c r="L9" s="5">
        <f>Info!M61/Info!M10</f>
        <v>377.78991756889764</v>
      </c>
      <c r="M9" s="5">
        <f>Info!N61/Info!N10</f>
        <v>428.62755965559654</v>
      </c>
      <c r="N9" s="5">
        <f>Info!O61/Info!O10</f>
        <v>416.06811242022582</v>
      </c>
      <c r="O9" s="5">
        <f>Info!P61/Info!P10</f>
        <v>424.6669625367287</v>
      </c>
      <c r="P9" s="5">
        <f>Info!Q61/Info!Q10</f>
        <v>428.4855932410922</v>
      </c>
      <c r="Q9" s="5">
        <f>Info!R61/Info!R10</f>
        <v>428.30643755341225</v>
      </c>
      <c r="R9" s="5">
        <f>Info!S61/Info!S10</f>
        <v>428.19837913765724</v>
      </c>
      <c r="S9" s="5">
        <f>Info!T61/Info!T10</f>
        <v>429.87861802575105</v>
      </c>
      <c r="T9" s="5">
        <f>Info!U61/Info!U10</f>
        <v>428.31193286610107</v>
      </c>
      <c r="U9" s="5">
        <f>Info!V61/Info!V10</f>
        <v>428.23393037273956</v>
      </c>
      <c r="V9" s="5">
        <f>Info!W61/Info!W10</f>
        <v>420.85119892011289</v>
      </c>
      <c r="W9" s="5">
        <f>Info!X61/Info!X10</f>
        <v>423.66798847756803</v>
      </c>
      <c r="X9" s="5">
        <f>Info!Y61/Info!Y10</f>
        <v>426.06656269188261</v>
      </c>
      <c r="Y9" s="5">
        <f>Info!Z61/Info!Z10</f>
        <v>430.12965041851299</v>
      </c>
      <c r="Z9" s="5">
        <f>Info!AA61/Info!AA10</f>
        <v>442.03934594460929</v>
      </c>
      <c r="AA9" s="5">
        <f>Info!AB61/Info!AB10</f>
        <v>415.71347690775548</v>
      </c>
      <c r="AB9" s="5">
        <f>Info!AC61/Info!AC10</f>
        <v>430.23148957422899</v>
      </c>
    </row>
    <row r="10" spans="1:28" hidden="1" x14ac:dyDescent="0.3">
      <c r="A10" t="s">
        <v>7</v>
      </c>
      <c r="B10" s="5">
        <f>Info!C62/Info!C11</f>
        <v>424.89328550932572</v>
      </c>
      <c r="C10" s="5">
        <f>Info!D62/Info!D11</f>
        <v>398.26539609461821</v>
      </c>
      <c r="D10" s="5">
        <f>Info!E62/Info!E11</f>
        <v>395.3369528512265</v>
      </c>
      <c r="E10" s="5">
        <f>Info!F62/Info!F11</f>
        <v>404.29718858954038</v>
      </c>
      <c r="F10" s="5">
        <f>Info!G62/Info!G11</f>
        <v>396.26025827919511</v>
      </c>
      <c r="G10" s="5">
        <f>Info!H62/Info!H11</f>
        <v>408.84929666508611</v>
      </c>
      <c r="H10" s="5">
        <f>Info!I62/Info!I11</f>
        <v>409.00583926593896</v>
      </c>
      <c r="I10" s="5">
        <f>Info!J62/Info!J11</f>
        <v>402.33018678386441</v>
      </c>
      <c r="J10" s="5">
        <f>Info!K62/Info!K11</f>
        <v>393.4220554952721</v>
      </c>
      <c r="K10" s="5">
        <f>Info!L62/Info!L11</f>
        <v>386.57511417624522</v>
      </c>
      <c r="L10" s="5">
        <f>Info!M62/Info!M11</f>
        <v>388.85881578947374</v>
      </c>
      <c r="M10" s="5">
        <f>Info!N62/Info!N11</f>
        <v>400.13166766917288</v>
      </c>
      <c r="N10" s="5">
        <f>Info!O62/Info!O11</f>
        <v>391.82641229385308</v>
      </c>
      <c r="O10" s="5">
        <f>Info!P62/Info!P11</f>
        <v>401.7399806863765</v>
      </c>
      <c r="P10" s="5">
        <f>Info!Q62/Info!Q11</f>
        <v>414.49651613858458</v>
      </c>
      <c r="Q10" s="5">
        <f>Info!R62/Info!R11</f>
        <v>411.98946480938417</v>
      </c>
      <c r="R10" s="5">
        <f>Info!S62/Info!S11</f>
        <v>414.40366784037559</v>
      </c>
      <c r="S10" s="5">
        <f>Info!T62/Info!T11</f>
        <v>411.2062017760955</v>
      </c>
      <c r="T10" s="5">
        <f>Info!U62/Info!U11</f>
        <v>424.07103918722788</v>
      </c>
      <c r="U10" s="5">
        <f>Info!V62/Info!V11</f>
        <v>422.86924251235826</v>
      </c>
      <c r="V10" s="5">
        <f>Info!W62/Info!W11</f>
        <v>418.22101185313676</v>
      </c>
      <c r="W10" s="5">
        <f>Info!X62/Info!X11</f>
        <v>409.21180547550432</v>
      </c>
      <c r="X10" s="5">
        <f>Info!Y62/Info!Y11</f>
        <v>407.77963967843817</v>
      </c>
      <c r="Y10" s="5">
        <f>Info!Z62/Info!Z11</f>
        <v>417.21597180261836</v>
      </c>
      <c r="Z10" s="5">
        <f>Info!AA62/Info!AA11</f>
        <v>430.78309158664183</v>
      </c>
      <c r="AA10" s="5">
        <f>Info!AB62/Info!AB11</f>
        <v>384.84272844642089</v>
      </c>
      <c r="AB10" s="5">
        <f>Info!AC62/Info!AC11</f>
        <v>419.48959678576551</v>
      </c>
    </row>
    <row r="11" spans="1:28" hidden="1" x14ac:dyDescent="0.3">
      <c r="A11" t="s">
        <v>6</v>
      </c>
      <c r="B11" s="5">
        <f>Info!C63/Info!C12</f>
        <v>357.63030386740337</v>
      </c>
      <c r="C11" s="5">
        <f>Info!D63/Info!D12</f>
        <v>348.06377766724694</v>
      </c>
      <c r="D11" s="5">
        <f>Info!E63/Info!E12</f>
        <v>340.62957118353347</v>
      </c>
      <c r="E11" s="5">
        <f>Info!F63/Info!F12</f>
        <v>355.06998307543518</v>
      </c>
      <c r="F11" s="5">
        <f>Info!G63/Info!G12</f>
        <v>353.17004584942083</v>
      </c>
      <c r="G11" s="5">
        <f>Info!H63/Info!H12</f>
        <v>362.04300530631934</v>
      </c>
      <c r="H11" s="5">
        <f>Info!I63/Info!I12</f>
        <v>335.18412472379083</v>
      </c>
      <c r="I11" s="5">
        <f>Info!J63/Info!J12</f>
        <v>322.0808444774641</v>
      </c>
      <c r="J11" s="5">
        <f>Info!K63/Info!K12</f>
        <v>312.67304305043046</v>
      </c>
      <c r="K11" s="5">
        <f>Info!L63/Info!L12</f>
        <v>311.43798436354751</v>
      </c>
      <c r="L11" s="5">
        <f>Info!M63/Info!M12</f>
        <v>309.22669183922051</v>
      </c>
      <c r="M11" s="5">
        <f>Info!N63/Info!N12</f>
        <v>314.9808378114314</v>
      </c>
      <c r="N11" s="5">
        <f>Info!O63/Info!O12</f>
        <v>316.3807549926936</v>
      </c>
      <c r="O11" s="5">
        <f>Info!P63/Info!P12</f>
        <v>322.57329728430665</v>
      </c>
      <c r="P11" s="5">
        <f>Info!Q63/Info!Q12</f>
        <v>322.88080834732551</v>
      </c>
      <c r="Q11" s="5">
        <f>Info!R63/Info!R12</f>
        <v>321.82705531711969</v>
      </c>
      <c r="R11" s="5">
        <f>Info!S63/Info!S12</f>
        <v>318.93110287081339</v>
      </c>
      <c r="S11" s="5">
        <f>Info!T63/Info!T12</f>
        <v>321.90851149561507</v>
      </c>
      <c r="T11" s="5">
        <f>Info!U63/Info!U12</f>
        <v>334.85104876893939</v>
      </c>
      <c r="U11" s="5">
        <f>Info!V63/Info!V12</f>
        <v>340.1975088799432</v>
      </c>
      <c r="V11" s="5">
        <f>Info!W63/Info!W12</f>
        <v>326.82496355513757</v>
      </c>
      <c r="W11" s="5">
        <f>Info!X63/Info!X12</f>
        <v>323.07417116060964</v>
      </c>
      <c r="X11" s="5">
        <f>Info!Y63/Info!Y12</f>
        <v>323.00496487119437</v>
      </c>
      <c r="Y11" s="5">
        <f>Info!Z63/Info!Z12</f>
        <v>323.70438317757009</v>
      </c>
      <c r="Z11" s="5">
        <f>Info!AA63/Info!AA12</f>
        <v>333.46053208868142</v>
      </c>
      <c r="AA11" s="5">
        <f>Info!AB63/Info!AB12</f>
        <v>333.54418728323702</v>
      </c>
      <c r="AB11" s="5">
        <f>Info!AC63/Info!AC12</f>
        <v>324.21445060018465</v>
      </c>
    </row>
    <row r="12" spans="1:28" hidden="1" x14ac:dyDescent="0.3">
      <c r="A12" t="s">
        <v>5</v>
      </c>
      <c r="B12" s="5">
        <f>Info!C64/Info!C13</f>
        <v>309.84684948979589</v>
      </c>
      <c r="C12" s="5">
        <f>Info!D64/Info!D13</f>
        <v>305.70380191693289</v>
      </c>
      <c r="D12" s="5">
        <f>Info!E64/Info!E13</f>
        <v>301.92279308135807</v>
      </c>
      <c r="E12" s="5">
        <f>Info!F64/Info!F13</f>
        <v>309.83358793324771</v>
      </c>
      <c r="F12" s="5">
        <f>Info!G64/Info!G13</f>
        <v>305.56798969072167</v>
      </c>
      <c r="G12" s="5">
        <f>Info!H64/Info!H13</f>
        <v>303.67869845360826</v>
      </c>
      <c r="H12" s="5">
        <f>Info!I64/Info!I13</f>
        <v>303.10567069294342</v>
      </c>
      <c r="I12" s="5">
        <f>Info!J64/Info!J13</f>
        <v>303.62883207070706</v>
      </c>
      <c r="J12" s="5">
        <f>Info!K64/Info!K13</f>
        <v>298.28063694267513</v>
      </c>
      <c r="K12" s="5">
        <f>Info!L64/Info!L13</f>
        <v>298.60209258084973</v>
      </c>
      <c r="L12" s="5">
        <f>Info!M64/Info!M13</f>
        <v>298.01455640050693</v>
      </c>
      <c r="M12" s="5">
        <f>Info!N64/Info!N13</f>
        <v>300.11478260869569</v>
      </c>
      <c r="N12" s="5">
        <f>Info!O64/Info!O13</f>
        <v>304.33786220218934</v>
      </c>
      <c r="O12" s="5">
        <f>Info!P64/Info!P13</f>
        <v>313.99370822622109</v>
      </c>
      <c r="P12" s="5">
        <f>Info!Q64/Info!Q13</f>
        <v>313.71286906290118</v>
      </c>
      <c r="Q12" s="5">
        <f>Info!R64/Info!R13</f>
        <v>311.8641735800893</v>
      </c>
      <c r="R12" s="5">
        <f>Info!S64/Info!S13</f>
        <v>315.88517707662589</v>
      </c>
      <c r="S12" s="5">
        <f>Info!T64/Info!T13</f>
        <v>318.34502271252433</v>
      </c>
      <c r="T12" s="5">
        <f>Info!U64/Info!U13</f>
        <v>311.04700843608049</v>
      </c>
      <c r="U12" s="5">
        <f>Info!V64/Info!V13</f>
        <v>328.48877192982457</v>
      </c>
      <c r="V12" s="5">
        <f>Info!W64/Info!W13</f>
        <v>311.8535087719298</v>
      </c>
      <c r="W12" s="5">
        <f>Info!X64/Info!X13</f>
        <v>325.00101506221347</v>
      </c>
      <c r="X12" s="5">
        <f>Info!Y64/Info!Y13</f>
        <v>322.91412771560238</v>
      </c>
      <c r="Y12" s="5">
        <f>Info!Z64/Info!Z13</f>
        <v>326.05273990734611</v>
      </c>
      <c r="Z12" s="5">
        <f>Info!AA64/Info!AA13</f>
        <v>318.44017015706805</v>
      </c>
      <c r="AA12" s="5">
        <f>Info!AB64/Info!AB13</f>
        <v>319.94598961713177</v>
      </c>
      <c r="AB12" s="5">
        <f>Info!AC64/Info!AC13</f>
        <v>327.91596091205213</v>
      </c>
    </row>
    <row r="13" spans="1:28" hidden="1" x14ac:dyDescent="0.3">
      <c r="A13" t="s">
        <v>11</v>
      </c>
      <c r="B13" s="5">
        <f>Info!C65/Info!C14</f>
        <v>267.41708371109098</v>
      </c>
      <c r="C13" s="5">
        <f>Info!D65/Info!D14</f>
        <v>264.31611965039178</v>
      </c>
      <c r="D13" s="5">
        <f>Info!E65/Info!E14</f>
        <v>261.40537089764723</v>
      </c>
      <c r="E13" s="5">
        <f>Info!F65/Info!F14</f>
        <v>261.39553523238379</v>
      </c>
      <c r="F13" s="5">
        <f>Info!G65/Info!G14</f>
        <v>261.64339750338394</v>
      </c>
      <c r="G13" s="5">
        <f>Info!H65/Info!H14</f>
        <v>262.56311448317308</v>
      </c>
      <c r="H13" s="5">
        <f>Info!I65/Info!I14</f>
        <v>268.13000601322909</v>
      </c>
      <c r="I13" s="5">
        <f>Info!J65/Info!J14</f>
        <v>267.7302729603378</v>
      </c>
      <c r="J13" s="5">
        <f>Info!K65/Info!K14</f>
        <v>267.37583071161049</v>
      </c>
      <c r="K13" s="5">
        <f>Info!L65/Info!L14</f>
        <v>264.50622703510084</v>
      </c>
      <c r="L13" s="5">
        <f>Info!M65/Info!M14</f>
        <v>255.45692936802976</v>
      </c>
      <c r="M13" s="5">
        <f>Info!N65/Info!N14</f>
        <v>261.72952500739865</v>
      </c>
      <c r="N13" s="5">
        <f>Info!O65/Info!O14</f>
        <v>257.52692193749073</v>
      </c>
      <c r="O13" s="5">
        <f>Info!P65/Info!P14</f>
        <v>252.82019164759726</v>
      </c>
      <c r="P13" s="5">
        <f>Info!Q65/Info!Q14</f>
        <v>263.83128884433626</v>
      </c>
      <c r="Q13" s="5">
        <f>Info!R65/Info!R14</f>
        <v>264.03853595521747</v>
      </c>
      <c r="R13" s="5">
        <f>Info!S65/Info!S14</f>
        <v>266.53095990803274</v>
      </c>
      <c r="S13" s="5">
        <f>Info!T65/Info!T14</f>
        <v>270.14112292455576</v>
      </c>
      <c r="T13" s="5">
        <f>Info!U65/Info!U14</f>
        <v>271.87400797165634</v>
      </c>
      <c r="U13" s="5">
        <f>Info!V65/Info!V14</f>
        <v>275.90500595947555</v>
      </c>
      <c r="V13" s="5">
        <f>Info!W65/Info!W14</f>
        <v>267.2514829749104</v>
      </c>
      <c r="W13" s="5">
        <f>Info!X65/Info!X14</f>
        <v>274.02303889056378</v>
      </c>
      <c r="X13" s="5">
        <f>Info!Y65/Info!Y14</f>
        <v>272.97946831200488</v>
      </c>
      <c r="Y13" s="5">
        <f>Info!Z65/Info!Z14</f>
        <v>272.18561572586816</v>
      </c>
      <c r="Z13" s="5">
        <f>Info!AA65/Info!AA14</f>
        <v>290.65493596667181</v>
      </c>
      <c r="AA13" s="5">
        <f>Info!AB65/Info!AB14</f>
        <v>279.02893920595534</v>
      </c>
      <c r="AB13" s="5">
        <f>Info!AC65/Info!AC14</f>
        <v>314.48281760223915</v>
      </c>
    </row>
    <row r="14" spans="1:28" hidden="1" x14ac:dyDescent="0.3">
      <c r="A14" t="s">
        <v>1</v>
      </c>
      <c r="B14" s="5">
        <f>Info!C66/Info!C15</f>
        <v>371.51604888959901</v>
      </c>
      <c r="C14" s="5">
        <f>Info!D66/Info!D15</f>
        <v>364.95724656220023</v>
      </c>
      <c r="D14" s="5">
        <f>Info!E66/Info!E15</f>
        <v>365.10275596859475</v>
      </c>
      <c r="E14" s="5">
        <f>Info!F66/Info!F15</f>
        <v>370.98795088502629</v>
      </c>
      <c r="F14" s="5">
        <f>Info!G66/Info!G15</f>
        <v>369.62296797833363</v>
      </c>
      <c r="G14" s="5">
        <f>Info!H66/Info!H15</f>
        <v>367.23963286713285</v>
      </c>
      <c r="H14" s="5">
        <f>Info!I66/Info!I15</f>
        <v>372.22594796128828</v>
      </c>
      <c r="I14" s="5">
        <f>Info!J66/Info!J15</f>
        <v>363.57481363996828</v>
      </c>
      <c r="J14" s="5">
        <f>Info!K66/Info!K15</f>
        <v>367.99868880843695</v>
      </c>
      <c r="K14" s="5">
        <f>Info!L66/Info!L15</f>
        <v>363.69142366531372</v>
      </c>
      <c r="L14" s="5">
        <f>Info!M66/Info!M15</f>
        <v>366.94655972589936</v>
      </c>
      <c r="M14" s="5">
        <f>Info!N66/Info!N15</f>
        <v>377.9593898832685</v>
      </c>
      <c r="N14" s="5">
        <f>Info!O66/Info!O15</f>
        <v>363.20410769708258</v>
      </c>
      <c r="O14" s="5">
        <f>Info!P66/Info!P15</f>
        <v>376.54699310344824</v>
      </c>
      <c r="P14" s="5">
        <f>Info!Q66/Info!Q15</f>
        <v>377.08030391404452</v>
      </c>
      <c r="Q14" s="5">
        <f>Info!R66/Info!R15</f>
        <v>377.84426342358881</v>
      </c>
      <c r="R14" s="5">
        <f>Info!S66/Info!S15</f>
        <v>378.94908493736631</v>
      </c>
      <c r="S14" s="5">
        <f>Info!T66/Info!T15</f>
        <v>379.52887239902083</v>
      </c>
      <c r="T14" s="5">
        <f>Info!U66/Info!U15</f>
        <v>393.0449248466258</v>
      </c>
      <c r="U14" s="5">
        <f>Info!V66/Info!V15</f>
        <v>387.66515509828014</v>
      </c>
      <c r="V14" s="5">
        <f>Info!W66/Info!W15</f>
        <v>379.21674093423474</v>
      </c>
      <c r="W14" s="5">
        <f>Info!X66/Info!X15</f>
        <v>382.24099383667175</v>
      </c>
      <c r="X14" s="5">
        <f>Info!Y66/Info!Y15</f>
        <v>394.88905511811026</v>
      </c>
      <c r="Y14" s="5">
        <f>Info!Z66/Info!Z15</f>
        <v>393.66608594477191</v>
      </c>
      <c r="Z14" s="5">
        <f>Info!AA66/Info!AA15</f>
        <v>397.65004828660437</v>
      </c>
      <c r="AA14" s="5">
        <f>Info!AB66/Info!AB15</f>
        <v>393.90867418899859</v>
      </c>
      <c r="AB14" s="5">
        <f>Info!AC66/Info!AC15</f>
        <v>400.16933458882613</v>
      </c>
    </row>
    <row r="15" spans="1:28" hidden="1" x14ac:dyDescent="0.3">
      <c r="A15" t="s">
        <v>10</v>
      </c>
      <c r="B15" s="5">
        <f>Info!C67/Info!C16</f>
        <v>411.7355110336818</v>
      </c>
      <c r="C15" s="5">
        <f>Info!D67/Info!D16</f>
        <v>381.04036431440045</v>
      </c>
      <c r="D15" s="5">
        <f>Info!E67/Info!E16</f>
        <v>375.08432562076752</v>
      </c>
      <c r="E15" s="5">
        <f>Info!F67/Info!F16</f>
        <v>393.40916850828728</v>
      </c>
      <c r="F15" s="5">
        <f>Info!G67/Info!G16</f>
        <v>392.4096044735407</v>
      </c>
      <c r="G15" s="5">
        <f>Info!H67/Info!H16</f>
        <v>400.06907968875771</v>
      </c>
      <c r="H15" s="5">
        <f>Info!I67/Info!I16</f>
        <v>413.51363491642343</v>
      </c>
      <c r="I15" s="5">
        <f>Info!J67/Info!J16</f>
        <v>403.87099033185262</v>
      </c>
      <c r="J15" s="5">
        <f>Info!K67/Info!K16</f>
        <v>398.65848159509204</v>
      </c>
      <c r="K15" s="5">
        <f>Info!L67/Info!L16</f>
        <v>391.98085223025168</v>
      </c>
      <c r="L15" s="5">
        <f>Info!M67/Info!M16</f>
        <v>391.34847593582884</v>
      </c>
      <c r="M15" s="5">
        <f>Info!N67/Info!N16</f>
        <v>423.34782494004793</v>
      </c>
      <c r="N15" s="5">
        <f>Info!O67/Info!O16</f>
        <v>410.03585013042448</v>
      </c>
      <c r="O15" s="5">
        <f>Info!P67/Info!P16</f>
        <v>418.54941243712847</v>
      </c>
      <c r="P15" s="5">
        <f>Info!Q67/Info!Q16</f>
        <v>415.35712424174346</v>
      </c>
      <c r="Q15" s="5">
        <f>Info!R67/Info!R16</f>
        <v>426.11356158292574</v>
      </c>
      <c r="R15" s="5">
        <f>Info!S67/Info!S16</f>
        <v>430.29285937151775</v>
      </c>
      <c r="S15" s="5">
        <f>Info!T67/Info!T16</f>
        <v>428.76394847879192</v>
      </c>
      <c r="T15" s="5">
        <f>Info!U67/Info!U16</f>
        <v>452.82389575971735</v>
      </c>
      <c r="U15" s="5">
        <f>Info!V67/Info!V16</f>
        <v>428.79374615046197</v>
      </c>
      <c r="V15" s="5">
        <f>Info!W67/Info!W16</f>
        <v>422.91139857111926</v>
      </c>
      <c r="W15" s="5">
        <f>Info!X67/Info!X16</f>
        <v>424.95286172259028</v>
      </c>
      <c r="X15" s="5">
        <f>Info!Y67/Info!Y16</f>
        <v>436.68614828978116</v>
      </c>
      <c r="Y15" s="5">
        <f>Info!Z67/Info!Z16</f>
        <v>424.94661603375528</v>
      </c>
      <c r="Z15" s="5">
        <f>Info!AA67/Info!AA16</f>
        <v>457.27606993299827</v>
      </c>
      <c r="AA15" s="5">
        <f>Info!AB67/Info!AB16</f>
        <v>433.20749220212105</v>
      </c>
      <c r="AB15" s="5">
        <f>Info!AC67/Info!AC16</f>
        <v>428.63281733746129</v>
      </c>
    </row>
    <row r="16" spans="1:28" hidden="1" x14ac:dyDescent="0.3">
      <c r="A16" t="s">
        <v>9</v>
      </c>
      <c r="B16" s="5">
        <f>Info!C68/Info!C17</f>
        <v>305.76473047684863</v>
      </c>
      <c r="C16" s="5">
        <f>Info!D68/Info!D17</f>
        <v>303.46051384083046</v>
      </c>
      <c r="D16" s="5">
        <f>Info!E68/Info!E17</f>
        <v>301.63549022998444</v>
      </c>
      <c r="E16" s="5">
        <f>Info!F68/Info!F17</f>
        <v>301.07204627870834</v>
      </c>
      <c r="F16" s="5">
        <f>Info!G68/Info!G17</f>
        <v>298.45032595642476</v>
      </c>
      <c r="G16" s="5">
        <f>Info!H68/Info!H17</f>
        <v>298.94288231269246</v>
      </c>
      <c r="H16" s="5">
        <f>Info!I68/Info!I17</f>
        <v>304.52463718627286</v>
      </c>
      <c r="I16" s="5">
        <f>Info!J68/Info!J17</f>
        <v>302.38791347300287</v>
      </c>
      <c r="J16" s="5">
        <f>Info!K68/Info!K17</f>
        <v>303.73275527569774</v>
      </c>
      <c r="K16" s="5">
        <f>Info!L68/Info!L17</f>
        <v>303.1791114535182</v>
      </c>
      <c r="L16" s="5">
        <f>Info!M68/Info!M17</f>
        <v>293.76673221614226</v>
      </c>
      <c r="M16" s="5">
        <f>Info!N68/Info!N17</f>
        <v>302.50865914144003</v>
      </c>
      <c r="N16" s="5">
        <f>Info!O68/Info!O17</f>
        <v>297.44469632164243</v>
      </c>
      <c r="O16" s="5">
        <f>Info!P68/Info!P17</f>
        <v>303.36687489274067</v>
      </c>
      <c r="P16" s="5">
        <f>Info!Q68/Info!Q17</f>
        <v>317.80815766775919</v>
      </c>
      <c r="Q16" s="5">
        <f>Info!R68/Info!R17</f>
        <v>317.27431528113141</v>
      </c>
      <c r="R16" s="5">
        <f>Info!S68/Info!S17</f>
        <v>319.84634419727536</v>
      </c>
      <c r="S16" s="5">
        <f>Info!T68/Info!T17</f>
        <v>320.89774221453285</v>
      </c>
      <c r="T16" s="5">
        <f>Info!U68/Info!U17</f>
        <v>318.29839785689597</v>
      </c>
      <c r="U16" s="5">
        <f>Info!V68/Info!V17</f>
        <v>321.45016490192671</v>
      </c>
      <c r="V16" s="5">
        <f>Info!W68/Info!W17</f>
        <v>311.8710230045312</v>
      </c>
      <c r="W16" s="5">
        <f>Info!X68/Info!X17</f>
        <v>318.36582136602453</v>
      </c>
      <c r="X16" s="5">
        <f>Info!Y68/Info!Y17</f>
        <v>315.02061005625876</v>
      </c>
      <c r="Y16" s="5">
        <f>Info!Z68/Info!Z17</f>
        <v>314.41550980738646</v>
      </c>
      <c r="Z16" s="5">
        <f>Info!AA68/Info!AA17</f>
        <v>334.29186157941433</v>
      </c>
      <c r="AA16" s="5">
        <f>Info!AB68/Info!AB17</f>
        <v>320.08158690624447</v>
      </c>
      <c r="AB16" s="5">
        <f>Info!AC68/Info!AC17</f>
        <v>323.03005513071315</v>
      </c>
    </row>
    <row r="17" spans="1:28" hidden="1" x14ac:dyDescent="0.3">
      <c r="A17" t="s">
        <v>3</v>
      </c>
      <c r="B17" s="5">
        <f>Info!C69/Info!C18</f>
        <v>388.88078161822466</v>
      </c>
      <c r="C17" s="5">
        <f>Info!D69/Info!D18</f>
        <v>365.55022981732469</v>
      </c>
      <c r="D17" s="5">
        <f>Info!E69/Info!E18</f>
        <v>366.44689085545724</v>
      </c>
      <c r="E17" s="5">
        <f>Info!F69/Info!F18</f>
        <v>366.81393640134308</v>
      </c>
      <c r="F17" s="5">
        <f>Info!G69/Info!G18</f>
        <v>370.94587700217522</v>
      </c>
      <c r="G17" s="5">
        <f>Info!H69/Info!H18</f>
        <v>371.04443939094324</v>
      </c>
      <c r="H17" s="5">
        <f>Info!I69/Info!I18</f>
        <v>367.50890581717454</v>
      </c>
      <c r="I17" s="5">
        <f>Info!J69/Info!J18</f>
        <v>367.52212690254993</v>
      </c>
      <c r="J17" s="5">
        <f>Info!K69/Info!K18</f>
        <v>366.96184340931615</v>
      </c>
      <c r="K17" s="5">
        <f>Info!L69/Info!L18</f>
        <v>368.44847575516695</v>
      </c>
      <c r="L17" s="5">
        <f>Info!M69/Info!M18</f>
        <v>366.69880238331677</v>
      </c>
      <c r="M17" s="5">
        <f>Info!N69/Info!N18</f>
        <v>397.78547125074095</v>
      </c>
      <c r="N17" s="5">
        <f>Info!O69/Info!O18</f>
        <v>374.03979656330239</v>
      </c>
      <c r="O17" s="5">
        <f>Info!P69/Info!P18</f>
        <v>389.47736539984163</v>
      </c>
      <c r="P17" s="5">
        <f>Info!Q69/Info!Q18</f>
        <v>390.6983980295567</v>
      </c>
      <c r="Q17" s="5">
        <f>Info!R69/Info!R18</f>
        <v>391.448354730397</v>
      </c>
      <c r="R17" s="5">
        <f>Info!S69/Info!S18</f>
        <v>392.57254274353875</v>
      </c>
      <c r="S17" s="5">
        <f>Info!T69/Info!T18</f>
        <v>391.71590755802418</v>
      </c>
      <c r="T17" s="5">
        <f>Info!U69/Info!U18</f>
        <v>392.51187872763421</v>
      </c>
      <c r="U17" s="5">
        <f>Info!V69/Info!V18</f>
        <v>392.43460159362547</v>
      </c>
      <c r="V17" s="5">
        <f>Info!W69/Info!W18</f>
        <v>387.42513142174431</v>
      </c>
      <c r="W17" s="5">
        <f>Info!X69/Info!X18</f>
        <v>387.58083782166369</v>
      </c>
      <c r="X17" s="5">
        <f>Info!Y69/Info!Y18</f>
        <v>392.86018566580157</v>
      </c>
      <c r="Y17" s="5">
        <f>Info!Z69/Info!Z18</f>
        <v>395.04631998406057</v>
      </c>
      <c r="Z17" s="5">
        <f>Info!AA69/Info!AA18</f>
        <v>418.9492283214002</v>
      </c>
      <c r="AA17" s="5">
        <f>Info!AB69/Info!AB18</f>
        <v>375.87576640888358</v>
      </c>
      <c r="AB17" s="5">
        <f>Info!AC69/Info!AC18</f>
        <v>390.39690107270559</v>
      </c>
    </row>
    <row r="18" spans="1:28" x14ac:dyDescent="0.3">
      <c r="A18" s="9" t="s">
        <v>67</v>
      </c>
      <c r="B18" s="5">
        <f>AVERAGE(B4:B17)</f>
        <v>341.53616263065891</v>
      </c>
      <c r="C18" s="5">
        <f t="shared" ref="C18:R18" si="0">AVERAGE(C4:C17)</f>
        <v>321.93281658217796</v>
      </c>
      <c r="D18" s="5">
        <f t="shared" si="0"/>
        <v>318.94384456895426</v>
      </c>
      <c r="E18" s="5">
        <f t="shared" si="0"/>
        <v>326.31827691410905</v>
      </c>
      <c r="F18" s="5">
        <f t="shared" si="0"/>
        <v>324.36570308746042</v>
      </c>
      <c r="G18" s="5">
        <f t="shared" si="0"/>
        <v>327.26659894871187</v>
      </c>
      <c r="H18" s="5">
        <f t="shared" si="0"/>
        <v>327.86025945937627</v>
      </c>
      <c r="I18" s="5">
        <f t="shared" si="0"/>
        <v>324.37738273787596</v>
      </c>
      <c r="J18" s="5">
        <f t="shared" si="0"/>
        <v>321.12876971339472</v>
      </c>
      <c r="K18" s="5">
        <f t="shared" si="0"/>
        <v>337.12848570084532</v>
      </c>
      <c r="L18" s="5">
        <f t="shared" si="0"/>
        <v>334.21070810344355</v>
      </c>
      <c r="M18" s="5">
        <f t="shared" si="0"/>
        <v>358.84499679323454</v>
      </c>
      <c r="N18" s="5">
        <f t="shared" si="0"/>
        <v>347.84594433961655</v>
      </c>
      <c r="O18" s="5">
        <f t="shared" si="0"/>
        <v>355.79994296222861</v>
      </c>
      <c r="P18" s="5">
        <f t="shared" si="0"/>
        <v>355.88154377518993</v>
      </c>
      <c r="Q18" s="5">
        <f t="shared" si="0"/>
        <v>356.52925829568949</v>
      </c>
      <c r="R18" s="5">
        <f t="shared" si="0"/>
        <v>358.62846221054724</v>
      </c>
      <c r="S18" s="5">
        <f t="shared" ref="S18" si="1">AVERAGE(S4:S17)</f>
        <v>357.90893018998577</v>
      </c>
      <c r="T18" s="5">
        <f t="shared" ref="T18:U18" si="2">AVERAGE(T4:T17)</f>
        <v>366.29596299176768</v>
      </c>
      <c r="U18" s="5">
        <f t="shared" si="2"/>
        <v>363.17373495106665</v>
      </c>
      <c r="V18" s="5">
        <f t="shared" ref="V18:W18" si="3">AVERAGE(V4:V17)</f>
        <v>358.05936077583073</v>
      </c>
      <c r="W18" s="5">
        <f t="shared" si="3"/>
        <v>358.94171221527932</v>
      </c>
      <c r="X18" s="5">
        <f t="shared" ref="X18:Y18" si="4">AVERAGE(X4:X17)</f>
        <v>359.8071662383515</v>
      </c>
      <c r="Y18" s="5">
        <f t="shared" si="4"/>
        <v>363.00228100110809</v>
      </c>
      <c r="Z18" s="5">
        <f t="shared" ref="Z18:AA18" si="5">AVERAGE(Z4:Z17)</f>
        <v>378.95550645059376</v>
      </c>
      <c r="AA18" s="5">
        <f t="shared" si="5"/>
        <v>367.20674746520535</v>
      </c>
      <c r="AB18" s="5">
        <f t="shared" ref="AB18" si="6">AVERAGE(AB4:AB17)</f>
        <v>370.94152362581059</v>
      </c>
    </row>
    <row r="19" spans="1:28" x14ac:dyDescent="0.3"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28" x14ac:dyDescent="0.3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28" x14ac:dyDescent="0.3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28" x14ac:dyDescent="0.3"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28" x14ac:dyDescent="0.3"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28" x14ac:dyDescent="0.3"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28" x14ac:dyDescent="0.3"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28" x14ac:dyDescent="0.3"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28" x14ac:dyDescent="0.3"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</row>
    <row r="28" spans="1:28" x14ac:dyDescent="0.3"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</row>
    <row r="29" spans="1:28" x14ac:dyDescent="0.3"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</row>
    <row r="30" spans="1:28" x14ac:dyDescent="0.3"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</row>
    <row r="31" spans="1:28" x14ac:dyDescent="0.3"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</row>
    <row r="32" spans="1:28" x14ac:dyDescent="0.3"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</row>
    <row r="33" spans="1:28" x14ac:dyDescent="0.3"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</row>
    <row r="34" spans="1:28" x14ac:dyDescent="0.3"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</row>
    <row r="35" spans="1:28" x14ac:dyDescent="0.3"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</row>
    <row r="36" spans="1:28" x14ac:dyDescent="0.3"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</row>
    <row r="37" spans="1:28" x14ac:dyDescent="0.3"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</row>
    <row r="38" spans="1:28" x14ac:dyDescent="0.3"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</row>
    <row r="39" spans="1:28" x14ac:dyDescent="0.3"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</row>
    <row r="40" spans="1:28" x14ac:dyDescent="0.3"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</row>
    <row r="41" spans="1:28" x14ac:dyDescent="0.3"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</row>
    <row r="42" spans="1:28" x14ac:dyDescent="0.3"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</row>
    <row r="43" spans="1:28" x14ac:dyDescent="0.3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</row>
    <row r="44" spans="1:28" x14ac:dyDescent="0.3">
      <c r="A44" s="8" t="s">
        <v>50</v>
      </c>
      <c r="B44" t="s">
        <v>52</v>
      </c>
      <c r="C44" t="s">
        <v>53</v>
      </c>
      <c r="D44" t="s">
        <v>54</v>
      </c>
      <c r="E44" t="s">
        <v>55</v>
      </c>
      <c r="F44" t="s">
        <v>56</v>
      </c>
      <c r="G44" t="s">
        <v>57</v>
      </c>
      <c r="H44" t="s">
        <v>58</v>
      </c>
      <c r="I44" t="s">
        <v>59</v>
      </c>
      <c r="J44" t="s">
        <v>60</v>
      </c>
      <c r="K44" t="s">
        <v>61</v>
      </c>
      <c r="L44" t="s">
        <v>62</v>
      </c>
      <c r="M44" t="s">
        <v>63</v>
      </c>
      <c r="N44" t="s">
        <v>64</v>
      </c>
      <c r="O44" t="s">
        <v>65</v>
      </c>
      <c r="P44" t="s">
        <v>101</v>
      </c>
      <c r="Q44" t="s">
        <v>102</v>
      </c>
      <c r="R44" t="s">
        <v>103</v>
      </c>
      <c r="S44" t="s">
        <v>108</v>
      </c>
      <c r="T44" t="s">
        <v>110</v>
      </c>
      <c r="U44" t="s">
        <v>112</v>
      </c>
      <c r="V44" t="s">
        <v>115</v>
      </c>
      <c r="W44" t="s">
        <v>117</v>
      </c>
      <c r="X44" t="s">
        <v>121</v>
      </c>
      <c r="Y44" t="s">
        <v>125</v>
      </c>
      <c r="Z44" t="s">
        <v>127</v>
      </c>
      <c r="AA44" t="s">
        <v>143</v>
      </c>
      <c r="AB44" t="s">
        <v>144</v>
      </c>
    </row>
    <row r="45" spans="1:28" hidden="1" x14ac:dyDescent="0.3">
      <c r="A45" t="s">
        <v>12</v>
      </c>
      <c r="B45" s="5">
        <f>(Info!C73/Info!C5)*-1</f>
        <v>198.88857283078133</v>
      </c>
      <c r="C45" s="5">
        <f>(Info!D73/Info!D5)*-1</f>
        <v>164.51234719781291</v>
      </c>
      <c r="D45" s="5">
        <f>(Info!E73/Info!E5)*-1</f>
        <v>185.08675178951441</v>
      </c>
      <c r="E45" s="5">
        <f>(Info!F73/Info!F5)*-1</f>
        <v>149.8303107508203</v>
      </c>
      <c r="F45" s="5">
        <f>(Info!G73/Info!G5)*-1</f>
        <v>204.49428239395701</v>
      </c>
      <c r="G45" s="5">
        <f>(Info!H73/Info!H5)*-1</f>
        <v>175.43273515805706</v>
      </c>
      <c r="H45" s="5">
        <f>(Info!I73/Info!I5)*-1</f>
        <v>152.20291610673834</v>
      </c>
      <c r="I45" s="5">
        <f>(Info!J73/Info!J5)*-1</f>
        <v>170.82704873820072</v>
      </c>
      <c r="J45" s="5">
        <f>(Info!K73/Info!K5)*-1</f>
        <v>162.2182443334614</v>
      </c>
      <c r="K45" s="5">
        <f>(Info!L73/Info!L5)*-1</f>
        <v>161.6114233716475</v>
      </c>
      <c r="L45" s="5">
        <f>(Info!M73/Info!M5)*-1</f>
        <v>158.87354844814533</v>
      </c>
      <c r="M45" s="5">
        <f>(Info!N73/Info!N5)*-1</f>
        <v>147.64867592592591</v>
      </c>
      <c r="N45" s="5">
        <f>(Info!O73/Info!O5)*-1</f>
        <v>171.84545421445475</v>
      </c>
      <c r="O45" s="5">
        <f>(Info!P73/Info!P5)*-1</f>
        <v>142.53159796201945</v>
      </c>
      <c r="P45" s="5">
        <f>(Info!Q73/Info!Q5)*-1</f>
        <v>148.01003234252272</v>
      </c>
      <c r="Q45" s="5">
        <f>(Info!R73/Info!R5)*-1</f>
        <v>152.90517273288094</v>
      </c>
      <c r="R45" s="5">
        <f>(Info!S73/Info!S5)*-1</f>
        <v>145.89678267594741</v>
      </c>
      <c r="S45" s="5">
        <f>(Info!T73/Info!T5)*-1</f>
        <v>150.60608319158806</v>
      </c>
      <c r="T45" s="5">
        <f>(Info!U73/Info!U5)*-1</f>
        <v>155.33823054217802</v>
      </c>
      <c r="U45" s="5">
        <f>(Info!V73/Info!V5)*-1</f>
        <v>178.62447561165655</v>
      </c>
      <c r="V45" s="5">
        <f>(Info!W73/Info!W5)*-1</f>
        <v>157.95504766369746</v>
      </c>
      <c r="W45" s="5">
        <f>(Info!X73/Info!X5)*-1</f>
        <v>159.94558244846971</v>
      </c>
      <c r="X45" s="5">
        <f>(Info!Y73/Info!Y5)*-1</f>
        <v>154.5660539523212</v>
      </c>
      <c r="Y45" s="5">
        <f>(Info!Z73/Info!Z5)*-1</f>
        <v>170.57720574313666</v>
      </c>
      <c r="Z45" s="5">
        <f>(Info!AA73/Info!AA5)*-1</f>
        <v>167.43427051913002</v>
      </c>
      <c r="AA45" s="5">
        <f>(Info!AB73/Info!AB5)*-1</f>
        <v>183.01853887826644</v>
      </c>
      <c r="AB45" s="5">
        <f>(Info!AC73/Info!AC5)*-1</f>
        <v>168.1634707574305</v>
      </c>
    </row>
    <row r="46" spans="1:28" hidden="1" x14ac:dyDescent="0.3">
      <c r="A46" t="s">
        <v>0</v>
      </c>
      <c r="B46" s="5">
        <f>(Info!C74/(Info!C6+Info!C9))*-1</f>
        <v>25.872945110058513</v>
      </c>
      <c r="C46" s="5">
        <f>(Info!D74/(Info!D6+Info!D9))*-1</f>
        <v>0</v>
      </c>
      <c r="D46" s="5">
        <f>(Info!E74/(Info!E6+Info!E9))*-1</f>
        <v>0</v>
      </c>
      <c r="E46" s="5">
        <f>(Info!F74/(Info!F6+Info!F9))*-1</f>
        <v>0</v>
      </c>
      <c r="F46" s="5">
        <f>(Info!G74/(Info!G6+Info!G9))*-1</f>
        <v>0</v>
      </c>
      <c r="G46" s="5">
        <f>(Info!H74/(Info!H6+Info!H9))*-1</f>
        <v>0</v>
      </c>
      <c r="H46" s="5">
        <f>(Info!I74/(Info!I6+Info!I9))*-1</f>
        <v>0</v>
      </c>
      <c r="I46" s="5">
        <f>(Info!J74/(Info!J6+Info!J9))*-1</f>
        <v>0</v>
      </c>
      <c r="J46" s="5">
        <f>(Info!K74/(Info!K6+Info!K9))*-1</f>
        <v>0</v>
      </c>
      <c r="K46" s="5">
        <f>(Info!L74/(Info!L6+Info!L9))*-1</f>
        <v>0</v>
      </c>
      <c r="L46" s="5">
        <f>(Info!M74/(Info!M6+Info!M9))*-1</f>
        <v>0</v>
      </c>
      <c r="M46" s="5">
        <f>(Info!N74/(Info!N6+Info!N9))*-1</f>
        <v>0</v>
      </c>
      <c r="N46" s="5">
        <f>(Info!O74/(Info!O6+Info!O9))*-1</f>
        <v>0</v>
      </c>
      <c r="O46" s="5">
        <f>(Info!P74/(Info!P6+Info!P9))*-1</f>
        <v>0</v>
      </c>
      <c r="P46" s="5">
        <f>(Info!Q74/(Info!Q6+Info!Q9))*-1</f>
        <v>0</v>
      </c>
      <c r="Q46" s="5">
        <f>(Info!R74/(Info!R6+Info!R9))*-1</f>
        <v>0</v>
      </c>
      <c r="R46" s="5">
        <f>(Info!S74/(Info!S6+Info!S9))*-1</f>
        <v>0</v>
      </c>
      <c r="S46" s="5">
        <f>(Info!T74/(Info!T6+Info!T9))*-1</f>
        <v>0</v>
      </c>
      <c r="T46" s="5">
        <f>(Info!U74/(Info!U6+Info!U9))*-1</f>
        <v>0</v>
      </c>
      <c r="U46" s="5">
        <f>(Info!V74/(Info!V6+Info!V9))*-1</f>
        <v>0</v>
      </c>
      <c r="V46" s="5">
        <f>(Info!W74/(Info!W6+Info!W9))*-1</f>
        <v>0</v>
      </c>
      <c r="W46" s="5">
        <f>(Info!X74/(Info!X6+Info!X9))*-1</f>
        <v>0</v>
      </c>
      <c r="X46" s="5">
        <f>(Info!Y74/(Info!Y6+Info!Y9))*-1</f>
        <v>0</v>
      </c>
      <c r="Y46" s="5">
        <f>(Info!Z74/(Info!Z6+Info!Z9))*-1</f>
        <v>0</v>
      </c>
      <c r="Z46" s="5">
        <f>(Info!AA74/(Info!AA6+Info!AA9))*-1</f>
        <v>0</v>
      </c>
      <c r="AA46" s="5">
        <f>(Info!AB74/(Info!AB6+Info!AB9))*-1</f>
        <v>0</v>
      </c>
      <c r="AB46" s="5">
        <f>(Info!AC74/(Info!AC6+Info!AC9))*-1</f>
        <v>230.76487138263664</v>
      </c>
    </row>
    <row r="47" spans="1:28" hidden="1" x14ac:dyDescent="0.3">
      <c r="A47" t="s">
        <v>2</v>
      </c>
      <c r="B47" s="5">
        <f>(Info!C75/Info!C7)*-1</f>
        <v>178.01335966542752</v>
      </c>
      <c r="C47" s="5">
        <f>(Info!D75/Info!D7)*-1</f>
        <v>198.27026513374003</v>
      </c>
      <c r="D47" s="5">
        <f>(Info!E75/Info!E7)*-1</f>
        <v>190.1833972992182</v>
      </c>
      <c r="E47" s="5">
        <f>(Info!F75/Info!F7)*-1</f>
        <v>195.74026743075453</v>
      </c>
      <c r="F47" s="5">
        <f>(Info!G75/Info!G7)*-1</f>
        <v>197.70308429118774</v>
      </c>
      <c r="G47" s="5">
        <f>(Info!H75/Info!H7)*-1</f>
        <v>198.36330924855491</v>
      </c>
      <c r="H47" s="5">
        <f>(Info!I75/Info!I7)*-1</f>
        <v>168.33444498069497</v>
      </c>
      <c r="I47" s="5">
        <f>(Info!J75/Info!J7)*-1</f>
        <v>176.75207460890493</v>
      </c>
      <c r="J47" s="5">
        <f>(Info!K75/Info!K7)*-1</f>
        <v>185.65545673656302</v>
      </c>
      <c r="K47" s="5">
        <f>(Info!L75/Info!L7)*-1</f>
        <v>171.52572661870505</v>
      </c>
      <c r="L47" s="5">
        <f>(Info!M75/Info!M7)*-1</f>
        <v>160.66350784077201</v>
      </c>
      <c r="M47" s="5">
        <f>(Info!N75/Info!N7)*-1</f>
        <v>135.32041716903785</v>
      </c>
      <c r="N47" s="5">
        <f>(Info!O75/Info!O7)*-1</f>
        <v>155.57102990834539</v>
      </c>
      <c r="O47" s="5">
        <f>(Info!P75/Info!P7)*-1</f>
        <v>130.71130483943918</v>
      </c>
      <c r="P47" s="5">
        <f>(Info!Q75/Info!Q7)*-1</f>
        <v>158.04921190097662</v>
      </c>
      <c r="Q47" s="5">
        <f>(Info!R75/Info!R7)*-1</f>
        <v>162.25917502278944</v>
      </c>
      <c r="R47" s="5">
        <f>(Info!S75/Info!S7)*-1</f>
        <v>228.7830166704727</v>
      </c>
      <c r="S47" s="5">
        <f>(Info!T75/Info!T7)*-1</f>
        <v>197.17835807261932</v>
      </c>
      <c r="T47" s="5">
        <f>(Info!U75/Info!U7)*-1</f>
        <v>161.52374770220587</v>
      </c>
      <c r="U47" s="5">
        <f>(Info!V75/Info!V7)*-1</f>
        <v>177.74760221760221</v>
      </c>
      <c r="V47" s="5">
        <f>(Info!W75/Info!W7)*-1</f>
        <v>206.93821759259259</v>
      </c>
      <c r="W47" s="5">
        <f>(Info!X75/Info!X7)*-1</f>
        <v>205.74864663405543</v>
      </c>
      <c r="X47" s="5">
        <f>(Info!Y75/Info!Y7)*-1</f>
        <v>183.59929787730346</v>
      </c>
      <c r="Y47" s="5">
        <f>(Info!Z75/Info!Z7)*-1</f>
        <v>228.73246197051253</v>
      </c>
      <c r="Z47" s="5">
        <f>(Info!AA75/Info!AA7)*-1</f>
        <v>192.95244022503516</v>
      </c>
      <c r="AA47" s="5">
        <f>(Info!AB75/Info!AB7)*-1</f>
        <v>209.59654434250766</v>
      </c>
      <c r="AB47" s="5">
        <f>(Info!AC75/Info!AC7)*-1</f>
        <v>211.71746332229057</v>
      </c>
    </row>
    <row r="48" spans="1:28" hidden="1" x14ac:dyDescent="0.3">
      <c r="A48" t="s">
        <v>4</v>
      </c>
      <c r="B48" s="5">
        <f>(Info!C78/Info!C10)*-1</f>
        <v>202.83392769607843</v>
      </c>
      <c r="C48" s="5">
        <f>(Info!D78/Info!D10)*-1</f>
        <v>199.11434766584767</v>
      </c>
      <c r="D48" s="5">
        <f>(Info!E78/Info!E10)*-1</f>
        <v>209.79348736906962</v>
      </c>
      <c r="E48" s="5">
        <f>(Info!F78/Info!F10)*-1</f>
        <v>196.10781411997039</v>
      </c>
      <c r="F48" s="5">
        <f>(Info!G78/Info!G10)*-1</f>
        <v>214.32028360049321</v>
      </c>
      <c r="G48" s="5">
        <f>(Info!H78/Info!H10)*-1</f>
        <v>227.77411089157818</v>
      </c>
      <c r="H48" s="5">
        <f>(Info!I78/Info!I10)*-1</f>
        <v>222.9439681363468</v>
      </c>
      <c r="I48" s="5">
        <f>(Info!J78/Info!J10)*-1</f>
        <v>227.809883620156</v>
      </c>
      <c r="J48" s="5">
        <f>(Info!K78/Info!K10)*-1</f>
        <v>235.32497217068644</v>
      </c>
      <c r="K48" s="5">
        <f>(Info!L78/Info!L10)*-1</f>
        <v>256.37257230769228</v>
      </c>
      <c r="L48" s="5">
        <f>(Info!M78/Info!M10)*-1</f>
        <v>226.3232160433071</v>
      </c>
      <c r="M48" s="5">
        <f>(Info!N78/Info!N10)*-1</f>
        <v>226.45922017220173</v>
      </c>
      <c r="N48" s="5">
        <f>(Info!O78/Info!O10)*-1</f>
        <v>241.39630952380952</v>
      </c>
      <c r="O48" s="5">
        <f>(Info!P78/Info!P10)*-1</f>
        <v>217.94246204701273</v>
      </c>
      <c r="P48" s="5">
        <f>(Info!Q78/Info!Q10)*-1</f>
        <v>228.99377862128077</v>
      </c>
      <c r="Q48" s="5">
        <f>(Info!R78/Info!R10)*-1</f>
        <v>221.29455377853742</v>
      </c>
      <c r="R48" s="5">
        <f>(Info!S78/Info!S10)*-1</f>
        <v>193.63761451080981</v>
      </c>
      <c r="S48" s="5">
        <f>(Info!T78/Info!T10)*-1</f>
        <v>190.46620600858367</v>
      </c>
      <c r="T48" s="5">
        <f>(Info!U78/Info!U10)*-1</f>
        <v>197.80690766015002</v>
      </c>
      <c r="U48" s="5">
        <f>(Info!V78/Info!V10)*-1</f>
        <v>201.35359699840077</v>
      </c>
      <c r="V48" s="5">
        <f>(Info!W78/Info!W10)*-1</f>
        <v>211.28546692845748</v>
      </c>
      <c r="W48" s="5">
        <f>(Info!X78/Info!X10)*-1</f>
        <v>208.69229100269675</v>
      </c>
      <c r="X48" s="5">
        <f>(Info!Y78/Info!Y10)*-1</f>
        <v>200.28156699005282</v>
      </c>
      <c r="Y48" s="5">
        <f>(Info!Z78/Info!Z10)*-1</f>
        <v>194.96493353028066</v>
      </c>
      <c r="Z48" s="5">
        <f>(Info!AA78/Info!AA10)*-1</f>
        <v>208.60221191889218</v>
      </c>
      <c r="AA48" s="5">
        <f>(Info!AB78/Info!AB10)*-1</f>
        <v>204.12919581725384</v>
      </c>
      <c r="AB48" s="5">
        <f>(Info!AC78/Info!AC10)*-1</f>
        <v>178.49744037957299</v>
      </c>
    </row>
    <row r="49" spans="1:28" hidden="1" x14ac:dyDescent="0.3">
      <c r="A49" t="s">
        <v>7</v>
      </c>
      <c r="B49" s="5">
        <f>(Info!C79/Info!C11)*-1</f>
        <v>219.33957436633187</v>
      </c>
      <c r="C49" s="5">
        <f>(Info!D79/Info!D11)*-1</f>
        <v>223.93786632798859</v>
      </c>
      <c r="D49" s="5">
        <f>(Info!E79/Info!E11)*-1</f>
        <v>211.79624084103219</v>
      </c>
      <c r="E49" s="5">
        <f>(Info!F79/Info!F11)*-1</f>
        <v>209.56483518225042</v>
      </c>
      <c r="F49" s="5">
        <f>(Info!G79/Info!G11)*-1</f>
        <v>211.40085723340201</v>
      </c>
      <c r="G49" s="5">
        <f>(Info!H79/Info!H11)*-1</f>
        <v>220.80655761024184</v>
      </c>
      <c r="H49" s="5">
        <f>(Info!I79/Info!I11)*-1</f>
        <v>224.19827400727735</v>
      </c>
      <c r="I49" s="5">
        <f>(Info!J79/Info!J11)*-1</f>
        <v>222.07481086171717</v>
      </c>
      <c r="J49" s="5">
        <f>(Info!K79/Info!K11)*-1</f>
        <v>220.49412029142769</v>
      </c>
      <c r="K49" s="5">
        <f>(Info!L79/Info!L11)*-1</f>
        <v>207.57123831417627</v>
      </c>
      <c r="L49" s="5">
        <f>(Info!M79/Info!M11)*-1</f>
        <v>223.7451421657592</v>
      </c>
      <c r="M49" s="5">
        <f>(Info!N79/Info!N11)*-1</f>
        <v>216.99597593984961</v>
      </c>
      <c r="N49" s="5">
        <f>(Info!O79/Info!O11)*-1</f>
        <v>246.27504947526239</v>
      </c>
      <c r="O49" s="5">
        <f>(Info!P79/Info!P11)*-1</f>
        <v>220.10723369484475</v>
      </c>
      <c r="P49" s="5">
        <f>(Info!Q79/Info!Q11)*-1</f>
        <v>195.16911015694401</v>
      </c>
      <c r="Q49" s="5">
        <f>(Info!R79/Info!R11)*-1</f>
        <v>222.50330205278593</v>
      </c>
      <c r="R49" s="5">
        <f>(Info!S79/Info!S11)*-1</f>
        <v>220.94644219483567</v>
      </c>
      <c r="S49" s="5">
        <f>(Info!T79/Info!T11)*-1</f>
        <v>223.49356238171495</v>
      </c>
      <c r="T49" s="5">
        <f>(Info!U79/Info!U11)*-1</f>
        <v>224.68662409288825</v>
      </c>
      <c r="U49" s="5">
        <f>(Info!V79/Info!V11)*-1</f>
        <v>234.97992003489384</v>
      </c>
      <c r="V49" s="5">
        <f>(Info!W79/Info!W11)*-1</f>
        <v>210.19537438566061</v>
      </c>
      <c r="W49" s="5">
        <f>(Info!X79/Info!X11)*-1</f>
        <v>203.70241354466859</v>
      </c>
      <c r="X49" s="5">
        <f>(Info!Y79/Info!Y11)*-1</f>
        <v>177.60422911283376</v>
      </c>
      <c r="Y49" s="5">
        <f>(Info!Z79/Info!Z11)*-1</f>
        <v>228.68267443533304</v>
      </c>
      <c r="Z49" s="5">
        <f>(Info!AA79/Info!AA11)*-1</f>
        <v>213.74663035688693</v>
      </c>
      <c r="AA49" s="5">
        <f>(Info!AB79/Info!AB11)*-1</f>
        <v>225.59078181035721</v>
      </c>
      <c r="AB49" s="5">
        <f>(Info!AC79/Info!AC11)*-1</f>
        <v>221.68962548428755</v>
      </c>
    </row>
    <row r="50" spans="1:28" hidden="1" x14ac:dyDescent="0.3">
      <c r="A50" t="s">
        <v>6</v>
      </c>
      <c r="B50" s="5">
        <f>(Info!C80/Info!C12)*-1</f>
        <v>234.19258915118033</v>
      </c>
      <c r="C50" s="5">
        <f>(Info!D80/Info!D12)*-1</f>
        <v>223.22505098234271</v>
      </c>
      <c r="D50" s="5">
        <f>(Info!E80/Info!E12)*-1</f>
        <v>230.48423915706937</v>
      </c>
      <c r="E50" s="5">
        <f>(Info!F80/Info!F12)*-1</f>
        <v>242.14455996131528</v>
      </c>
      <c r="F50" s="5">
        <f>(Info!G80/Info!G12)*-1</f>
        <v>217.3710666023166</v>
      </c>
      <c r="G50" s="5">
        <f>(Info!H80/Info!H12)*-1</f>
        <v>247.81375542691751</v>
      </c>
      <c r="H50" s="5">
        <f>(Info!I80/Info!I12)*-1</f>
        <v>308.10088877976921</v>
      </c>
      <c r="I50" s="5">
        <f>(Info!J80/Info!J12)*-1</f>
        <v>268.50404655770183</v>
      </c>
      <c r="J50" s="5">
        <f>(Info!K80/Info!K12)*-1</f>
        <v>248.15808118081179</v>
      </c>
      <c r="K50" s="5">
        <f>(Info!L80/Info!L12)*-1</f>
        <v>285.14757390666995</v>
      </c>
      <c r="L50" s="5">
        <f>(Info!M80/Info!M12)*-1</f>
        <v>241.98561266747868</v>
      </c>
      <c r="M50" s="5">
        <f>(Info!N80/Info!N12)*-1</f>
        <v>291.74774303859306</v>
      </c>
      <c r="N50" s="5">
        <f>(Info!O80/Info!O12)*-1</f>
        <v>247.80541159279105</v>
      </c>
      <c r="O50" s="5">
        <f>(Info!P80/Info!P12)*-1</f>
        <v>246.62482095650086</v>
      </c>
      <c r="P50" s="5">
        <f>(Info!Q80/Info!Q12)*-1</f>
        <v>247.23217798033102</v>
      </c>
      <c r="Q50" s="5">
        <f>(Info!R80/Info!R12)*-1</f>
        <v>220.25049594659035</v>
      </c>
      <c r="R50" s="5">
        <f>(Info!S80/Info!S12)*-1</f>
        <v>222.5859138755981</v>
      </c>
      <c r="S50" s="5">
        <f>(Info!T80/Info!T12)*-1</f>
        <v>216.213432092913</v>
      </c>
      <c r="T50" s="5">
        <f>(Info!U80/Info!U12)*-1</f>
        <v>213.01061316287877</v>
      </c>
      <c r="U50" s="5">
        <f>(Info!V80/Info!V12)*-1</f>
        <v>222.27648827847503</v>
      </c>
      <c r="V50" s="5">
        <f>(Info!W80/Info!W12)*-1</f>
        <v>236.65343757347753</v>
      </c>
      <c r="W50" s="5">
        <f>(Info!X80/Info!X12)*-1</f>
        <v>215.68708792497071</v>
      </c>
      <c r="X50" s="5">
        <f>(Info!Y80/Info!Y12)*-1</f>
        <v>212.90253161592508</v>
      </c>
      <c r="Y50" s="5">
        <f>(Info!Z80/Info!Z12)*-1</f>
        <v>194.00640420560748</v>
      </c>
      <c r="Z50" s="5">
        <f>(Info!AA80/Info!AA12)*-1</f>
        <v>199.21325787631272</v>
      </c>
      <c r="AA50" s="5">
        <f>(Info!AB80/Info!AB12)*-1</f>
        <v>213.85535260115608</v>
      </c>
      <c r="AB50" s="5">
        <f>(Info!AC80/Info!AC12)*-1</f>
        <v>196.70867959372114</v>
      </c>
    </row>
    <row r="51" spans="1:28" hidden="1" x14ac:dyDescent="0.3">
      <c r="A51" t="s">
        <v>11</v>
      </c>
      <c r="B51" s="5">
        <f>(Info!C82/Info!C14)*-1</f>
        <v>153.28798579631308</v>
      </c>
      <c r="C51" s="5">
        <f>(Info!D82/Info!D14)*-1</f>
        <v>182.50781796262808</v>
      </c>
      <c r="D51" s="5">
        <f>(Info!E82/Info!E14)*-1</f>
        <v>179.11221939157801</v>
      </c>
      <c r="E51" s="5">
        <f>(Info!F82/Info!F14)*-1</f>
        <v>158.06520989505248</v>
      </c>
      <c r="F51" s="5">
        <f>(Info!G82/Info!G14)*-1</f>
        <v>176.30644006617536</v>
      </c>
      <c r="G51" s="5">
        <f>(Info!H82/Info!H14)*-1</f>
        <v>170.9405994591346</v>
      </c>
      <c r="H51" s="5">
        <f>(Info!I82/Info!I14)*-1</f>
        <v>179.08143565844858</v>
      </c>
      <c r="I51" s="5">
        <f>(Info!J82/Info!J14)*-1</f>
        <v>187.61981299954758</v>
      </c>
      <c r="J51" s="5">
        <f>(Info!K82/Info!K14)*-1</f>
        <v>196.54534082397004</v>
      </c>
      <c r="K51" s="5">
        <f>(Info!L82/Info!L14)*-1</f>
        <v>206.60226587005226</v>
      </c>
      <c r="L51" s="5">
        <f>(Info!M82/Info!M14)*-1</f>
        <v>222.88396133828994</v>
      </c>
      <c r="M51" s="5">
        <f>(Info!N82/Info!N14)*-1</f>
        <v>231.23705682154483</v>
      </c>
      <c r="N51" s="5">
        <f>(Info!O82/Info!O14)*-1</f>
        <v>213.94701970078509</v>
      </c>
      <c r="O51" s="5">
        <f>(Info!P82/Info!P14)*-1</f>
        <v>203.34890446224256</v>
      </c>
      <c r="P51" s="5">
        <f>(Info!Q82/Info!Q14)*-1</f>
        <v>176.24067592725189</v>
      </c>
      <c r="Q51" s="5">
        <f>(Info!R82/Info!R14)*-1</f>
        <v>180.37491459738769</v>
      </c>
      <c r="R51" s="5">
        <f>(Info!S82/Info!S14)*-1</f>
        <v>165.94009484121284</v>
      </c>
      <c r="S51" s="5">
        <f>(Info!T82/Info!T14)*-1</f>
        <v>184.13975822895429</v>
      </c>
      <c r="T51" s="5">
        <f>(Info!U82/Info!U14)*-1</f>
        <v>186.88133156185413</v>
      </c>
      <c r="U51" s="5">
        <f>(Info!V82/Info!V14)*-1</f>
        <v>177.05265941597139</v>
      </c>
      <c r="V51" s="5">
        <f>(Info!W82/Info!W14)*-1</f>
        <v>189.11580495818399</v>
      </c>
      <c r="W51" s="5">
        <f>(Info!X82/Info!X14)*-1</f>
        <v>188.53805547181187</v>
      </c>
      <c r="X51" s="5">
        <f>(Info!Y82/Info!Y14)*-1</f>
        <v>200.70922455819624</v>
      </c>
      <c r="Y51" s="5">
        <f>(Info!Z82/Info!Z14)*-1</f>
        <v>194.47793942175309</v>
      </c>
      <c r="Z51" s="5">
        <f>(Info!AA82/Info!AA14)*-1</f>
        <v>192.87149668261068</v>
      </c>
      <c r="AA51" s="5">
        <f>(Info!AB82/Info!AB14)*-1</f>
        <v>182.16999069478911</v>
      </c>
      <c r="AB51" s="5">
        <f>(Info!AC82/Info!AC14)*-1</f>
        <v>185.94324366350489</v>
      </c>
    </row>
    <row r="52" spans="1:28" hidden="1" x14ac:dyDescent="0.3">
      <c r="A52" t="s">
        <v>1</v>
      </c>
      <c r="B52" s="5">
        <f>(Info!C83/Info!C15)*-1</f>
        <v>204.51813708260104</v>
      </c>
      <c r="C52" s="5">
        <f>(Info!D83/Info!D15)*-1</f>
        <v>192.34067956507837</v>
      </c>
      <c r="D52" s="5">
        <f>(Info!E83/Info!E15)*-1</f>
        <v>194.39511456497354</v>
      </c>
      <c r="E52" s="5">
        <f>(Info!F83/Info!F15)*-1</f>
        <v>201.10259129325468</v>
      </c>
      <c r="F52" s="5">
        <f>(Info!G83/Info!G15)*-1</f>
        <v>211.43133981201211</v>
      </c>
      <c r="G52" s="5">
        <f>(Info!H83/Info!H15)*-1</f>
        <v>212.50230610298792</v>
      </c>
      <c r="H52" s="5">
        <f>(Info!I83/Info!I15)*-1</f>
        <v>221.61164207520227</v>
      </c>
      <c r="I52" s="5">
        <f>(Info!J83/Info!J15)*-1</f>
        <v>224.18838858049168</v>
      </c>
      <c r="J52" s="5">
        <f>(Info!K83/Info!K15)*-1</f>
        <v>220.7656933732095</v>
      </c>
      <c r="K52" s="5">
        <f>(Info!L83/Info!L15)*-1</f>
        <v>212.92428816734312</v>
      </c>
      <c r="L52" s="5">
        <f>(Info!M83/Info!M15)*-1</f>
        <v>228.31373306338577</v>
      </c>
      <c r="M52" s="5">
        <f>(Info!N83/Info!N15)*-1</f>
        <v>213.97273307392996</v>
      </c>
      <c r="N52" s="5">
        <f>(Info!O83/Info!O15)*-1</f>
        <v>221.26319366852886</v>
      </c>
      <c r="O52" s="5">
        <f>(Info!P83/Info!P15)*-1</f>
        <v>214.35947586206899</v>
      </c>
      <c r="P52" s="5">
        <f>(Info!Q83/Info!Q15)*-1</f>
        <v>192.14529700690716</v>
      </c>
      <c r="Q52" s="5">
        <f>(Info!R83/Info!R15)*-1</f>
        <v>190.43706899189232</v>
      </c>
      <c r="R52" s="5">
        <f>(Info!S83/Info!S15)*-1</f>
        <v>199.25526275588146</v>
      </c>
      <c r="S52" s="5">
        <f>(Info!T83/Info!T15)*-1</f>
        <v>200.69279375764995</v>
      </c>
      <c r="T52" s="5">
        <f>(Info!U83/Info!U15)*-1</f>
        <v>203.32536503067482</v>
      </c>
      <c r="U52" s="5">
        <f>(Info!V83/Info!V15)*-1</f>
        <v>202.88190878378379</v>
      </c>
      <c r="V52" s="5">
        <f>(Info!W83/Info!W15)*-1</f>
        <v>196.2091241548863</v>
      </c>
      <c r="W52" s="5">
        <f>(Info!X83/Info!X15)*-1</f>
        <v>188.80904468412942</v>
      </c>
      <c r="X52" s="5">
        <f>(Info!Y83/Info!Y15)*-1</f>
        <v>195.20114867994442</v>
      </c>
      <c r="Y52" s="5">
        <f>(Info!Z83/Info!Z15)*-1</f>
        <v>225.69363636363636</v>
      </c>
      <c r="Z52" s="5">
        <f>(Info!AA83/Info!AA15)*-1</f>
        <v>212.81785202492213</v>
      </c>
      <c r="AA52" s="5">
        <f>(Info!AB83/Info!AB15)*-1</f>
        <v>243.17075380034478</v>
      </c>
      <c r="AB52" s="5">
        <f>(Info!AC83/Info!AC15)*-1</f>
        <v>223.71531701192717</v>
      </c>
    </row>
    <row r="53" spans="1:28" hidden="1" x14ac:dyDescent="0.3">
      <c r="A53" t="s">
        <v>10</v>
      </c>
      <c r="B53" s="5">
        <f>(Info!C84/Info!C16)*-1</f>
        <v>232.93369337979095</v>
      </c>
      <c r="C53" s="5">
        <f>(Info!D84/Info!D16)*-1</f>
        <v>221.38845668387839</v>
      </c>
      <c r="D53" s="5">
        <f>(Info!E84/Info!E16)*-1</f>
        <v>190.00352144469525</v>
      </c>
      <c r="E53" s="5">
        <f>(Info!F84/Info!F16)*-1</f>
        <v>230.89222099447514</v>
      </c>
      <c r="F53" s="5">
        <f>(Info!G84/Info!G16)*-1</f>
        <v>214.58531096563013</v>
      </c>
      <c r="G53" s="5">
        <f>(Info!H84/Info!H16)*-1</f>
        <v>189.76902870941777</v>
      </c>
      <c r="H53" s="5">
        <f>(Info!I84/Info!I16)*-1</f>
        <v>219.45404351286814</v>
      </c>
      <c r="I53" s="5">
        <f>(Info!J84/Info!J16)*-1</f>
        <v>227.75588189182128</v>
      </c>
      <c r="J53" s="5">
        <f>(Info!K84/Info!K16)*-1</f>
        <v>224.73853783231084</v>
      </c>
      <c r="K53" s="5">
        <f>(Info!L84/Info!L16)*-1</f>
        <v>189.73336406678294</v>
      </c>
      <c r="L53" s="5">
        <f>(Info!M84/Info!M16)*-1</f>
        <v>206.05924647544967</v>
      </c>
      <c r="M53" s="5">
        <f>(Info!N84/Info!N16)*-1</f>
        <v>211.5734700239808</v>
      </c>
      <c r="N53" s="5">
        <f>(Info!O84/Info!O16)*-1</f>
        <v>207.95640028456248</v>
      </c>
      <c r="O53" s="5">
        <f>(Info!P84/Info!P16)*-1</f>
        <v>218.91971193415637</v>
      </c>
      <c r="P53" s="5">
        <f>(Info!Q84/Info!Q16)*-1</f>
        <v>192.95465513367785</v>
      </c>
      <c r="Q53" s="5">
        <f>(Info!R84/Info!R16)*-1</f>
        <v>216.9246998666074</v>
      </c>
      <c r="R53" s="5">
        <f>(Info!S84/Info!S16)*-1</f>
        <v>192.98248049921997</v>
      </c>
      <c r="S53" s="5">
        <f>(Info!T84/Info!T16)*-1</f>
        <v>214.00014656895405</v>
      </c>
      <c r="T53" s="5">
        <f>(Info!U84/Info!U16)*-1</f>
        <v>216.28224160777384</v>
      </c>
      <c r="U53" s="5">
        <f>(Info!V84/Info!V16)*-1</f>
        <v>234.95043994720632</v>
      </c>
      <c r="V53" s="5">
        <f>(Info!W84/Info!W16)*-1</f>
        <v>240.89608789781337</v>
      </c>
      <c r="W53" s="5">
        <f>(Info!X84/Info!X16)*-1</f>
        <v>254.92725154947641</v>
      </c>
      <c r="X53" s="5">
        <f>(Info!Y84/Info!Y16)*-1</f>
        <v>254.52414701508391</v>
      </c>
      <c r="Y53" s="5">
        <f>(Info!Z84/Info!Z16)*-1</f>
        <v>218.13735232067512</v>
      </c>
      <c r="Z53" s="5">
        <f>(Info!AA84/Info!AA16)*-1</f>
        <v>252.61117671691792</v>
      </c>
      <c r="AA53" s="5">
        <f>(Info!AB84/Info!AB16)*-1</f>
        <v>257.69435225618628</v>
      </c>
      <c r="AB53" s="5">
        <f>(Info!AC84/Info!AC16)*-1</f>
        <v>255.84994840041279</v>
      </c>
    </row>
    <row r="54" spans="1:28" hidden="1" x14ac:dyDescent="0.3">
      <c r="A54" t="s">
        <v>9</v>
      </c>
      <c r="B54" s="5">
        <f>(Info!C85/Info!C17)*-1</f>
        <v>168.80746717346233</v>
      </c>
      <c r="C54" s="5">
        <f>(Info!D85/Info!D17)*-1</f>
        <v>150.4772508650519</v>
      </c>
      <c r="D54" s="5">
        <f>(Info!E85/Info!E17)*-1</f>
        <v>177.96928410859417</v>
      </c>
      <c r="E54" s="5">
        <f>(Info!F85/Info!F17)*-1</f>
        <v>145.66894318770505</v>
      </c>
      <c r="F54" s="5">
        <f>(Info!G85/Info!G17)*-1</f>
        <v>156.19764625150111</v>
      </c>
      <c r="G54" s="5">
        <f>(Info!H85/Info!H17)*-1</f>
        <v>213.76343824837497</v>
      </c>
      <c r="H54" s="5">
        <f>(Info!I85/Info!I17)*-1</f>
        <v>187.79430083660577</v>
      </c>
      <c r="I54" s="5">
        <f>(Info!J85/Info!J17)*-1</f>
        <v>222.6840044285471</v>
      </c>
      <c r="J54" s="5">
        <f>(Info!K85/Info!K17)*-1</f>
        <v>188.82976855003403</v>
      </c>
      <c r="K54" s="5">
        <f>(Info!L85/Info!L17)*-1</f>
        <v>198.70826913199795</v>
      </c>
      <c r="L54" s="5">
        <f>(Info!M85/Info!M17)*-1</f>
        <v>214.96116279069764</v>
      </c>
      <c r="M54" s="5">
        <f>(Info!N85/Info!N17)*-1</f>
        <v>179.2004241491363</v>
      </c>
      <c r="N54" s="5">
        <f>(Info!O85/Info!O17)*-1</f>
        <v>202.13608725406328</v>
      </c>
      <c r="O54" s="5">
        <f>(Info!P85/Info!P17)*-1</f>
        <v>173.92400377552772</v>
      </c>
      <c r="P54" s="5">
        <f>(Info!Q85/Info!Q17)*-1</f>
        <v>166.10108504398826</v>
      </c>
      <c r="Q54" s="5">
        <f>(Info!R85/Info!R17)*-1</f>
        <v>174.24183511555708</v>
      </c>
      <c r="R54" s="5">
        <f>(Info!S85/Info!S17)*-1</f>
        <v>193.48893602345234</v>
      </c>
      <c r="S54" s="5">
        <f>(Info!T85/Info!T17)*-1</f>
        <v>193.94180622837368</v>
      </c>
      <c r="T54" s="5">
        <f>(Info!U85/Info!U17)*-1</f>
        <v>192.696674732112</v>
      </c>
      <c r="U54" s="5">
        <f>(Info!V85/Info!V17)*-1</f>
        <v>184.91683909043567</v>
      </c>
      <c r="V54" s="5">
        <f>(Info!W85/Info!W17)*-1</f>
        <v>202.54136807249915</v>
      </c>
      <c r="W54" s="5">
        <f>(Info!X85/Info!X17)*-1</f>
        <v>204.97192994746058</v>
      </c>
      <c r="X54" s="5">
        <f>(Info!Y85/Info!Y17)*-1</f>
        <v>186.93123241912801</v>
      </c>
      <c r="Y54" s="5">
        <f>(Info!Z85/Info!Z17)*-1</f>
        <v>186.75541261707014</v>
      </c>
      <c r="Z54" s="5">
        <f>(Info!AA85/Info!AA17)*-1</f>
        <v>195.91671162377995</v>
      </c>
      <c r="AA54" s="5">
        <f>(Info!AB85/Info!AB17)*-1</f>
        <v>219.03345312222027</v>
      </c>
      <c r="AB54" s="5">
        <f>(Info!AC85/Info!AC17)*-1</f>
        <v>210.65872310154722</v>
      </c>
    </row>
    <row r="55" spans="1:28" hidden="1" x14ac:dyDescent="0.3">
      <c r="A55" t="s">
        <v>3</v>
      </c>
      <c r="B55" s="5">
        <f>(Info!C86+Info!C81)/(Info!C18+Info!C13)*-1</f>
        <v>193.60149699699699</v>
      </c>
      <c r="C55" s="5">
        <f>(Info!D86+Info!D81)/(Info!D18+Info!D13)*-1</f>
        <v>217.88418569711536</v>
      </c>
      <c r="D55" s="5">
        <f>(Info!E86+Info!E81)/(Info!E18+Info!E13)*-1</f>
        <v>209.37690340054169</v>
      </c>
      <c r="E55" s="5">
        <f>(Info!F86+Info!F81)/(Info!F18+Info!F13)*-1</f>
        <v>204.79344056789006</v>
      </c>
      <c r="F55" s="5">
        <f>(Info!G86+Info!G81)/(Info!G18+Info!G13)*-1</f>
        <v>222.86190497806021</v>
      </c>
      <c r="G55" s="5">
        <f>(Info!H86+Info!H81)/(Info!H18+Info!H13)*-1</f>
        <v>218.24178695717964</v>
      </c>
      <c r="H55" s="5">
        <f>(Info!I86+Info!I81)/(Info!I18+Info!I13)*-1</f>
        <v>222.84595744680854</v>
      </c>
      <c r="I55" s="5">
        <f>(Info!J86+Info!J81)/(Info!J18+Info!J13)*-1</f>
        <v>214.53854583772392</v>
      </c>
      <c r="J55" s="5">
        <f>(Info!K86+Info!K81)/(Info!K18+Info!K13)*-1</f>
        <v>215.40388208616778</v>
      </c>
      <c r="K55" s="5">
        <f>(Info!L86+Info!L81)/(Info!L18+Info!L13)*-1</f>
        <v>198.6906006960206</v>
      </c>
      <c r="L55" s="5">
        <f>(Info!M86+Info!M81)/(Info!M18+Info!M13)*-1</f>
        <v>209.44750189021624</v>
      </c>
      <c r="M55" s="5">
        <f>(Info!N86+Info!N81)/(Info!N18+Info!N13)*-1</f>
        <v>212.0672120754717</v>
      </c>
      <c r="N55" s="5">
        <f>(Info!O86+Info!O81)/(Info!O18+Info!O13)*-1</f>
        <v>209.32772823458282</v>
      </c>
      <c r="O55" s="5">
        <f>(Info!P86+Info!P81)/(Info!P18+Info!P13)*-1</f>
        <v>213.41531174334139</v>
      </c>
      <c r="P55" s="5">
        <f>(Info!Q86+Info!Q81)/(Info!Q18+Info!Q13)*-1</f>
        <v>207.82856475199762</v>
      </c>
      <c r="Q55" s="5">
        <f>(Info!R86+Info!R81)/(Info!R18+Info!R13)*-1</f>
        <v>219.26617043740572</v>
      </c>
      <c r="R55" s="5">
        <f>(Info!S86+Info!S81)/(Info!S18+Info!S13)*-1</f>
        <v>220.10619778216616</v>
      </c>
      <c r="S55" s="5">
        <f>(Info!T86+Info!T81)/(Info!T18+Info!T13)*-1</f>
        <v>215.63814038286236</v>
      </c>
      <c r="T55" s="5">
        <f>(Info!U86+Info!U81)/(Info!U18+Info!U13)*-1</f>
        <v>215.9621214427028</v>
      </c>
      <c r="U55" s="5">
        <f>(Info!V86+Info!V81)/(Info!V18+Info!V13)*-1</f>
        <v>212.1373349595975</v>
      </c>
      <c r="V55" s="5">
        <f>(Info!W86+Info!W81)/(Info!W18+Info!W13)*-1</f>
        <v>218.24787075140986</v>
      </c>
      <c r="W55" s="5">
        <f>(Info!X86+Info!X81)/(Info!X18+Info!X13)*-1</f>
        <v>218.73967125382262</v>
      </c>
      <c r="X55" s="5">
        <f>(Info!Y86+Info!Y81)/(Info!Y18+Info!Y13)*-1</f>
        <v>208.24284313725491</v>
      </c>
      <c r="Y55" s="5">
        <f>(Info!Z86+Info!Z81)/(Info!Z18+Info!Z13)*-1</f>
        <v>213.12433996937213</v>
      </c>
      <c r="Z55" s="5">
        <f>(Info!AA86+Info!AA81)/(Info!AA18+Info!AA13)*-1</f>
        <v>211.47225137278826</v>
      </c>
      <c r="AA55" s="5">
        <f>(Info!AB86+Info!AB81)/(Info!AB18+Info!AB13)*-1</f>
        <v>222.02650364520048</v>
      </c>
      <c r="AB55" s="5">
        <f>(Info!AC86+Info!AC81)/(Info!AC18+Info!AC13)*-1</f>
        <v>208.16547419698585</v>
      </c>
    </row>
    <row r="56" spans="1:28" x14ac:dyDescent="0.3">
      <c r="A56" t="s">
        <v>68</v>
      </c>
      <c r="B56" s="5">
        <f>AVERAGE(B45:B55)</f>
        <v>182.93543174991112</v>
      </c>
      <c r="C56" s="5">
        <f t="shared" ref="C56:O56" si="7">AVERAGE(C45:C55)</f>
        <v>179.42347891649854</v>
      </c>
      <c r="D56" s="5">
        <f t="shared" si="7"/>
        <v>179.83646903329875</v>
      </c>
      <c r="E56" s="5">
        <f t="shared" si="7"/>
        <v>175.81001758031709</v>
      </c>
      <c r="F56" s="5">
        <f t="shared" si="7"/>
        <v>184.24292874497596</v>
      </c>
      <c r="G56" s="5">
        <f t="shared" si="7"/>
        <v>188.67342071022222</v>
      </c>
      <c r="H56" s="5">
        <f t="shared" si="7"/>
        <v>191.50617014006909</v>
      </c>
      <c r="I56" s="5">
        <f t="shared" si="7"/>
        <v>194.79586346589201</v>
      </c>
      <c r="J56" s="5">
        <f t="shared" si="7"/>
        <v>190.73946339805843</v>
      </c>
      <c r="K56" s="5">
        <f t="shared" si="7"/>
        <v>189.89884749555347</v>
      </c>
      <c r="L56" s="5">
        <f t="shared" si="7"/>
        <v>190.29605752031833</v>
      </c>
      <c r="M56" s="5">
        <f t="shared" si="7"/>
        <v>187.8384480354247</v>
      </c>
      <c r="N56" s="5">
        <f t="shared" si="7"/>
        <v>192.50215307792598</v>
      </c>
      <c r="O56" s="5">
        <f t="shared" si="7"/>
        <v>180.17134793428676</v>
      </c>
      <c r="P56" s="5">
        <f t="shared" ref="P56:R56" si="8">AVERAGE(P45:P55)</f>
        <v>173.88405353326164</v>
      </c>
      <c r="Q56" s="5">
        <f t="shared" si="8"/>
        <v>178.22339895840312</v>
      </c>
      <c r="R56" s="5">
        <f t="shared" si="8"/>
        <v>180.32934016632694</v>
      </c>
      <c r="S56" s="5">
        <f t="shared" ref="S56:T56" si="9">AVERAGE(S45:S55)</f>
        <v>180.57911699220119</v>
      </c>
      <c r="T56" s="5">
        <f t="shared" si="9"/>
        <v>178.86489613958349</v>
      </c>
      <c r="U56" s="5">
        <f t="shared" ref="U56:V56" si="10">AVERAGE(U45:U55)</f>
        <v>184.26556957618391</v>
      </c>
      <c r="V56" s="5">
        <f t="shared" si="10"/>
        <v>188.18525454351621</v>
      </c>
      <c r="W56" s="5">
        <f t="shared" ref="W56:X56" si="11">AVERAGE(W45:W55)</f>
        <v>186.34199767832379</v>
      </c>
      <c r="X56" s="5">
        <f t="shared" si="11"/>
        <v>179.50566139618579</v>
      </c>
      <c r="Y56" s="5">
        <f t="shared" ref="Y56:Z56" si="12">AVERAGE(Y45:Y55)</f>
        <v>186.83203277976156</v>
      </c>
      <c r="Z56" s="5">
        <f t="shared" si="12"/>
        <v>186.14893630157056</v>
      </c>
      <c r="AA56" s="5">
        <f t="shared" ref="AA56:AB56" si="13">AVERAGE(AA45:AA55)</f>
        <v>196.38958790620745</v>
      </c>
      <c r="AB56" s="5">
        <f t="shared" si="13"/>
        <v>208.3522052085743</v>
      </c>
    </row>
    <row r="57" spans="1:28" hidden="1" x14ac:dyDescent="0.3">
      <c r="A57" t="s">
        <v>13</v>
      </c>
      <c r="B57" s="5" t="e">
        <f>(Info!C76/Info!C8)*-1</f>
        <v>#DIV/0!</v>
      </c>
      <c r="C57" s="5" t="e">
        <f>(Info!D76/Info!D8)*-1</f>
        <v>#DIV/0!</v>
      </c>
      <c r="D57" s="5" t="e">
        <f>(Info!E76/Info!E8)*-1</f>
        <v>#DIV/0!</v>
      </c>
      <c r="E57" s="5" t="e">
        <f>(Info!F76/Info!F8)*-1</f>
        <v>#DIV/0!</v>
      </c>
      <c r="F57" s="5" t="e">
        <f>(Info!G76/Info!G8)*-1</f>
        <v>#DIV/0!</v>
      </c>
      <c r="G57" s="5" t="e">
        <f>(Info!H76/Info!H8)*-1</f>
        <v>#DIV/0!</v>
      </c>
      <c r="H57" s="5" t="e">
        <f>(Info!I76/Info!I8)*-1</f>
        <v>#DIV/0!</v>
      </c>
      <c r="I57" s="5" t="e">
        <f>(Info!J76/Info!J8)*-1</f>
        <v>#DIV/0!</v>
      </c>
      <c r="J57" s="5" t="e">
        <f>(Info!K76/Info!K8)*-1</f>
        <v>#DIV/0!</v>
      </c>
      <c r="K57" s="5">
        <f>(Info!L76/Info!L8)*-1</f>
        <v>3013.2023076923074</v>
      </c>
      <c r="L57" s="5">
        <f>(Info!M76/Info!M8)*-1</f>
        <v>1762.720837988827</v>
      </c>
      <c r="M57" s="5">
        <f>(Info!N76/Info!N8)*-1</f>
        <v>1689.0102558635397</v>
      </c>
      <c r="N57" s="5">
        <f>(Info!O76/Info!O8)*-1</f>
        <v>1834.2099084249085</v>
      </c>
      <c r="O57" s="5">
        <f>(Info!P76/Info!P8)*-1</f>
        <v>1000.4850708661418</v>
      </c>
      <c r="P57" s="5">
        <f>(Info!Q76/Info!Q8)*-1</f>
        <v>914.70814184397159</v>
      </c>
      <c r="Q57" s="5">
        <f>(Info!R76/Info!R8)*-1</f>
        <v>612.07608865710563</v>
      </c>
      <c r="R57" s="5">
        <f>(Info!S76/Info!S8)*-1</f>
        <v>932.55958837772391</v>
      </c>
      <c r="S57" s="5">
        <f>(Info!T76/Info!T8)*-1</f>
        <v>690.52760820045557</v>
      </c>
      <c r="T57" s="5">
        <f>(Info!U76/Info!U8)*-1</f>
        <v>785.82488469601674</v>
      </c>
      <c r="U57" s="5">
        <f>(Info!V76/Info!V8)*-1</f>
        <v>632.50556097560968</v>
      </c>
      <c r="V57" s="5">
        <f>(Info!W76/Info!W8)*-1</f>
        <v>638.16235039028618</v>
      </c>
      <c r="W57" s="5">
        <f>(Info!X76/Info!X8)*-1</f>
        <v>437.8026196078431</v>
      </c>
      <c r="X57" s="5">
        <f>(Info!Y76/Info!Y8)*-1</f>
        <v>479.00288517441857</v>
      </c>
      <c r="Y57" s="5">
        <f>(Info!Z76/Info!Z8)*-1</f>
        <v>359.85513049450549</v>
      </c>
      <c r="Z57" s="5">
        <f>(Info!AA76/Info!AA8)*-1</f>
        <v>341.15355687047992</v>
      </c>
      <c r="AA57" s="5">
        <f>(Info!AB76/Info!AB8)*-1</f>
        <v>340.35453192808433</v>
      </c>
      <c r="AB57" s="5">
        <f>(Info!AC76/Info!AC8)*-1</f>
        <v>394.68910065515189</v>
      </c>
    </row>
    <row r="58" spans="1:28" x14ac:dyDescent="0.3"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</row>
    <row r="59" spans="1:28" x14ac:dyDescent="0.3"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</row>
    <row r="60" spans="1:28" x14ac:dyDescent="0.3"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</row>
    <row r="61" spans="1:28" x14ac:dyDescent="0.3"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</row>
    <row r="62" spans="1:28" x14ac:dyDescent="0.3"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</row>
    <row r="63" spans="1:28" x14ac:dyDescent="0.3"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</row>
    <row r="64" spans="1:28" x14ac:dyDescent="0.3"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</row>
    <row r="65" spans="2:15" x14ac:dyDescent="0.3"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</row>
    <row r="66" spans="2:15" x14ac:dyDescent="0.3"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</row>
    <row r="67" spans="2:15" x14ac:dyDescent="0.3"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</row>
    <row r="68" spans="2:15" x14ac:dyDescent="0.3"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</row>
    <row r="69" spans="2:15" x14ac:dyDescent="0.3"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</row>
    <row r="70" spans="2:15" x14ac:dyDescent="0.3"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</row>
    <row r="71" spans="2:15" x14ac:dyDescent="0.3"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</row>
    <row r="72" spans="2:15" x14ac:dyDescent="0.3"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</row>
    <row r="73" spans="2:15" x14ac:dyDescent="0.3"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</row>
    <row r="74" spans="2:15" x14ac:dyDescent="0.3"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</row>
    <row r="75" spans="2:15" x14ac:dyDescent="0.3"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</row>
    <row r="76" spans="2:15" x14ac:dyDescent="0.3"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</row>
    <row r="77" spans="2:15" x14ac:dyDescent="0.3"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</row>
    <row r="78" spans="2:15" x14ac:dyDescent="0.3"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</row>
    <row r="79" spans="2:15" x14ac:dyDescent="0.3"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</row>
    <row r="82" spans="1:28" x14ac:dyDescent="0.3">
      <c r="A82" s="8" t="s">
        <v>51</v>
      </c>
      <c r="B82" t="s">
        <v>52</v>
      </c>
      <c r="C82" t="s">
        <v>53</v>
      </c>
      <c r="D82" t="s">
        <v>54</v>
      </c>
      <c r="E82" t="s">
        <v>55</v>
      </c>
      <c r="F82" t="s">
        <v>56</v>
      </c>
      <c r="G82" t="s">
        <v>57</v>
      </c>
      <c r="H82" t="s">
        <v>58</v>
      </c>
      <c r="I82" t="s">
        <v>59</v>
      </c>
      <c r="J82" t="s">
        <v>60</v>
      </c>
      <c r="K82" t="s">
        <v>61</v>
      </c>
      <c r="L82" t="s">
        <v>62</v>
      </c>
      <c r="M82" t="s">
        <v>63</v>
      </c>
      <c r="N82" t="s">
        <v>64</v>
      </c>
      <c r="O82" t="s">
        <v>65</v>
      </c>
      <c r="P82" t="s">
        <v>101</v>
      </c>
      <c r="Q82" t="s">
        <v>102</v>
      </c>
      <c r="R82" t="s">
        <v>103</v>
      </c>
      <c r="S82" t="s">
        <v>108</v>
      </c>
      <c r="T82" t="s">
        <v>110</v>
      </c>
      <c r="U82" t="s">
        <v>112</v>
      </c>
      <c r="V82" t="s">
        <v>115</v>
      </c>
      <c r="W82" t="s">
        <v>117</v>
      </c>
      <c r="X82" t="s">
        <v>121</v>
      </c>
      <c r="Y82" t="s">
        <v>125</v>
      </c>
      <c r="Z82" t="s">
        <v>127</v>
      </c>
      <c r="AA82" t="s">
        <v>143</v>
      </c>
      <c r="AB82" t="s">
        <v>144</v>
      </c>
    </row>
    <row r="83" spans="1:28" hidden="1" x14ac:dyDescent="0.3">
      <c r="A83" t="s">
        <v>12</v>
      </c>
      <c r="B83" s="5">
        <f>(Info!C90/Info!C5)*-1</f>
        <v>114.12646839418923</v>
      </c>
      <c r="C83" s="5">
        <f>(Info!D90/Info!D5)*-1</f>
        <v>116.50833821519234</v>
      </c>
      <c r="D83" s="5">
        <f>(Info!E90/Info!E5)*-1</f>
        <v>95.456289417682342</v>
      </c>
      <c r="E83" s="5">
        <f>(Info!F90/Info!F5)*-1</f>
        <v>86.077458019687313</v>
      </c>
      <c r="F83" s="5">
        <f>(Info!G90/Info!G5)*-1</f>
        <v>114.39613403060235</v>
      </c>
      <c r="G83" s="5">
        <f>(Info!H90/Info!H5)*-1</f>
        <v>106.80335774865073</v>
      </c>
      <c r="H83" s="5">
        <f>(Info!I90/Info!I5)*-1</f>
        <v>114.11767901708581</v>
      </c>
      <c r="I83" s="5">
        <f>(Info!J90/Info!J5)*-1</f>
        <v>91.839580042381044</v>
      </c>
      <c r="J83" s="5">
        <f>(Info!K90/Info!K5)*-1</f>
        <v>110.64378601613524</v>
      </c>
      <c r="K83" s="5">
        <f>(Info!L90/Info!L5)*-1</f>
        <v>61.593494252873562</v>
      </c>
      <c r="L83" s="5">
        <f>(Info!M90/Info!M5)*-1</f>
        <v>118.7853103709311</v>
      </c>
      <c r="M83" s="5">
        <f>(Info!N90/Info!N5)*-1</f>
        <v>115.88751111111112</v>
      </c>
      <c r="N83" s="5">
        <f>(Info!O90/Info!O5)*-1</f>
        <v>94.684982705261234</v>
      </c>
      <c r="O83" s="5">
        <f>(Info!P90/Info!P5)*-1</f>
        <v>86.072252586073802</v>
      </c>
      <c r="P83" s="5">
        <f>(Info!Q90/Info!Q5)*-1</f>
        <v>71.638872632065301</v>
      </c>
      <c r="Q83" s="5">
        <f>(Info!R90/Info!R5)*-1</f>
        <v>94.270430289944471</v>
      </c>
      <c r="R83" s="5">
        <f>(Info!S90/Info!S5)*-1</f>
        <v>90.945370456303166</v>
      </c>
      <c r="S83" s="5">
        <f>(Info!T90/Info!T5)*-1</f>
        <v>91.988987165610027</v>
      </c>
      <c r="T83" s="5">
        <f>(Info!U90/Info!U5)*-1</f>
        <v>100.08607425819481</v>
      </c>
      <c r="U83" s="5">
        <f>(Info!V90/Info!V5)*-1</f>
        <v>95.00415926445379</v>
      </c>
      <c r="V83" s="5">
        <f>(Info!W90/Info!W5)*-1</f>
        <v>97.088595092983283</v>
      </c>
      <c r="W83" s="5">
        <f>(Info!X90/Info!X5)*-1</f>
        <v>87.541135227982522</v>
      </c>
      <c r="X83" s="5">
        <f>(Info!Y90/Info!Y5)*-1</f>
        <v>95.142225533249686</v>
      </c>
      <c r="Y83" s="5">
        <f>(Info!Z90/Info!Z5)*-1</f>
        <v>116.32369043862418</v>
      </c>
      <c r="Z83" s="5">
        <f>(Info!AA90/Info!AA5)*-1</f>
        <v>101.42892998888712</v>
      </c>
      <c r="AA83" s="5">
        <f>(Info!AB90/Info!AB5)*-1</f>
        <v>76.575403123008286</v>
      </c>
      <c r="AB83" s="5">
        <f>(Info!AC90/Info!AC5)*-1</f>
        <v>84.61457334611697</v>
      </c>
    </row>
    <row r="84" spans="1:28" hidden="1" x14ac:dyDescent="0.3">
      <c r="A84" t="s">
        <v>0</v>
      </c>
      <c r="B84" s="5">
        <f>(Info!C91/Info!C6)*-1</f>
        <v>-13.098074500629837</v>
      </c>
      <c r="C84" s="5">
        <f>(Info!D91/Info!D6)*-1</f>
        <v>30.098439295977009</v>
      </c>
      <c r="D84" s="5">
        <f>(Info!E91/Info!E6)*-1</f>
        <v>36.961385801362496</v>
      </c>
      <c r="E84" s="5">
        <f>(Info!F91/Info!F6)*-1</f>
        <v>44.371812488817319</v>
      </c>
      <c r="F84" s="5">
        <f>(Info!G91/Info!G6)*-1</f>
        <v>27.579420470756066</v>
      </c>
      <c r="G84" s="5">
        <f>(Info!H91/Info!H6)*-1</f>
        <v>21.11034981260039</v>
      </c>
      <c r="H84" s="5">
        <f>(Info!I91/Info!I6)*-1</f>
        <v>49.272724014336916</v>
      </c>
      <c r="I84" s="5">
        <f>(Info!J91/Info!J6)*-1</f>
        <v>36.6254990180325</v>
      </c>
      <c r="J84" s="5">
        <f>(Info!K91/Info!K6)*-1</f>
        <v>78.325064865825482</v>
      </c>
      <c r="K84" s="5">
        <f>(Info!L91/Info!L6)*-1</f>
        <v>48.683575092871045</v>
      </c>
      <c r="L84" s="5">
        <f>(Info!M91/Info!M6)*-1</f>
        <v>52.121409242663859</v>
      </c>
      <c r="M84" s="5">
        <f>(Info!N91/Info!N6)*-1</f>
        <v>-6.8984860006913236</v>
      </c>
      <c r="N84" s="5">
        <f>(Info!O91/Info!O6)*-1</f>
        <v>1.7867183242506812</v>
      </c>
      <c r="O84" s="5">
        <f>(Info!P91/Info!P6)*-1</f>
        <v>-9.3741238645747309</v>
      </c>
      <c r="P84" s="5">
        <f>(Info!Q91/Info!Q6)*-1</f>
        <v>-3.1270288174892351E-2</v>
      </c>
      <c r="Q84" s="5">
        <f>(Info!R91/Info!R6)*-1</f>
        <v>15.993746894152725</v>
      </c>
      <c r="R84" s="5">
        <f>(Info!S91/Info!S6)*-1</f>
        <v>12.414925447316104</v>
      </c>
      <c r="S84" s="5">
        <f>(Info!T91/Info!T6)*-1</f>
        <v>14.635852036575228</v>
      </c>
      <c r="T84" s="5">
        <f>(Info!U91/Info!U6)*-1</f>
        <v>-12.216838774150565</v>
      </c>
      <c r="U84" s="5">
        <f>(Info!V91/Info!V6)*-1</f>
        <v>25.364032901296113</v>
      </c>
      <c r="V84" s="5">
        <f>(Info!W91/Info!W6)*-1</f>
        <v>13.162356273954341</v>
      </c>
      <c r="W84" s="5">
        <f>(Info!X91/Info!X6)*-1</f>
        <v>-2.5036569037656906</v>
      </c>
      <c r="X84" s="5">
        <f>(Info!Y91/Info!Y6)*-1</f>
        <v>9.4026343906510856</v>
      </c>
      <c r="Y84" s="5">
        <f>(Info!Z91/Info!Z6)*-1</f>
        <v>-8.9832386363636356</v>
      </c>
      <c r="Z84" s="5">
        <f>(Info!AA91/Info!AA6)*-1</f>
        <v>-31.513977558197954</v>
      </c>
      <c r="AA84" s="5">
        <f>(Info!AB91/Info!AB6)*-1</f>
        <v>-33.303810399598731</v>
      </c>
      <c r="AB84" s="5">
        <f>(Info!AC91/Info!AC6)*-1</f>
        <v>92.743920845212145</v>
      </c>
    </row>
    <row r="85" spans="1:28" hidden="1" x14ac:dyDescent="0.3">
      <c r="A85" t="s">
        <v>2</v>
      </c>
      <c r="B85" s="5">
        <f>(Info!C92/Info!C7)*-1</f>
        <v>125.66684014869888</v>
      </c>
      <c r="C85" s="5">
        <f>(Info!D92/Info!D7)*-1</f>
        <v>92.390068043172207</v>
      </c>
      <c r="D85" s="5">
        <f>(Info!E92/Info!E7)*-1</f>
        <v>95.704596067282623</v>
      </c>
      <c r="E85" s="5">
        <f>(Info!F92/Info!F7)*-1</f>
        <v>108.85325931232092</v>
      </c>
      <c r="F85" s="5">
        <f>(Info!G92/Info!G7)*-1</f>
        <v>107.72025383141764</v>
      </c>
      <c r="G85" s="5">
        <f>(Info!H92/Info!H7)*-1</f>
        <v>111.4682851637765</v>
      </c>
      <c r="H85" s="5">
        <f>(Info!I92/Info!I7)*-1</f>
        <v>99.482767857142861</v>
      </c>
      <c r="I85" s="5">
        <f>(Info!J92/Info!J7)*-1</f>
        <v>90.305985559566793</v>
      </c>
      <c r="J85" s="5">
        <f>(Info!K92/Info!K7)*-1</f>
        <v>126.08377199325139</v>
      </c>
      <c r="K85" s="5">
        <f>(Info!L92/Info!L7)*-1</f>
        <v>123.61205755395684</v>
      </c>
      <c r="L85" s="5">
        <f>(Info!M92/Info!M7)*-1</f>
        <v>126.32242460796141</v>
      </c>
      <c r="M85" s="5">
        <f>(Info!N92/Info!N7)*-1</f>
        <v>128.36700988666504</v>
      </c>
      <c r="N85" s="5">
        <f>(Info!O92/Info!O7)*-1</f>
        <v>130.20217317896768</v>
      </c>
      <c r="O85" s="5">
        <f>(Info!P92/Info!P7)*-1</f>
        <v>113.77291497060155</v>
      </c>
      <c r="P85" s="5">
        <f>(Info!Q92/Info!Q7)*-1</f>
        <v>96.637672041789685</v>
      </c>
      <c r="Q85" s="5">
        <f>(Info!R92/Info!R7)*-1</f>
        <v>100.83579535095716</v>
      </c>
      <c r="R85" s="5">
        <f>(Info!S92/Info!S7)*-1</f>
        <v>96.441514044302352</v>
      </c>
      <c r="S85" s="5">
        <f>(Info!T92/Info!T7)*-1</f>
        <v>92.291096140671385</v>
      </c>
      <c r="T85" s="5">
        <f>(Info!U92/Info!U7)*-1</f>
        <v>88.296236213235289</v>
      </c>
      <c r="U85" s="5">
        <f>(Info!V92/Info!V7)*-1</f>
        <v>94.112984522984519</v>
      </c>
      <c r="V85" s="5">
        <f>(Info!W92/Info!W7)*-1</f>
        <v>65.051192129629641</v>
      </c>
      <c r="W85" s="5">
        <f>(Info!X92/Info!X7)*-1</f>
        <v>97.568702539017011</v>
      </c>
      <c r="X85" s="5">
        <f>(Info!Y92/Info!Y7)*-1</f>
        <v>86.869808724049449</v>
      </c>
      <c r="Y85" s="5">
        <f>(Info!Z92/Info!Z7)*-1</f>
        <v>96.54153756143225</v>
      </c>
      <c r="Z85" s="5">
        <f>(Info!AA92/Info!AA7)*-1</f>
        <v>78.587662916080632</v>
      </c>
      <c r="AA85" s="5">
        <f>(Info!AB92/Info!AB7)*-1</f>
        <v>85.898129851799581</v>
      </c>
      <c r="AB85" s="5">
        <f>(Info!AC92/Info!AC7)*-1</f>
        <v>77.020113582584003</v>
      </c>
    </row>
    <row r="86" spans="1:28" hidden="1" x14ac:dyDescent="0.3">
      <c r="A86" t="s">
        <v>8</v>
      </c>
      <c r="B86" s="5">
        <f>(Info!C94/Info!C9)*-1</f>
        <v>64.26483652066625</v>
      </c>
      <c r="C86" s="5">
        <f>(Info!D94/Info!D9)*-1</f>
        <v>49.911634674922595</v>
      </c>
      <c r="D86" s="5">
        <f>(Info!E94/Info!E9)*-1</f>
        <v>41.398943443132374</v>
      </c>
      <c r="E86" s="5">
        <f>(Info!F94/Info!F9)*-1</f>
        <v>50.042362842892764</v>
      </c>
      <c r="F86" s="5">
        <f>(Info!G94/Info!G9)*-1</f>
        <v>45.404659161976234</v>
      </c>
      <c r="G86" s="5">
        <f>(Info!H94/Info!H9)*-1</f>
        <v>52.598013827781273</v>
      </c>
      <c r="H86" s="5">
        <f>(Info!I94/Info!I9)*-1</f>
        <v>59.94867469879518</v>
      </c>
      <c r="I86" s="5">
        <f>(Info!J94/Info!J9)*-1</f>
        <v>46.38049744897959</v>
      </c>
      <c r="J86" s="5">
        <f>(Info!K94/Info!K9)*-1</f>
        <v>41.915594315245478</v>
      </c>
      <c r="K86" s="5">
        <f>(Info!L94/Info!L9)*-1</f>
        <v>60.154663648124192</v>
      </c>
      <c r="L86" s="5">
        <f>(Info!M94/Info!M9)*-1</f>
        <v>51.306150385604113</v>
      </c>
      <c r="M86" s="5">
        <f>(Info!N94/Info!N9)*-1</f>
        <v>47.163722860791829</v>
      </c>
      <c r="N86" s="5">
        <f>(Info!O94/Info!O9)*-1</f>
        <v>56.955999999999996</v>
      </c>
      <c r="O86" s="5">
        <f>(Info!P94/Info!P9)*-1</f>
        <v>35.215986478180703</v>
      </c>
      <c r="P86" s="5">
        <f>(Info!Q94/Info!Q9)*-1</f>
        <v>52.130822510822505</v>
      </c>
      <c r="Q86" s="5">
        <f>(Info!R94/Info!R9)*-1</f>
        <v>56.912051756007394</v>
      </c>
      <c r="R86" s="5">
        <f>(Info!S94/Info!S9)*-1</f>
        <v>44.454760720944691</v>
      </c>
      <c r="S86" s="5">
        <f>(Info!T94/Info!T9)*-1</f>
        <v>48.143389513108616</v>
      </c>
      <c r="T86" s="5">
        <f>(Info!U94/Info!U9)*-1</f>
        <v>77.110988664987403</v>
      </c>
      <c r="U86" s="5">
        <f>(Info!V94/Info!V9)*-1</f>
        <v>50.774901462174185</v>
      </c>
      <c r="V86" s="5">
        <f>(Info!W94/Info!W9)*-1</f>
        <v>41.791415759128768</v>
      </c>
      <c r="W86" s="5">
        <f>(Info!X94/Info!X9)*-1</f>
        <v>51.362301228183576</v>
      </c>
      <c r="X86" s="5">
        <f>(Info!Y94/Info!Y9)*-1</f>
        <v>60.210246913580249</v>
      </c>
      <c r="Y86" s="5">
        <f>(Info!Z94/Info!Z9)*-1</f>
        <v>48.633265839320707</v>
      </c>
      <c r="Z86" s="5">
        <f>(Info!AA94/Info!AA9)*-1</f>
        <v>41.964173228346461</v>
      </c>
      <c r="AA86" s="5">
        <f>(Info!AB94/Info!AB9)*-1</f>
        <v>53.573140770252323</v>
      </c>
      <c r="AB86" s="5">
        <f>(Info!AC94/Info!AC9)*-1</f>
        <v>52.306462358427716</v>
      </c>
    </row>
    <row r="87" spans="1:28" hidden="1" x14ac:dyDescent="0.3">
      <c r="A87" t="s">
        <v>4</v>
      </c>
      <c r="B87" s="5">
        <f>(Info!C95/Info!C10)*-1</f>
        <v>122.22482598039215</v>
      </c>
      <c r="C87" s="5">
        <f>(Info!D95/Info!D10)*-1</f>
        <v>110.274585995086</v>
      </c>
      <c r="D87" s="5">
        <f>(Info!E95/Info!E10)*-1</f>
        <v>112.32850154035737</v>
      </c>
      <c r="E87" s="5">
        <f>(Info!F95/Info!F10)*-1</f>
        <v>124.55471858800296</v>
      </c>
      <c r="F87" s="5">
        <f>(Info!G95/Info!G10)*-1</f>
        <v>127.87009617755857</v>
      </c>
      <c r="G87" s="5">
        <f>(Info!H95/Info!H10)*-1</f>
        <v>123.23750926154605</v>
      </c>
      <c r="H87" s="5">
        <f>(Info!I95/Info!I10)*-1</f>
        <v>115.33471903174015</v>
      </c>
      <c r="I87" s="5">
        <f>(Info!J95/Info!J10)*-1</f>
        <v>106.97406215178903</v>
      </c>
      <c r="J87" s="5">
        <f>(Info!K95/Info!K10)*-1</f>
        <v>105.38395670995672</v>
      </c>
      <c r="K87" s="5">
        <f>(Info!L95/Info!L10)*-1</f>
        <v>124.18609107692308</v>
      </c>
      <c r="L87" s="5">
        <f>(Info!M95/Info!M10)*-1</f>
        <v>118.15411294291339</v>
      </c>
      <c r="M87" s="5">
        <f>(Info!N95/Info!N10)*-1</f>
        <v>114.92300369003691</v>
      </c>
      <c r="N87" s="5">
        <f>(Info!O95/Info!O10)*-1</f>
        <v>104.88109597447227</v>
      </c>
      <c r="O87" s="5">
        <f>(Info!P95/Info!P10)*-1</f>
        <v>106.53104799216455</v>
      </c>
      <c r="P87" s="5">
        <f>(Info!Q95/Info!Q10)*-1</f>
        <v>107.20049100036734</v>
      </c>
      <c r="Q87" s="5">
        <f>(Info!R95/Info!R10)*-1</f>
        <v>111.36278842632157</v>
      </c>
      <c r="R87" s="5">
        <f>(Info!S95/Info!S10)*-1</f>
        <v>109.67045560034201</v>
      </c>
      <c r="S87" s="5">
        <f>(Info!T95/Info!T10)*-1</f>
        <v>114.06831759656653</v>
      </c>
      <c r="T87" s="5">
        <f>(Info!U95/Info!U10)*-1</f>
        <v>127.23254395671954</v>
      </c>
      <c r="U87" s="5">
        <f>(Info!V95/Info!V10)*-1</f>
        <v>111.48789888055111</v>
      </c>
      <c r="V87" s="5">
        <f>(Info!W95/Info!W10)*-1</f>
        <v>100.36520677383727</v>
      </c>
      <c r="W87" s="5">
        <f>(Info!X95/Info!X10)*-1</f>
        <v>114.08279602843834</v>
      </c>
      <c r="X87" s="5">
        <f>(Info!Y95/Info!Y10)*-1</f>
        <v>131.4200994719391</v>
      </c>
      <c r="Y87" s="5">
        <f>(Info!Z95/Info!Z10)*-1</f>
        <v>109.60552560315116</v>
      </c>
      <c r="Z87" s="5">
        <f>(Info!AA95/Info!AA10)*-1</f>
        <v>120.28058234421364</v>
      </c>
      <c r="AA87" s="5">
        <f>(Info!AB95/Info!AB10)*-1</f>
        <v>102.38161210008714</v>
      </c>
      <c r="AB87" s="5">
        <f>(Info!AC95/Info!AC10)*-1</f>
        <v>114.18828817580223</v>
      </c>
    </row>
    <row r="88" spans="1:28" hidden="1" x14ac:dyDescent="0.3">
      <c r="A88" t="s">
        <v>7</v>
      </c>
      <c r="B88" s="5">
        <f>(Info!C96/Info!C11)*-1</f>
        <v>117.1171289654073</v>
      </c>
      <c r="C88" s="5">
        <f>(Info!D96/Info!D11)*-1</f>
        <v>116.72879504683284</v>
      </c>
      <c r="D88" s="5">
        <f>(Info!E96/Info!E11)*-1</f>
        <v>129.78193055113093</v>
      </c>
      <c r="E88" s="5">
        <f>(Info!F96/Info!F11)*-1</f>
        <v>109.68475594294772</v>
      </c>
      <c r="F88" s="5">
        <f>(Info!G96/Info!G11)*-1</f>
        <v>127.55215655205198</v>
      </c>
      <c r="G88" s="5">
        <f>(Info!H96/Info!H11)*-1</f>
        <v>127.64478899952583</v>
      </c>
      <c r="H88" s="5">
        <f>(Info!I96/Info!I11)*-1</f>
        <v>109.84075620946054</v>
      </c>
      <c r="I88" s="5">
        <f>(Info!J96/Info!J11)*-1</f>
        <v>107.33647465076128</v>
      </c>
      <c r="J88" s="5">
        <f>(Info!K96/Info!K11)*-1</f>
        <v>99.812320570454204</v>
      </c>
      <c r="K88" s="5">
        <f>(Info!L96/Info!L11)*-1</f>
        <v>98.512709578544076</v>
      </c>
      <c r="L88" s="5">
        <f>(Info!M96/Info!M11)*-1</f>
        <v>113.5195069570478</v>
      </c>
      <c r="M88" s="5">
        <f>(Info!N96/Info!N11)*-1</f>
        <v>101.74356090225565</v>
      </c>
      <c r="N88" s="5">
        <f>(Info!O96/Info!O11)*-1</f>
        <v>88.336191904047979</v>
      </c>
      <c r="O88" s="5">
        <f>(Info!P96/Info!P11)*-1</f>
        <v>91.21272619224483</v>
      </c>
      <c r="P88" s="5">
        <f>(Info!Q96/Info!Q11)*-1</f>
        <v>86.140131773763684</v>
      </c>
      <c r="Q88" s="5">
        <f>(Info!R96/Info!R11)*-1</f>
        <v>104.79243401759531</v>
      </c>
      <c r="R88" s="5">
        <f>(Info!S96/Info!S11)*-1</f>
        <v>100.32496185446008</v>
      </c>
      <c r="S88" s="5">
        <f>(Info!T96/Info!T11)*-1</f>
        <v>104.11237006842335</v>
      </c>
      <c r="T88" s="5">
        <f>(Info!U96/Info!U11)*-1</f>
        <v>84.982191582002912</v>
      </c>
      <c r="U88" s="5">
        <f>(Info!V96/Info!V11)*-1</f>
        <v>103.6783658040128</v>
      </c>
      <c r="V88" s="5">
        <f>(Info!W96/Info!W11)*-1</f>
        <v>111.8325339693553</v>
      </c>
      <c r="W88" s="5">
        <f>(Info!X96/Info!X11)*-1</f>
        <v>83.670435158501434</v>
      </c>
      <c r="X88" s="5">
        <f>(Info!Y96/Info!Y11)*-1</f>
        <v>124.02936118288832</v>
      </c>
      <c r="Y88" s="5">
        <f>(Info!Z96/Info!Z11)*-1</f>
        <v>107.93908790102144</v>
      </c>
      <c r="Z88" s="5">
        <f>(Info!AA96/Info!AA11)*-1</f>
        <v>115.92113945821987</v>
      </c>
      <c r="AA88" s="5">
        <f>(Info!AB96/Info!AB11)*-1</f>
        <v>85.549038875340699</v>
      </c>
      <c r="AB88" s="5">
        <f>(Info!AC96/Info!AC11)*-1</f>
        <v>87.074759649878033</v>
      </c>
    </row>
    <row r="89" spans="1:28" hidden="1" x14ac:dyDescent="0.3">
      <c r="A89" t="s">
        <v>6</v>
      </c>
      <c r="B89" s="5">
        <f>(Info!C97/Info!C12)*-1</f>
        <v>81.109864389753895</v>
      </c>
      <c r="C89" s="5">
        <f>(Info!D97/Info!D12)*-1</f>
        <v>77.988256652573995</v>
      </c>
      <c r="D89" s="5">
        <f>(Info!E97/Info!E12)*-1</f>
        <v>85.665954422935556</v>
      </c>
      <c r="E89" s="5">
        <f>(Info!F97/Info!F12)*-1</f>
        <v>75.022383945841398</v>
      </c>
      <c r="F89" s="5">
        <f>(Info!G97/Info!G12)*-1</f>
        <v>88.795241312741311</v>
      </c>
      <c r="G89" s="5">
        <f>(Info!H97/Info!H12)*-1</f>
        <v>89.439464544138929</v>
      </c>
      <c r="H89" s="5">
        <f>(Info!I97/Info!I12)*-1</f>
        <v>74.415283574760622</v>
      </c>
      <c r="I89" s="5">
        <f>(Info!J97/Info!J12)*-1</f>
        <v>90.509177810797425</v>
      </c>
      <c r="J89" s="5">
        <f>(Info!K97/Info!K12)*-1</f>
        <v>81.190312423124226</v>
      </c>
      <c r="K89" s="5">
        <f>(Info!L97/Info!L12)*-1</f>
        <v>82.694830197898852</v>
      </c>
      <c r="L89" s="5">
        <f>(Info!M97/Info!M12)*-1</f>
        <v>89.414818514007308</v>
      </c>
      <c r="M89" s="5">
        <f>(Info!N97/Info!N12)*-1</f>
        <v>78.315708353688322</v>
      </c>
      <c r="N89" s="5">
        <f>(Info!O97/Info!O12)*-1</f>
        <v>70.35839503166099</v>
      </c>
      <c r="O89" s="5">
        <f>(Info!P97/Info!P12)*-1</f>
        <v>80.730704157654415</v>
      </c>
      <c r="P89" s="5">
        <f>(Info!Q97/Info!Q12)*-1</f>
        <v>65.371350443751496</v>
      </c>
      <c r="Q89" s="5">
        <f>(Info!R97/Info!R12)*-1</f>
        <v>75.532548879351452</v>
      </c>
      <c r="R89" s="5">
        <f>(Info!S97/Info!S12)*-1</f>
        <v>70.236500000000007</v>
      </c>
      <c r="S89" s="5">
        <f>(Info!T97/Info!T12)*-1</f>
        <v>80.626873666745681</v>
      </c>
      <c r="T89" s="5">
        <f>(Info!U97/Info!U12)*-1</f>
        <v>97.757085700757571</v>
      </c>
      <c r="U89" s="5">
        <f>(Info!V97/Info!V12)*-1</f>
        <v>58.496417238929666</v>
      </c>
      <c r="V89" s="5">
        <f>(Info!W97/Info!W12)*-1</f>
        <v>67.482913237714556</v>
      </c>
      <c r="W89" s="5">
        <f>(Info!X97/Info!X12)*-1</f>
        <v>93.116419695193443</v>
      </c>
      <c r="X89" s="5">
        <f>(Info!Y97/Info!Y12)*-1</f>
        <v>59.9617587822014</v>
      </c>
      <c r="Y89" s="5">
        <f>(Info!Z97/Info!Z12)*-1</f>
        <v>77.763635514018688</v>
      </c>
      <c r="Z89" s="5">
        <f>(Info!AA97/Info!AA12)*-1</f>
        <v>72.417892648774796</v>
      </c>
      <c r="AA89" s="5">
        <f>(Info!AB97/Info!AB12)*-1</f>
        <v>71.812658959537572</v>
      </c>
      <c r="AB89" s="5">
        <f>(Info!AC97/Info!AC12)*-1</f>
        <v>82.991920590951068</v>
      </c>
    </row>
    <row r="90" spans="1:28" hidden="1" x14ac:dyDescent="0.3">
      <c r="A90" t="s">
        <v>5</v>
      </c>
      <c r="B90" s="5">
        <f>(Info!C98/Info!C13)*-1</f>
        <v>80.721575255102039</v>
      </c>
      <c r="C90" s="5">
        <f>(Info!D98/Info!D13)*-1</f>
        <v>83.497137380191703</v>
      </c>
      <c r="D90" s="5">
        <f>(Info!E98/Info!E13)*-1</f>
        <v>79.389045483664319</v>
      </c>
      <c r="E90" s="5">
        <f>(Info!F98/Info!F13)*-1</f>
        <v>78.760616174582793</v>
      </c>
      <c r="F90" s="5">
        <f>(Info!G98/Info!G13)*-1</f>
        <v>82.65184278350516</v>
      </c>
      <c r="G90" s="5">
        <f>(Info!H98/Info!H13)*-1</f>
        <v>72.638021907216498</v>
      </c>
      <c r="H90" s="5">
        <f>(Info!I98/Info!I13)*-1</f>
        <v>68.537991099809275</v>
      </c>
      <c r="I90" s="5">
        <f>(Info!J98/Info!J13)*-1</f>
        <v>75.549242424242422</v>
      </c>
      <c r="J90" s="5">
        <f>(Info!K98/Info!K13)*-1</f>
        <v>82.253337579617835</v>
      </c>
      <c r="K90" s="5">
        <f>(Info!L98/Info!L13)*-1</f>
        <v>81.698763474952443</v>
      </c>
      <c r="L90" s="5">
        <f>(Info!M98/Info!M13)*-1</f>
        <v>81.279144486692019</v>
      </c>
      <c r="M90" s="5">
        <f>(Info!N98/Info!N13)*-1</f>
        <v>74.88377877237852</v>
      </c>
      <c r="N90" s="5">
        <f>(Info!O98/Info!O13)*-1</f>
        <v>69.035904700579522</v>
      </c>
      <c r="O90" s="5">
        <f>(Info!P98/Info!P13)*-1</f>
        <v>59.835706940874033</v>
      </c>
      <c r="P90" s="5">
        <f>(Info!Q98/Info!Q13)*-1</f>
        <v>83.793132220795897</v>
      </c>
      <c r="Q90" s="5">
        <f>(Info!R98/Info!R13)*-1</f>
        <v>72.972322910019145</v>
      </c>
      <c r="R90" s="5">
        <f>(Info!S98/Info!S13)*-1</f>
        <v>72.383528654217642</v>
      </c>
      <c r="S90" s="5">
        <f>(Info!T98/Info!T13)*-1</f>
        <v>78.243101881894873</v>
      </c>
      <c r="T90" s="5">
        <f>(Info!U98/Info!U13)*-1</f>
        <v>113.80348475016224</v>
      </c>
      <c r="U90" s="5">
        <f>(Info!V98/Info!V13)*-1</f>
        <v>43.009265756985052</v>
      </c>
      <c r="V90" s="5">
        <f>(Info!W98/Info!W13)*-1</f>
        <v>68.258739441195573</v>
      </c>
      <c r="W90" s="5">
        <f>(Info!X98/Info!X13)*-1</f>
        <v>69.464629993451211</v>
      </c>
      <c r="X90" s="5">
        <f>(Info!Y98/Info!Y13)*-1</f>
        <v>90.039236339697169</v>
      </c>
      <c r="Y90" s="5">
        <f>(Info!Z98/Info!Z13)*-1</f>
        <v>100.74251489080079</v>
      </c>
      <c r="Z90" s="5">
        <f>(Info!AA98/Info!AA13)*-1</f>
        <v>68.100314136125647</v>
      </c>
      <c r="AA90" s="5">
        <f>(Info!AB98/Info!AB13)*-1</f>
        <v>73.266911096690464</v>
      </c>
      <c r="AB90" s="5">
        <f>(Info!AC98/Info!AC13)*-1</f>
        <v>56.282736156351788</v>
      </c>
    </row>
    <row r="91" spans="1:28" hidden="1" x14ac:dyDescent="0.3">
      <c r="A91" t="s">
        <v>11</v>
      </c>
      <c r="B91" s="5">
        <f>(Info!C99/Info!C14)*-1</f>
        <v>64.330278029616196</v>
      </c>
      <c r="C91" s="5">
        <f>(Info!D99/Info!D14)*-1</f>
        <v>65.92739451476794</v>
      </c>
      <c r="D91" s="5">
        <f>(Info!E99/Info!E14)*-1</f>
        <v>61.34451071482092</v>
      </c>
      <c r="E91" s="5">
        <f>(Info!F99/Info!F14)*-1</f>
        <v>67.295455772113939</v>
      </c>
      <c r="F91" s="5">
        <f>(Info!G99/Info!G14)*-1</f>
        <v>66.636295683561428</v>
      </c>
      <c r="G91" s="5">
        <f>(Info!H99/Info!H14)*-1</f>
        <v>71.131216947115391</v>
      </c>
      <c r="H91" s="5">
        <f>(Info!I99/Info!I14)*-1</f>
        <v>70.777940469031861</v>
      </c>
      <c r="I91" s="5">
        <f>(Info!J99/Info!J14)*-1</f>
        <v>51.897017041170258</v>
      </c>
      <c r="J91" s="5">
        <f>(Info!K99/Info!K14)*-1</f>
        <v>84.979493632958807</v>
      </c>
      <c r="K91" s="5">
        <f>(Info!L99/Info!L14)*-1</f>
        <v>68.375565347274076</v>
      </c>
      <c r="L91" s="5">
        <f>(Info!M99/Info!M14)*-1</f>
        <v>69.154017843866171</v>
      </c>
      <c r="M91" s="5">
        <f>(Info!N99/Info!N14)*-1</f>
        <v>70.613353063036399</v>
      </c>
      <c r="N91" s="5">
        <f>(Info!O99/Info!O14)*-1</f>
        <v>66.352452969930383</v>
      </c>
      <c r="O91" s="5">
        <f>(Info!P99/Info!P14)*-1</f>
        <v>62.708568363844392</v>
      </c>
      <c r="P91" s="5">
        <f>(Info!Q99/Info!Q14)*-1</f>
        <v>70.750993842188166</v>
      </c>
      <c r="Q91" s="5">
        <f>(Info!R99/Info!R14)*-1</f>
        <v>66.620469355533231</v>
      </c>
      <c r="R91" s="5">
        <f>(Info!S99/Info!S14)*-1</f>
        <v>72.493070843512001</v>
      </c>
      <c r="S91" s="5">
        <f>(Info!T99/Info!T14)*-1</f>
        <v>74.92419458199825</v>
      </c>
      <c r="T91" s="5">
        <f>(Info!U99/Info!U14)*-1</f>
        <v>78.691731620903454</v>
      </c>
      <c r="U91" s="5">
        <f>(Info!V99/Info!V14)*-1</f>
        <v>57.561488379022649</v>
      </c>
      <c r="V91" s="5">
        <f>(Info!W99/Info!W14)*-1</f>
        <v>76.598561827956985</v>
      </c>
      <c r="W91" s="5">
        <f>(Info!X99/Info!X14)*-1</f>
        <v>95.234852276153148</v>
      </c>
      <c r="X91" s="5">
        <f>(Info!Y99/Info!Y14)*-1</f>
        <v>84.021558500914082</v>
      </c>
      <c r="Y91" s="5">
        <f>(Info!Z99/Info!Z14)*-1</f>
        <v>65.501710264647386</v>
      </c>
      <c r="Z91" s="5">
        <f>(Info!AA99/Info!AA14)*-1</f>
        <v>77.197799722265088</v>
      </c>
      <c r="AA91" s="5">
        <f>(Info!AB99/Info!AB14)*-1</f>
        <v>65.240643610421827</v>
      </c>
      <c r="AB91" s="5">
        <f>(Info!AC99/Info!AC14)*-1</f>
        <v>71.882133416264963</v>
      </c>
    </row>
    <row r="92" spans="1:28" hidden="1" x14ac:dyDescent="0.3">
      <c r="A92" t="s">
        <v>1</v>
      </c>
      <c r="B92" s="5">
        <f>(Info!C100/Info!C15)*-1</f>
        <v>103.54364115673431</v>
      </c>
      <c r="C92" s="5">
        <f>(Info!D100/Info!D15)*-1</f>
        <v>108.24362967700672</v>
      </c>
      <c r="D92" s="5">
        <f>(Info!E100/Info!E15)*-1</f>
        <v>96.56913475404582</v>
      </c>
      <c r="E92" s="5">
        <f>(Info!F100/Info!F15)*-1</f>
        <v>98.711486206346677</v>
      </c>
      <c r="F92" s="5">
        <f>(Info!G100/Info!G15)*-1</f>
        <v>96.248929424884508</v>
      </c>
      <c r="G92" s="5">
        <f>(Info!H100/Info!H15)*-1</f>
        <v>104.82401780038143</v>
      </c>
      <c r="H92" s="5">
        <f>(Info!I100/Info!I15)*-1</f>
        <v>86.352898619704888</v>
      </c>
      <c r="I92" s="5">
        <f>(Info!J100/Info!J15)*-1</f>
        <v>84.180908802537672</v>
      </c>
      <c r="J92" s="5">
        <f>(Info!K100/Info!K15)*-1</f>
        <v>98.353168581772394</v>
      </c>
      <c r="K92" s="5">
        <f>(Info!L100/Info!L15)*-1</f>
        <v>91.757658445207625</v>
      </c>
      <c r="L92" s="5">
        <f>(Info!M100/Info!M15)*-1</f>
        <v>109.66521725587914</v>
      </c>
      <c r="M92" s="5">
        <f>(Info!N100/Info!N15)*-1</f>
        <v>110.32269416342413</v>
      </c>
      <c r="N92" s="5">
        <f>(Info!O100/Info!O15)*-1</f>
        <v>79.211809435133461</v>
      </c>
      <c r="O92" s="5">
        <f>(Info!P100/Info!P15)*-1</f>
        <v>77.711659770114949</v>
      </c>
      <c r="P92" s="5">
        <f>(Info!Q100/Info!Q15)*-1</f>
        <v>85.035640828856472</v>
      </c>
      <c r="Q92" s="5">
        <f>(Info!R100/Info!R15)*-1</f>
        <v>83.403431237570743</v>
      </c>
      <c r="R92" s="5">
        <f>(Info!S100/Info!S15)*-1</f>
        <v>85.847639780018341</v>
      </c>
      <c r="S92" s="5">
        <f>(Info!T100/Info!T15)*-1</f>
        <v>83.459277845777223</v>
      </c>
      <c r="T92" s="5">
        <f>(Info!U100/Info!U15)*-1</f>
        <v>93.564587423312886</v>
      </c>
      <c r="U92" s="5">
        <f>(Info!V100/Info!V15)*-1</f>
        <v>74.062291154791154</v>
      </c>
      <c r="V92" s="5">
        <f>(Info!W100/Info!W15)*-1</f>
        <v>92.06372464658881</v>
      </c>
      <c r="W92" s="5">
        <f>(Info!X100/Info!X15)*-1</f>
        <v>81.096969183359008</v>
      </c>
      <c r="X92" s="5">
        <f>(Info!Y100/Info!Y15)*-1</f>
        <v>98.5074139262004</v>
      </c>
      <c r="Y92" s="5">
        <f>(Info!Z100/Info!Z15)*-1</f>
        <v>88.260560037232381</v>
      </c>
      <c r="Z92" s="5">
        <f>(Info!AA100/Info!AA15)*-1</f>
        <v>95.456985981308407</v>
      </c>
      <c r="AA92" s="5">
        <f>(Info!AB100/Info!AB15)*-1</f>
        <v>85.292461996552262</v>
      </c>
      <c r="AB92" s="5">
        <f>(Info!AC100/Info!AC15)*-1</f>
        <v>82.818581293157564</v>
      </c>
    </row>
    <row r="93" spans="1:28" hidden="1" x14ac:dyDescent="0.3">
      <c r="A93" t="s">
        <v>10</v>
      </c>
      <c r="B93" s="5">
        <f>(Info!C101/Info!C16)*-1</f>
        <v>109.35919570267131</v>
      </c>
      <c r="C93" s="5">
        <f>(Info!D101/Info!D16)*-1</f>
        <v>116.64419965576592</v>
      </c>
      <c r="D93" s="5">
        <f>(Info!E101/Info!E16)*-1</f>
        <v>103.28809255079007</v>
      </c>
      <c r="E93" s="5">
        <f>(Info!F101/Info!F16)*-1</f>
        <v>96.450969613259673</v>
      </c>
      <c r="F93" s="5">
        <f>(Info!G101/Info!G16)*-1</f>
        <v>100.34069558101473</v>
      </c>
      <c r="G93" s="5">
        <f>(Info!H101/Info!H16)*-1</f>
        <v>89.716731955996778</v>
      </c>
      <c r="H93" s="5">
        <f>(Info!I101/Info!I16)*-1</f>
        <v>88.12254709472009</v>
      </c>
      <c r="I93" s="5">
        <f>(Info!J101/Info!J16)*-1</f>
        <v>76.798445257381772</v>
      </c>
      <c r="J93" s="5">
        <f>(Info!K101/Info!K16)*-1</f>
        <v>103.48542433537831</v>
      </c>
      <c r="K93" s="5">
        <f>(Info!L101/Info!L16)*-1</f>
        <v>87.654948916022931</v>
      </c>
      <c r="L93" s="5">
        <f>(Info!M101/Info!M16)*-1</f>
        <v>100.13409333981527</v>
      </c>
      <c r="M93" s="5">
        <f>(Info!N101/Info!N16)*-1</f>
        <v>99.093829736211035</v>
      </c>
      <c r="N93" s="5">
        <f>(Info!O101/Info!O16)*-1</f>
        <v>94.345546597106946</v>
      </c>
      <c r="O93" s="5">
        <f>(Info!P101/Info!P16)*-1</f>
        <v>88.966934156378599</v>
      </c>
      <c r="P93" s="5">
        <f>(Info!Q101/Info!Q16)*-1</f>
        <v>97.04274994383286</v>
      </c>
      <c r="Q93" s="5">
        <f>(Info!R101/Info!R16)*-1</f>
        <v>103.27816362827923</v>
      </c>
      <c r="R93" s="5">
        <f>(Info!S101/Info!S16)*-1</f>
        <v>102.82883663917985</v>
      </c>
      <c r="S93" s="5">
        <f>(Info!T101/Info!T16)*-1</f>
        <v>113.20078836331335</v>
      </c>
      <c r="T93" s="5">
        <f>(Info!U101/Info!U16)*-1</f>
        <v>96.361647526501756</v>
      </c>
      <c r="U93" s="5">
        <f>(Info!V101/Info!V16)*-1</f>
        <v>111.86164540255169</v>
      </c>
      <c r="V93" s="5">
        <f>(Info!W101/Info!W16)*-1</f>
        <v>116.07707295951505</v>
      </c>
      <c r="W93" s="5">
        <f>(Info!X101/Info!X16)*-1</f>
        <v>89.13442188501817</v>
      </c>
      <c r="X93" s="5">
        <f>(Info!Y101/Info!Y16)*-1</f>
        <v>140.19385171021881</v>
      </c>
      <c r="Y93" s="5">
        <f>(Info!Z101/Info!Z16)*-1</f>
        <v>135.35235021097046</v>
      </c>
      <c r="Z93" s="5">
        <f>(Info!AA101/Info!AA16)*-1</f>
        <v>103.52573911222781</v>
      </c>
      <c r="AA93" s="5">
        <f>(Info!AB101/Info!AB16)*-1</f>
        <v>120.3064504054897</v>
      </c>
      <c r="AB93" s="5">
        <f>(Info!AC101/Info!AC16)*-1</f>
        <v>96.775232198142419</v>
      </c>
    </row>
    <row r="94" spans="1:28" hidden="1" x14ac:dyDescent="0.3">
      <c r="A94" t="s">
        <v>9</v>
      </c>
      <c r="B94" s="5">
        <f>(Info!C102/Info!C17)*-1</f>
        <v>81.010715272978587</v>
      </c>
      <c r="C94" s="5">
        <f>(Info!D102/Info!D17)*-1</f>
        <v>81.866671280276819</v>
      </c>
      <c r="D94" s="5">
        <f>(Info!E102/Info!E17)*-1</f>
        <v>77.721468096143866</v>
      </c>
      <c r="E94" s="5">
        <f>(Info!F102/Info!F17)*-1</f>
        <v>88.675166637886377</v>
      </c>
      <c r="F94" s="5">
        <f>(Info!G102/Info!G17)*-1</f>
        <v>80.075060902384635</v>
      </c>
      <c r="G94" s="5">
        <f>(Info!H102/Info!H17)*-1</f>
        <v>73.531977420458432</v>
      </c>
      <c r="H94" s="5">
        <f>(Info!I102/Info!I17)*-1</f>
        <v>81.096593819361445</v>
      </c>
      <c r="I94" s="5">
        <f>(Info!J102/Info!J17)*-1</f>
        <v>69.425476068812799</v>
      </c>
      <c r="J94" s="5">
        <f>(Info!K102/Info!K17)*-1</f>
        <v>65.369263104152481</v>
      </c>
      <c r="K94" s="5">
        <f>(Info!L102/Info!L17)*-1</f>
        <v>78.899462420818352</v>
      </c>
      <c r="L94" s="5">
        <f>(Info!M102/Info!M17)*-1</f>
        <v>78.172277701778384</v>
      </c>
      <c r="M94" s="5">
        <f>(Info!N102/Info!N17)*-1</f>
        <v>77.437099367196851</v>
      </c>
      <c r="N94" s="5">
        <f>(Info!O102/Info!O17)*-1</f>
        <v>63.511618477331048</v>
      </c>
      <c r="O94" s="5">
        <f>(Info!P102/Info!P17)*-1</f>
        <v>83.242098850180199</v>
      </c>
      <c r="P94" s="5">
        <f>(Info!Q102/Info!Q17)*-1</f>
        <v>73.800156977747108</v>
      </c>
      <c r="Q94" s="5">
        <f>(Info!R102/Info!R17)*-1</f>
        <v>86.605086236633312</v>
      </c>
      <c r="R94" s="5">
        <f>(Info!S102/Info!S17)*-1</f>
        <v>78.631962407311605</v>
      </c>
      <c r="S94" s="5">
        <f>(Info!T102/Info!T17)*-1</f>
        <v>94.370216262975774</v>
      </c>
      <c r="T94" s="5">
        <f>(Info!U102/Info!U17)*-1</f>
        <v>77.754229173867955</v>
      </c>
      <c r="U94" s="5">
        <f>(Info!V102/Info!V17)*-1</f>
        <v>65.056759243186946</v>
      </c>
      <c r="V94" s="5">
        <f>(Info!W102/Info!W17)*-1</f>
        <v>83.989865806901349</v>
      </c>
      <c r="W94" s="5">
        <f>(Info!X102/Info!X17)*-1</f>
        <v>85.203931698774085</v>
      </c>
      <c r="X94" s="5">
        <f>(Info!Y102/Info!Y17)*-1</f>
        <v>77.274861111111107</v>
      </c>
      <c r="Y94" s="5">
        <f>(Info!Z102/Info!Z17)*-1</f>
        <v>92.384092595864999</v>
      </c>
      <c r="Z94" s="5">
        <f>(Info!AA102/Info!AA17)*-1</f>
        <v>76.069279503105591</v>
      </c>
      <c r="AA94" s="5">
        <f>(Info!AB102/Info!AB17)*-1</f>
        <v>72.13315780110301</v>
      </c>
      <c r="AB94" s="5">
        <f>(Info!AC102/Info!AC17)*-1</f>
        <v>71.320469500266768</v>
      </c>
    </row>
    <row r="95" spans="1:28" hidden="1" x14ac:dyDescent="0.3">
      <c r="A95" t="s">
        <v>3</v>
      </c>
      <c r="B95" s="5">
        <f>(Info!C103/Info!C18)*-1</f>
        <v>88.73070502749411</v>
      </c>
      <c r="C95" s="5">
        <f>(Info!D103/Info!D18)*-1</f>
        <v>102.97625024553133</v>
      </c>
      <c r="D95" s="5">
        <f>(Info!E103/Info!E18)*-1</f>
        <v>100.21762045231071</v>
      </c>
      <c r="E95" s="5">
        <f>(Info!F103/Info!F18)*-1</f>
        <v>106.7581828955165</v>
      </c>
      <c r="F95" s="5">
        <f>(Info!G103/Info!G18)*-1</f>
        <v>108.16819260431086</v>
      </c>
      <c r="G95" s="5">
        <f>(Info!H103/Info!H18)*-1</f>
        <v>110.21693296420803</v>
      </c>
      <c r="H95" s="5">
        <f>(Info!I103/Info!I18)*-1</f>
        <v>100.03630589631975</v>
      </c>
      <c r="I95" s="5">
        <f>(Info!J103/Info!J18)*-1</f>
        <v>104.37785530737298</v>
      </c>
      <c r="J95" s="5">
        <f>(Info!K103/Info!K18)*-1</f>
        <v>112.16815659068384</v>
      </c>
      <c r="K95" s="5">
        <f>(Info!L103/Info!L18)*-1</f>
        <v>111.83442368839427</v>
      </c>
      <c r="L95" s="5">
        <f>(Info!M103/Info!M18)*-1</f>
        <v>118.88244289970208</v>
      </c>
      <c r="M95" s="5">
        <f>(Info!N103/Info!N18)*-1</f>
        <v>114.93449318316537</v>
      </c>
      <c r="N95" s="5">
        <f>(Info!O103/Info!O18)*-1</f>
        <v>101.91225360458226</v>
      </c>
      <c r="O95" s="5">
        <f>(Info!P103/Info!P18)*-1</f>
        <v>104.89728028503563</v>
      </c>
      <c r="P95" s="5">
        <f>(Info!Q103/Info!Q18)*-1</f>
        <v>103.74075862068965</v>
      </c>
      <c r="Q95" s="5">
        <f>(Info!R103/Info!R18)*-1</f>
        <v>105.91245704127988</v>
      </c>
      <c r="R95" s="5">
        <f>(Info!S103/Info!S18)*-1</f>
        <v>107.56630815109345</v>
      </c>
      <c r="S95" s="5">
        <f>(Info!T103/Info!T18)*-1</f>
        <v>110.07904384050782</v>
      </c>
      <c r="T95" s="5">
        <f>(Info!U103/Info!U18)*-1</f>
        <v>95.99402584493042</v>
      </c>
      <c r="U95" s="5">
        <f>(Info!V103/Info!V18)*-1</f>
        <v>90.922137450199202</v>
      </c>
      <c r="V95" s="5">
        <f>(Info!W103/Info!W18)*-1</f>
        <v>126.830296694544</v>
      </c>
      <c r="W95" s="5">
        <f>(Info!X103/Info!X18)*-1</f>
        <v>96.607157390783954</v>
      </c>
      <c r="X95" s="5">
        <f>(Info!Y103/Info!Y18)*-1</f>
        <v>133.88951487322819</v>
      </c>
      <c r="Y95" s="5">
        <f>(Info!Z103/Info!Z18)*-1</f>
        <v>105.43271568041443</v>
      </c>
      <c r="Z95" s="5">
        <f>(Info!AA103/Info!AA18)*-1</f>
        <v>115.70481901352426</v>
      </c>
      <c r="AA95" s="5">
        <f>(Info!AB103/Info!AB18)*-1</f>
        <v>82.813531627999211</v>
      </c>
      <c r="AB95" s="5">
        <f>(Info!AC103/Info!AC18)*-1</f>
        <v>100.97437425506556</v>
      </c>
    </row>
    <row r="96" spans="1:28" hidden="1" x14ac:dyDescent="0.3">
      <c r="A96" t="s">
        <v>13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  <c r="K96" s="5">
        <f>(Info!L93/Info!L8)*-1</f>
        <v>425.82389743589744</v>
      </c>
      <c r="L96" s="5">
        <f>(Info!M93/Info!M8)*-1</f>
        <v>277.36424581005588</v>
      </c>
      <c r="M96" s="5">
        <f>(Info!N93/Info!N8)*-1</f>
        <v>146.70684434968015</v>
      </c>
      <c r="N96" s="5">
        <f>(Info!O93/Info!O8)*-1</f>
        <v>81.788113553113547</v>
      </c>
      <c r="O96" s="5">
        <f>(Info!P93/Info!P8)*-1</f>
        <v>197.26296062992125</v>
      </c>
      <c r="P96" s="5">
        <f>(Info!Q93/Info!Q8)*-1</f>
        <v>108.91365957446808</v>
      </c>
      <c r="Q96" s="5">
        <f>(Info!R93/Info!R8)*-1</f>
        <v>231.80464146023468</v>
      </c>
      <c r="R96" s="5">
        <f>(Info!S93/Info!S8)*-1</f>
        <v>-26.744588377723968</v>
      </c>
      <c r="S96" s="5">
        <f>(Info!T93/Info!T8)*-1</f>
        <v>105.82480637813211</v>
      </c>
      <c r="T96" s="5">
        <f>(Info!U93/Info!U8)*-1</f>
        <v>101.90250524109015</v>
      </c>
      <c r="U96" s="5">
        <f>(Info!V93/Info!V8)*-1</f>
        <v>92.298126829268298</v>
      </c>
      <c r="V96" s="5">
        <f>(Info!W93/Info!W8)*-1</f>
        <v>61.409809193408492</v>
      </c>
      <c r="W96" s="5">
        <f>(Info!X93/Info!X8)*-1</f>
        <v>98.072047058823529</v>
      </c>
      <c r="X96" s="5">
        <f>(Info!Y93/Info!Y8)*-1</f>
        <v>87.339578488372084</v>
      </c>
      <c r="Y96" s="5">
        <f>(Info!Z93/Info!Z8)*-1</f>
        <v>100.93744505494506</v>
      </c>
      <c r="Z96" s="5">
        <f>(Info!AA93/Info!AA8)*-1</f>
        <v>83.901196581196587</v>
      </c>
      <c r="AA96" s="5">
        <f>(Info!AB93/Info!AB8)*-1</f>
        <v>95.156150030998134</v>
      </c>
      <c r="AB96" s="5">
        <f>(Info!AC93/Info!AC8)*-1</f>
        <v>70.860035735556878</v>
      </c>
    </row>
    <row r="97" spans="1:28" x14ac:dyDescent="0.3">
      <c r="A97" t="s">
        <v>68</v>
      </c>
      <c r="B97" s="5">
        <f>AVERAGE(B83:B96)</f>
        <v>81.364857167362473</v>
      </c>
      <c r="C97" s="5">
        <f t="shared" ref="C97:Q97" si="14">AVERAGE(C83:C96)</f>
        <v>82.361100048378404</v>
      </c>
      <c r="D97" s="5">
        <f t="shared" si="14"/>
        <v>79.701962378261399</v>
      </c>
      <c r="E97" s="5">
        <f t="shared" si="14"/>
        <v>81.089902031444012</v>
      </c>
      <c r="F97" s="5">
        <f t="shared" si="14"/>
        <v>83.817069894054683</v>
      </c>
      <c r="G97" s="5">
        <f t="shared" si="14"/>
        <v>82.454333453814016</v>
      </c>
      <c r="H97" s="5">
        <f t="shared" si="14"/>
        <v>79.809777243019241</v>
      </c>
      <c r="I97" s="5">
        <f t="shared" si="14"/>
        <v>73.728587255987549</v>
      </c>
      <c r="J97" s="5">
        <f t="shared" si="14"/>
        <v>84.997403622754021</v>
      </c>
      <c r="K97" s="5">
        <f t="shared" si="14"/>
        <v>110.39158150926848</v>
      </c>
      <c r="L97" s="5">
        <f t="shared" si="14"/>
        <v>107.44822659706554</v>
      </c>
      <c r="M97" s="5">
        <f t="shared" si="14"/>
        <v>90.963865959924988</v>
      </c>
      <c r="N97" s="5">
        <f t="shared" si="14"/>
        <v>78.811661175459861</v>
      </c>
      <c r="O97" s="5">
        <f t="shared" si="14"/>
        <v>84.199051250621011</v>
      </c>
      <c r="P97" s="5">
        <f t="shared" si="14"/>
        <v>78.726083008783107</v>
      </c>
      <c r="Q97" s="5">
        <f t="shared" si="14"/>
        <v>93.592597677420017</v>
      </c>
      <c r="R97" s="5">
        <f t="shared" ref="R97:S97" si="15">AVERAGE(R83:R96)</f>
        <v>72.678231872948373</v>
      </c>
      <c r="S97" s="5">
        <f t="shared" si="15"/>
        <v>86.140593953021451</v>
      </c>
      <c r="T97" s="5">
        <f t="shared" ref="T97:U97" si="16">AVERAGE(T83:T96)</f>
        <v>87.237178084465427</v>
      </c>
      <c r="U97" s="5">
        <f t="shared" si="16"/>
        <v>76.692176735029079</v>
      </c>
      <c r="V97" s="5">
        <f t="shared" ref="V97:W97" si="17">AVERAGE(V83:V96)</f>
        <v>80.143020271908085</v>
      </c>
      <c r="W97" s="5">
        <f t="shared" si="17"/>
        <v>81.403724461422399</v>
      </c>
      <c r="X97" s="5">
        <f t="shared" ref="X97:Y97" si="18">AVERAGE(X83:X96)</f>
        <v>91.307296424878658</v>
      </c>
      <c r="Y97" s="5">
        <f t="shared" si="18"/>
        <v>88.316778068291455</v>
      </c>
      <c r="Z97" s="5">
        <f t="shared" ref="Z97:AA97" si="19">AVERAGE(Z83:Z96)</f>
        <v>79.931609791148432</v>
      </c>
      <c r="AA97" s="5">
        <f t="shared" si="19"/>
        <v>74.049677132120095</v>
      </c>
      <c r="AB97" s="5">
        <f t="shared" ref="AB97" si="20">AVERAGE(AB83:AB96)</f>
        <v>81.560971507412731</v>
      </c>
    </row>
    <row r="123" spans="1:28" x14ac:dyDescent="0.3">
      <c r="A123" s="8" t="s">
        <v>66</v>
      </c>
      <c r="B123" s="3" t="s">
        <v>52</v>
      </c>
      <c r="C123" s="3" t="s">
        <v>53</v>
      </c>
      <c r="D123" s="3" t="s">
        <v>54</v>
      </c>
      <c r="E123" s="3" t="s">
        <v>55</v>
      </c>
      <c r="F123" s="3" t="s">
        <v>56</v>
      </c>
      <c r="G123" s="3" t="s">
        <v>57</v>
      </c>
      <c r="H123" s="3" t="s">
        <v>58</v>
      </c>
      <c r="I123" s="3" t="s">
        <v>59</v>
      </c>
      <c r="J123" s="3" t="s">
        <v>60</v>
      </c>
      <c r="K123" s="3" t="s">
        <v>61</v>
      </c>
      <c r="L123" s="3" t="s">
        <v>62</v>
      </c>
      <c r="M123" s="3" t="s">
        <v>63</v>
      </c>
      <c r="N123" s="3" t="s">
        <v>64</v>
      </c>
      <c r="O123" s="3" t="s">
        <v>65</v>
      </c>
      <c r="P123" s="3" t="s">
        <v>101</v>
      </c>
      <c r="Q123" s="3" t="s">
        <v>102</v>
      </c>
      <c r="R123" s="3" t="s">
        <v>103</v>
      </c>
      <c r="S123" s="3" t="s">
        <v>108</v>
      </c>
      <c r="T123" s="3" t="s">
        <v>110</v>
      </c>
      <c r="U123" s="3" t="s">
        <v>112</v>
      </c>
      <c r="V123" s="3" t="s">
        <v>115</v>
      </c>
      <c r="W123" s="3" t="s">
        <v>117</v>
      </c>
      <c r="X123" s="3" t="s">
        <v>121</v>
      </c>
      <c r="Y123" s="3" t="s">
        <v>125</v>
      </c>
      <c r="Z123" s="3" t="s">
        <v>127</v>
      </c>
      <c r="AA123" s="3" t="s">
        <v>143</v>
      </c>
      <c r="AB123" s="3" t="s">
        <v>144</v>
      </c>
    </row>
    <row r="124" spans="1:28" hidden="1" x14ac:dyDescent="0.3">
      <c r="A124" s="3" t="s">
        <v>14</v>
      </c>
      <c r="B124">
        <f>Info!C19</f>
        <v>63760</v>
      </c>
      <c r="C124">
        <f>Info!D19</f>
        <v>63838</v>
      </c>
      <c r="D124">
        <f>Info!E19</f>
        <v>63938</v>
      </c>
      <c r="E124">
        <f>Info!F19</f>
        <v>64083</v>
      </c>
      <c r="F124">
        <f>Info!G19</f>
        <v>64141</v>
      </c>
      <c r="G124">
        <f>Info!H19</f>
        <v>64235</v>
      </c>
      <c r="H124">
        <f>Info!I19</f>
        <v>64209</v>
      </c>
      <c r="I124">
        <f>Info!J19</f>
        <v>64278</v>
      </c>
      <c r="J124">
        <f>Info!K19</f>
        <v>64562</v>
      </c>
      <c r="K124">
        <f>Info!L19</f>
        <v>65091</v>
      </c>
      <c r="L124">
        <f>Info!M19</f>
        <v>65600</v>
      </c>
      <c r="M124">
        <f>Info!N19</f>
        <v>66067</v>
      </c>
      <c r="N124">
        <f>Info!O19</f>
        <v>66424</v>
      </c>
      <c r="O124">
        <f>Info!P19</f>
        <v>68602</v>
      </c>
      <c r="P124">
        <f>Info!Q19</f>
        <v>68725</v>
      </c>
      <c r="Q124">
        <f>Info!R19</f>
        <v>68934</v>
      </c>
      <c r="R124">
        <f>Info!S19</f>
        <v>68872</v>
      </c>
      <c r="S124">
        <f>Info!T19</f>
        <v>68851</v>
      </c>
      <c r="T124">
        <f>Info!U19</f>
        <v>68761</v>
      </c>
      <c r="U124">
        <f>Info!V19</f>
        <v>68682</v>
      </c>
      <c r="V124">
        <f>Info!W19</f>
        <v>68876</v>
      </c>
      <c r="W124">
        <f>Info!X19</f>
        <v>68910</v>
      </c>
      <c r="X124">
        <f>Info!Y19</f>
        <v>68911</v>
      </c>
      <c r="Y124">
        <f>Info!Z19</f>
        <v>68849</v>
      </c>
      <c r="Z124">
        <f>Info!AA19</f>
        <v>68799</v>
      </c>
      <c r="AA124">
        <f>Info!AB19</f>
        <v>68799</v>
      </c>
      <c r="AB124" s="6"/>
    </row>
    <row r="125" spans="1:28" x14ac:dyDescent="0.3">
      <c r="A125" s="3" t="s">
        <v>15</v>
      </c>
      <c r="B125" s="5">
        <f>Info!C36</f>
        <v>19501.258345925995</v>
      </c>
      <c r="C125" s="5">
        <f>Info!D36</f>
        <v>19548.718580392269</v>
      </c>
      <c r="D125" s="5">
        <f>Info!E36</f>
        <v>19690.006888572203</v>
      </c>
      <c r="E125" s="5">
        <f>Info!F36</f>
        <v>19786.078602376394</v>
      </c>
      <c r="F125" s="5">
        <f>Info!G36</f>
        <v>19847.919448844816</v>
      </c>
      <c r="G125" s="5">
        <f>Info!H36</f>
        <v>19933.75721731273</v>
      </c>
      <c r="H125" s="5">
        <f>Info!I36</f>
        <v>19883.608005668884</v>
      </c>
      <c r="I125" s="5">
        <f>Info!J36</f>
        <v>19871.157600558574</v>
      </c>
      <c r="J125" s="5">
        <f>Info!K36</f>
        <v>19924.268906498037</v>
      </c>
      <c r="K125" s="5">
        <f>Info!L36</f>
        <v>20066.473378930965</v>
      </c>
      <c r="L125" s="5">
        <f>Info!M36</f>
        <v>20261.787151486362</v>
      </c>
      <c r="M125" s="5">
        <f>Info!N36</f>
        <v>20414.719732612844</v>
      </c>
      <c r="N125" s="5">
        <f>Info!O36</f>
        <v>20553.866233682256</v>
      </c>
      <c r="O125" s="5">
        <f>Info!P36</f>
        <v>21121.729874123532</v>
      </c>
      <c r="P125" s="5">
        <f>Info!Q36</f>
        <v>21143.786187434638</v>
      </c>
      <c r="Q125" s="5">
        <f>Info!R36</f>
        <v>21238.08339738334</v>
      </c>
      <c r="R125" s="5">
        <f>Info!S36</f>
        <v>21230.182039932377</v>
      </c>
      <c r="S125" s="5">
        <f>Info!T36</f>
        <v>21216</v>
      </c>
      <c r="T125" s="5">
        <f>Info!U36</f>
        <v>21264.760000000002</v>
      </c>
      <c r="U125" s="5">
        <f>Info!V36</f>
        <v>21225.86</v>
      </c>
      <c r="V125" s="5">
        <f>Info!W36</f>
        <v>21251.660000000003</v>
      </c>
      <c r="W125" s="5">
        <f>Info!X36</f>
        <v>21230</v>
      </c>
      <c r="X125" s="5">
        <f>Info!Y36</f>
        <v>21214.727057051768</v>
      </c>
      <c r="Y125" s="5">
        <f>Info!Z36</f>
        <v>21233.918913472131</v>
      </c>
      <c r="Z125" s="5">
        <f>Info!AA36</f>
        <v>21250.908000000003</v>
      </c>
      <c r="AA125" s="5">
        <f>Info!AB36</f>
        <v>21318.311873316325</v>
      </c>
      <c r="AB125" s="5">
        <f>Info!AC36</f>
        <v>21330.33361978754</v>
      </c>
    </row>
    <row r="126" spans="1:28" hidden="1" x14ac:dyDescent="0.3">
      <c r="A126" s="3" t="s">
        <v>16</v>
      </c>
      <c r="B126" s="22">
        <f>Info!C53</f>
        <v>0.88410202242317015</v>
      </c>
      <c r="C126" s="22">
        <f>Info!D53</f>
        <v>0.86215517081035675</v>
      </c>
      <c r="D126" s="22">
        <f>Info!E53</f>
        <v>0.86503876400788005</v>
      </c>
      <c r="E126" s="22">
        <f>Info!F53</f>
        <v>0.86652745195645553</v>
      </c>
      <c r="F126" s="22">
        <f>Info!G53</f>
        <v>0.86926466273674841</v>
      </c>
      <c r="G126" s="22">
        <f>Info!H53</f>
        <v>0.87147941995459433</v>
      </c>
      <c r="H126" s="22">
        <f>Info!I53</f>
        <v>0.87135900861255511</v>
      </c>
      <c r="I126" s="22">
        <f>Info!J53</f>
        <v>0.8726748978501766</v>
      </c>
      <c r="J126" s="22">
        <f>Info!K53</f>
        <v>0.86941058576307928</v>
      </c>
      <c r="K126" s="22">
        <f>Info!L53</f>
        <v>0.91219775708495821</v>
      </c>
      <c r="L126" s="22">
        <f>Info!M53</f>
        <v>0.91458533418103283</v>
      </c>
      <c r="M126" s="22">
        <f>Info!N53</f>
        <v>0.92274624600705624</v>
      </c>
      <c r="N126" s="22">
        <f>Info!O53</f>
        <v>0.93334904991042422</v>
      </c>
      <c r="O126" s="22">
        <f>Info!P53</f>
        <v>0.92312350942407106</v>
      </c>
      <c r="P126" s="22">
        <f>Info!Q53</f>
        <v>0.90972358300449996</v>
      </c>
      <c r="Q126" s="22">
        <f>Info!R53</f>
        <v>0.91267813652336804</v>
      </c>
      <c r="R126" s="22">
        <f>Info!S53</f>
        <v>0.91432238358479867</v>
      </c>
      <c r="S126" s="22">
        <f>Info!T53</f>
        <v>0.91965280979669761</v>
      </c>
      <c r="T126" s="22">
        <f>Info!U53</f>
        <v>0.9218379599105645</v>
      </c>
      <c r="U126" s="22">
        <f>Info!V53</f>
        <v>0.92279999977650218</v>
      </c>
      <c r="V126" s="22">
        <f>Info!W53</f>
        <v>0.91800734760332703</v>
      </c>
      <c r="W126" s="22">
        <f>Info!X53</f>
        <v>0.91743684007097559</v>
      </c>
      <c r="X126" s="22">
        <f>Info!Y53</f>
        <v>0.91936211849134042</v>
      </c>
      <c r="Y126" s="22">
        <f>Info!Z53</f>
        <v>0.91949651278710598</v>
      </c>
      <c r="Z126" s="22">
        <f>Info!AA53</f>
        <v>0.92491243128534784</v>
      </c>
      <c r="AA126" s="22">
        <f>Info!AB53</f>
        <v>0.9248037402296696</v>
      </c>
      <c r="AB126" s="6"/>
    </row>
    <row r="127" spans="1:28" hidden="1" x14ac:dyDescent="0.3">
      <c r="A127" s="3" t="s">
        <v>17</v>
      </c>
      <c r="B127" s="6">
        <f>Info!C70</f>
        <v>23723222.000000004</v>
      </c>
      <c r="C127" s="6">
        <f>Info!D70</f>
        <v>22382452.649999999</v>
      </c>
      <c r="D127" s="6">
        <f>Info!E70</f>
        <v>22220683.650000002</v>
      </c>
      <c r="E127" s="6">
        <f>Info!F70</f>
        <v>22738083.770000003</v>
      </c>
      <c r="F127" s="6">
        <f>Info!G70</f>
        <v>22629732.16</v>
      </c>
      <c r="G127" s="6">
        <f>Info!H70</f>
        <v>22843573.170000002</v>
      </c>
      <c r="H127" s="6">
        <f>Info!I70</f>
        <v>22895800.510000002</v>
      </c>
      <c r="I127" s="6">
        <f>Info!J70</f>
        <v>22677723.460000005</v>
      </c>
      <c r="J127" s="6">
        <f>Info!K70</f>
        <v>22559895.700000003</v>
      </c>
      <c r="K127" s="6">
        <f>Info!L70</f>
        <v>22805335.780000005</v>
      </c>
      <c r="L127" s="6">
        <f>Info!M70</f>
        <v>22494105.870000001</v>
      </c>
      <c r="M127" s="6">
        <f>Info!N70</f>
        <v>24308094.18</v>
      </c>
      <c r="N127" s="6">
        <f>Info!O70</f>
        <v>23690655.689999998</v>
      </c>
      <c r="O127" s="6">
        <f>Info!P70</f>
        <v>24802712.289999999</v>
      </c>
      <c r="P127" s="6">
        <f>Info!Q70</f>
        <v>24919689.600000001</v>
      </c>
      <c r="Q127" s="6">
        <f>Info!R70</f>
        <v>25021188.789999999</v>
      </c>
      <c r="R127" s="6">
        <f>Info!S70</f>
        <v>25100398.619999997</v>
      </c>
      <c r="S127" s="6">
        <f>Info!T70</f>
        <v>25125398.619999997</v>
      </c>
      <c r="T127" s="6">
        <f>Info!U70</f>
        <v>25598993.280000005</v>
      </c>
      <c r="U127" s="6">
        <f>Info!V70</f>
        <v>25361587.710000001</v>
      </c>
      <c r="V127" s="6">
        <f>Info!W70</f>
        <v>25081604.350000001</v>
      </c>
      <c r="W127" s="6">
        <f>Info!X70</f>
        <v>25196963.25</v>
      </c>
      <c r="X127" s="6">
        <f>Info!Y70</f>
        <v>25330761.090000004</v>
      </c>
      <c r="Y127" s="6">
        <f>Info!Z70</f>
        <v>25469596.120000001</v>
      </c>
      <c r="Z127" s="6">
        <f>Info!AA70</f>
        <v>26677584.389999993</v>
      </c>
      <c r="AA127" s="6">
        <f>Info!AB70</f>
        <v>25617094.84</v>
      </c>
      <c r="AB127" s="6"/>
    </row>
    <row r="128" spans="1:28" hidden="1" x14ac:dyDescent="0.3">
      <c r="A128" s="3" t="s">
        <v>18</v>
      </c>
      <c r="B128" s="6">
        <f>Info!C87*-1</f>
        <v>11291826.92</v>
      </c>
      <c r="C128" s="6">
        <f>Info!D87*-1</f>
        <v>11122235.239999998</v>
      </c>
      <c r="D128" s="6">
        <f>Info!E87*-1</f>
        <v>11234738.169999998</v>
      </c>
      <c r="E128" s="6">
        <f>Info!F87*-1</f>
        <v>10859505.960000001</v>
      </c>
      <c r="F128" s="6">
        <f>Info!G87*-1</f>
        <v>11614622.07</v>
      </c>
      <c r="G128" s="6">
        <f>Info!H87*-1</f>
        <v>11978004.710000001</v>
      </c>
      <c r="H128" s="6">
        <f>Info!I87*-1</f>
        <v>12059149.219999999</v>
      </c>
      <c r="I128" s="6">
        <f>Info!J87*-1</f>
        <v>12322900.560000002</v>
      </c>
      <c r="J128" s="6">
        <f>Info!K87*-1</f>
        <v>12252974.639999999</v>
      </c>
      <c r="K128" s="6">
        <f>Info!L87*-1</f>
        <v>12733383.189999999</v>
      </c>
      <c r="L128" s="6">
        <f>Info!M87*-1</f>
        <v>12903595.119999997</v>
      </c>
      <c r="M128" s="6">
        <f>Info!N87*-1</f>
        <v>12901640.760000002</v>
      </c>
      <c r="N128" s="6">
        <f>Info!O87*-1</f>
        <v>13530990.079999998</v>
      </c>
      <c r="O128" s="6">
        <f>Info!P87*-1</f>
        <v>12626161.760000002</v>
      </c>
      <c r="P128" s="6">
        <f>Info!Q87*-1</f>
        <v>12203635.649999999</v>
      </c>
      <c r="Q128" s="6">
        <f>Info!R87*-1</f>
        <v>12367994.870000001</v>
      </c>
      <c r="R128" s="6">
        <f>Info!S87*-1</f>
        <v>12633064.870000001</v>
      </c>
      <c r="S128" s="6">
        <f>Info!T87*-1</f>
        <v>12524318.690000001</v>
      </c>
      <c r="T128" s="6">
        <f>Info!U87*-1</f>
        <v>12614123.299999999</v>
      </c>
      <c r="U128" s="6">
        <f>Info!V87*-1</f>
        <v>12790033.550000001</v>
      </c>
      <c r="V128" s="6">
        <f>Info!W87*-1</f>
        <v>13072966.669999998</v>
      </c>
      <c r="W128" s="6">
        <f>Info!X87*-1</f>
        <v>12771764.619999999</v>
      </c>
      <c r="X128" s="6">
        <f>Info!Y87*-1</f>
        <v>12411381.469999999</v>
      </c>
      <c r="Y128" s="6">
        <f>Info!Z87*-1</f>
        <v>12794902.35</v>
      </c>
      <c r="Z128" s="6">
        <f>Info!AA87*-1</f>
        <v>12741976.390000001</v>
      </c>
      <c r="AA128" s="6">
        <f>Info!AB87*-1</f>
        <v>13384465.050000001</v>
      </c>
      <c r="AB128" s="6"/>
    </row>
    <row r="129" spans="1:28" hidden="1" x14ac:dyDescent="0.3">
      <c r="A129" s="3" t="s">
        <v>19</v>
      </c>
      <c r="B129" s="6">
        <f>Info!C104*-1</f>
        <v>5706356.120000001</v>
      </c>
      <c r="C129" s="6">
        <f>Info!D104*-1</f>
        <v>5834287.6600000001</v>
      </c>
      <c r="D129" s="6">
        <f>Info!E104*-1</f>
        <v>5707172.7199999988</v>
      </c>
      <c r="E129" s="6">
        <f>Info!F104*-1</f>
        <v>5835429.0299999993</v>
      </c>
      <c r="F129" s="6">
        <f>Info!G104*-1</f>
        <v>6034818.0700000012</v>
      </c>
      <c r="G129" s="6">
        <f>Info!H104*-1</f>
        <v>5962624.3600000003</v>
      </c>
      <c r="H129" s="6">
        <f>Info!I104*-1</f>
        <v>5743046.0899999999</v>
      </c>
      <c r="I129" s="6">
        <f>Info!J104*-1</f>
        <v>5267282.8500000006</v>
      </c>
      <c r="J129" s="6">
        <f>Info!K104*-1</f>
        <v>6106757.4500000002</v>
      </c>
      <c r="K129" s="6">
        <f>Info!L104*-1</f>
        <v>5828275.5100000007</v>
      </c>
      <c r="L129" s="6">
        <f>Info!M104*-1</f>
        <v>6470171.0399999991</v>
      </c>
      <c r="M129" s="6">
        <f>Info!N104*-1</f>
        <v>5943249.0600000005</v>
      </c>
      <c r="N129" s="6">
        <f>Info!O104*-1</f>
        <v>5287818.1900000004</v>
      </c>
      <c r="O129" s="6">
        <f>Info!P104*-1</f>
        <v>5449176.1899999995</v>
      </c>
      <c r="P129" s="6">
        <f>Info!Q104*-1</f>
        <v>5346219.9799999995</v>
      </c>
      <c r="Q129" s="6">
        <f>Info!R104*-1</f>
        <v>5990691.0299999993</v>
      </c>
      <c r="R129" s="6">
        <f>Info!S104*-1</f>
        <v>5647215.7299999995</v>
      </c>
      <c r="S129" s="6">
        <f>Info!T104*-1</f>
        <v>6033253.2500000009</v>
      </c>
      <c r="T129" s="6">
        <f>Info!U104*-1</f>
        <v>5895603.6600000001</v>
      </c>
      <c r="U129" s="6">
        <f>Info!V104*-1</f>
        <v>5485169.1199999992</v>
      </c>
      <c r="V129" s="6">
        <f>Info!W104*-1</f>
        <v>5867999.1399999997</v>
      </c>
      <c r="W129" s="6">
        <f>Info!X104*-1</f>
        <v>5729563.5800000001</v>
      </c>
      <c r="X129" s="6">
        <f>Info!Y104*-1</f>
        <v>6534785.5000000009</v>
      </c>
      <c r="Y129" s="6">
        <f>Info!Z104*-1</f>
        <v>6133869.25</v>
      </c>
      <c r="Z129" s="6">
        <f>Info!AA104*-1</f>
        <v>5791537.9899999993</v>
      </c>
      <c r="AA129" s="6">
        <f>Info!AB104*-1</f>
        <v>5089571.72</v>
      </c>
      <c r="AB129" s="6"/>
    </row>
    <row r="130" spans="1:28" x14ac:dyDescent="0.3">
      <c r="A130" s="3" t="s">
        <v>113</v>
      </c>
      <c r="B130" s="6">
        <f>Info!C20</f>
        <v>0</v>
      </c>
      <c r="C130" s="6">
        <f>Info!D20</f>
        <v>78</v>
      </c>
      <c r="D130" s="6">
        <f>Info!E20</f>
        <v>100</v>
      </c>
      <c r="E130" s="6">
        <f>Info!F20</f>
        <v>145</v>
      </c>
      <c r="F130" s="6">
        <f>Info!G20</f>
        <v>58</v>
      </c>
      <c r="G130" s="6">
        <f>Info!H20</f>
        <v>94</v>
      </c>
      <c r="H130" s="6">
        <f>Info!I20</f>
        <v>-26</v>
      </c>
      <c r="I130" s="6">
        <f>Info!J20</f>
        <v>69</v>
      </c>
      <c r="J130" s="6">
        <f>Info!K20</f>
        <v>284</v>
      </c>
      <c r="K130" s="6">
        <f>Info!L20</f>
        <v>529</v>
      </c>
      <c r="L130" s="6">
        <f>Info!M20</f>
        <v>509</v>
      </c>
      <c r="M130" s="6">
        <f>Info!N20</f>
        <v>467</v>
      </c>
      <c r="N130" s="6">
        <f>Info!O20</f>
        <v>357</v>
      </c>
      <c r="O130" s="6">
        <f>Info!P20</f>
        <v>2178</v>
      </c>
      <c r="P130" s="6">
        <f>Info!Q20</f>
        <v>123</v>
      </c>
      <c r="Q130" s="6">
        <f>Info!R20</f>
        <v>209</v>
      </c>
      <c r="R130" s="6">
        <f>Info!S20</f>
        <v>-62</v>
      </c>
      <c r="S130" s="6">
        <f>Info!T20</f>
        <v>-21</v>
      </c>
      <c r="T130" s="6">
        <f>Info!U20</f>
        <v>-90</v>
      </c>
      <c r="U130" s="6">
        <f>Info!V20</f>
        <v>-79</v>
      </c>
      <c r="V130" s="6">
        <f>Info!W20</f>
        <v>194</v>
      </c>
      <c r="W130" s="6">
        <f>Info!X20</f>
        <v>34</v>
      </c>
      <c r="X130" s="6">
        <f>Info!Y20</f>
        <v>1</v>
      </c>
      <c r="Y130" s="6">
        <f>Info!Z20</f>
        <v>-62</v>
      </c>
      <c r="Z130" s="6">
        <f>Info!AA20</f>
        <v>-50</v>
      </c>
      <c r="AA130" s="6">
        <f>Info!AB20</f>
        <v>0</v>
      </c>
      <c r="AB130" s="6">
        <f>Info!AC20</f>
        <v>-22</v>
      </c>
    </row>
    <row r="153" spans="1:28" x14ac:dyDescent="0.3">
      <c r="A153" s="3" t="s">
        <v>16</v>
      </c>
      <c r="B153" t="s">
        <v>52</v>
      </c>
      <c r="C153" t="s">
        <v>53</v>
      </c>
      <c r="D153" t="s">
        <v>54</v>
      </c>
      <c r="E153" t="s">
        <v>55</v>
      </c>
      <c r="F153" t="s">
        <v>56</v>
      </c>
      <c r="G153" t="s">
        <v>57</v>
      </c>
      <c r="H153" t="s">
        <v>58</v>
      </c>
      <c r="I153" t="s">
        <v>59</v>
      </c>
      <c r="J153" t="s">
        <v>60</v>
      </c>
      <c r="K153" t="s">
        <v>61</v>
      </c>
      <c r="L153" t="s">
        <v>62</v>
      </c>
      <c r="M153" t="s">
        <v>63</v>
      </c>
      <c r="N153" t="s">
        <v>64</v>
      </c>
      <c r="O153" t="s">
        <v>65</v>
      </c>
      <c r="P153" t="s">
        <v>101</v>
      </c>
      <c r="Q153" t="s">
        <v>102</v>
      </c>
      <c r="R153" t="s">
        <v>103</v>
      </c>
      <c r="S153" t="s">
        <v>108</v>
      </c>
      <c r="T153" t="s">
        <v>110</v>
      </c>
      <c r="U153" t="s">
        <v>112</v>
      </c>
      <c r="V153" t="s">
        <v>115</v>
      </c>
      <c r="W153" t="s">
        <v>117</v>
      </c>
      <c r="X153" t="s">
        <v>121</v>
      </c>
      <c r="Y153" t="s">
        <v>125</v>
      </c>
      <c r="Z153" t="s">
        <v>127</v>
      </c>
      <c r="AA153" t="s">
        <v>143</v>
      </c>
      <c r="AB153" t="s">
        <v>144</v>
      </c>
    </row>
    <row r="154" spans="1:28" x14ac:dyDescent="0.3">
      <c r="A154" t="s">
        <v>12</v>
      </c>
      <c r="B154" s="22">
        <f>Info!C39</f>
        <v>1.0614070699279241</v>
      </c>
      <c r="C154" s="22">
        <f>Info!D39</f>
        <v>0.97451976110274496</v>
      </c>
      <c r="D154" s="22">
        <f>Info!E39</f>
        <v>0.98125772373903197</v>
      </c>
      <c r="E154" s="22">
        <f>Info!F39</f>
        <v>0.98832216150722496</v>
      </c>
      <c r="F154" s="22">
        <f>Info!G39</f>
        <v>0.99099206842685506</v>
      </c>
      <c r="G154" s="22">
        <f>Info!H39</f>
        <v>0.99923779827286596</v>
      </c>
      <c r="H154" s="22">
        <f>Info!I39</f>
        <v>1.007591968445825</v>
      </c>
      <c r="I154" s="22">
        <f>Info!J39</f>
        <v>1.022804819184018</v>
      </c>
      <c r="J154" s="22">
        <f>Info!K39</f>
        <v>1.022635687690622</v>
      </c>
      <c r="K154" s="22">
        <f>Info!L39</f>
        <v>1.0334026193909369</v>
      </c>
      <c r="L154" s="22">
        <f>Info!M39</f>
        <v>1.0417446390330509</v>
      </c>
      <c r="M154" s="22">
        <f>Info!N39</f>
        <v>1.0530515549822319</v>
      </c>
      <c r="N154" s="22">
        <f>Info!O39</f>
        <v>1.071656078420824</v>
      </c>
      <c r="O154" s="22">
        <f>Info!P39</f>
        <v>1.000440801038373</v>
      </c>
      <c r="P154" s="22">
        <f>Info!Q39</f>
        <v>0.91926722425207397</v>
      </c>
      <c r="Q154" s="22">
        <f>Info!R39</f>
        <v>0.93233529069834997</v>
      </c>
      <c r="R154" s="22">
        <f>Info!S39</f>
        <v>0.94249874113362797</v>
      </c>
      <c r="S154" s="22">
        <f>Info!T39</f>
        <v>0.95107247840893505</v>
      </c>
      <c r="T154" s="22">
        <f>Info!U39</f>
        <v>0.951907019851434</v>
      </c>
      <c r="U154" s="22">
        <f>Info!V39</f>
        <v>0.96322926564829003</v>
      </c>
      <c r="V154" s="22">
        <f>Info!W39</f>
        <v>0.96961355370487001</v>
      </c>
      <c r="W154" s="22">
        <f>Info!X39</f>
        <v>0.98133214857495998</v>
      </c>
      <c r="X154" s="22">
        <f>Info!Y39</f>
        <v>0.99035259023644395</v>
      </c>
      <c r="Y154" s="22">
        <f>Info!Z39</f>
        <v>0.99304918562342803</v>
      </c>
      <c r="Z154" s="22">
        <f>Info!AA39</f>
        <v>1.014383537697491</v>
      </c>
      <c r="AA154" s="22">
        <f>Info!AB39</f>
        <v>1.0067128606387601</v>
      </c>
      <c r="AB154" s="22">
        <f>Info!AC39</f>
        <v>1.0059425347595441</v>
      </c>
    </row>
    <row r="155" spans="1:28" hidden="1" x14ac:dyDescent="0.3">
      <c r="A155" t="s">
        <v>0</v>
      </c>
      <c r="B155" s="22">
        <f>Info!C40</f>
        <v>1.0758539523777799</v>
      </c>
      <c r="C155" s="22">
        <f>Info!D40</f>
        <v>1.0382789155856931</v>
      </c>
      <c r="D155" s="22">
        <f>Info!E40</f>
        <v>1.037976482941898</v>
      </c>
      <c r="E155" s="22">
        <f>Info!F40</f>
        <v>1.0339202503368849</v>
      </c>
      <c r="F155" s="22">
        <f>Info!G40</f>
        <v>1.0373010909371381</v>
      </c>
      <c r="G155" s="22">
        <f>Info!H40</f>
        <v>1.042269537510045</v>
      </c>
      <c r="H155" s="22">
        <f>Info!I40</f>
        <v>1.0397033611626949</v>
      </c>
      <c r="I155" s="22">
        <f>Info!J40</f>
        <v>1.0388481489788119</v>
      </c>
      <c r="J155" s="22">
        <f>Info!K40</f>
        <v>1.028076263034287</v>
      </c>
      <c r="K155" s="22">
        <f>Info!L40</f>
        <v>1.025196817305061</v>
      </c>
      <c r="L155" s="22">
        <f>Info!M40</f>
        <v>1.0338745353461329</v>
      </c>
      <c r="M155" s="22">
        <f>Info!N40</f>
        <v>1.0365645876228451</v>
      </c>
      <c r="N155" s="22">
        <f>Info!O40</f>
        <v>1.040188829607549</v>
      </c>
      <c r="O155" s="22">
        <f>Info!P40</f>
        <v>1.027567912487982</v>
      </c>
      <c r="P155" s="22">
        <f>Info!Q40</f>
        <v>0.99454842279668398</v>
      </c>
      <c r="Q155" s="22">
        <f>Info!R40</f>
        <v>0.99969371822285202</v>
      </c>
      <c r="R155" s="22">
        <f>Info!S40</f>
        <v>0.99595987276312004</v>
      </c>
      <c r="S155" s="22">
        <f>Info!T40</f>
        <v>0.997710675445456</v>
      </c>
      <c r="T155" s="22">
        <f>Info!U40</f>
        <v>0.98556347285142198</v>
      </c>
      <c r="U155" s="22">
        <f>Info!V40</f>
        <v>0.98021903021829404</v>
      </c>
      <c r="V155" s="22">
        <f>Info!W40</f>
        <v>0.97543844005859703</v>
      </c>
      <c r="W155" s="22">
        <f>Info!X40</f>
        <v>0.98015176147238403</v>
      </c>
      <c r="X155" s="22">
        <f>Info!Y40</f>
        <v>0.98970980580594303</v>
      </c>
      <c r="Y155" s="22">
        <f>Info!Z40</f>
        <v>0.98740021452040205</v>
      </c>
      <c r="Z155" s="22">
        <f>Info!AA40</f>
        <v>1.0025639590606981</v>
      </c>
      <c r="AA155" s="22">
        <f>Info!AB40</f>
        <v>0.99909259031963404</v>
      </c>
      <c r="AB155" s="22">
        <f>Info!AC40</f>
        <v>1.008666847954784</v>
      </c>
    </row>
    <row r="156" spans="1:28" hidden="1" x14ac:dyDescent="0.3">
      <c r="A156" t="s">
        <v>2</v>
      </c>
      <c r="B156" s="22">
        <f>Info!C41</f>
        <v>1.0128971957267241</v>
      </c>
      <c r="C156" s="22">
        <f>Info!D41</f>
        <v>0.98877367565679997</v>
      </c>
      <c r="D156" s="22">
        <f>Info!E41</f>
        <v>0.993372151139997</v>
      </c>
      <c r="E156" s="22">
        <f>Info!F41</f>
        <v>0.99566802947253796</v>
      </c>
      <c r="F156" s="22">
        <f>Info!G41</f>
        <v>0.98475142574311203</v>
      </c>
      <c r="G156" s="22">
        <f>Info!H41</f>
        <v>0.984256413025836</v>
      </c>
      <c r="H156" s="22">
        <f>Info!I41</f>
        <v>0.96612632198349901</v>
      </c>
      <c r="I156" s="22">
        <f>Info!J41</f>
        <v>0.95385615602106899</v>
      </c>
      <c r="J156" s="22">
        <f>Info!K41</f>
        <v>0.93480235617941199</v>
      </c>
      <c r="K156" s="22">
        <f>Info!L41</f>
        <v>0.92254799359591799</v>
      </c>
      <c r="L156" s="22">
        <f>Info!M41</f>
        <v>0.91027483904584505</v>
      </c>
      <c r="M156" s="22">
        <f>Info!N41</f>
        <v>0.90466167461043301</v>
      </c>
      <c r="N156" s="22">
        <f>Info!O41</f>
        <v>0.89559576234716898</v>
      </c>
      <c r="O156" s="22">
        <f>Info!P41</f>
        <v>0.87927581310959102</v>
      </c>
      <c r="P156" s="22">
        <f>Info!Q41</f>
        <v>0.85566578930056403</v>
      </c>
      <c r="Q156" s="22">
        <f>Info!R41</f>
        <v>0.86615535581911596</v>
      </c>
      <c r="R156" s="22">
        <f>Info!S41</f>
        <v>0.86974205681376104</v>
      </c>
      <c r="S156" s="22">
        <f>Info!T41</f>
        <v>0.88174449793763199</v>
      </c>
      <c r="T156" s="22">
        <f>Info!U41</f>
        <v>0.88279128087469105</v>
      </c>
      <c r="U156" s="22">
        <f>Info!V41</f>
        <v>0.89443921234634904</v>
      </c>
      <c r="V156" s="22">
        <f>Info!W41</f>
        <v>0.90232455824083002</v>
      </c>
      <c r="W156" s="22">
        <f>Info!X41</f>
        <v>0.90421143513654201</v>
      </c>
      <c r="X156" s="22">
        <f>Info!Y41</f>
        <v>0.91182600794574198</v>
      </c>
      <c r="Y156" s="22">
        <f>Info!Z41</f>
        <v>0.91242282019915999</v>
      </c>
      <c r="Z156" s="22">
        <f>Info!AA41</f>
        <v>0.93226291328099797</v>
      </c>
      <c r="AA156" s="22">
        <f>Info!AB41</f>
        <v>0.93564399646470897</v>
      </c>
      <c r="AB156" s="22">
        <f>Info!AC41</f>
        <v>0.94237832763268803</v>
      </c>
    </row>
    <row r="157" spans="1:28" hidden="1" x14ac:dyDescent="0.3">
      <c r="A157" t="s">
        <v>13</v>
      </c>
      <c r="B157" s="22">
        <f>Info!C42</f>
        <v>0</v>
      </c>
      <c r="C157" s="22">
        <f>Info!D42</f>
        <v>0</v>
      </c>
      <c r="D157" s="22">
        <f>Info!E42</f>
        <v>0</v>
      </c>
      <c r="E157" s="22">
        <f>Info!F42</f>
        <v>0</v>
      </c>
      <c r="F157" s="22">
        <f>Info!G42</f>
        <v>0</v>
      </c>
      <c r="G157" s="22">
        <f>Info!H42</f>
        <v>0</v>
      </c>
      <c r="H157" s="22">
        <f>Info!I42</f>
        <v>0</v>
      </c>
      <c r="I157" s="22">
        <f>Info!J42</f>
        <v>0</v>
      </c>
      <c r="J157" s="22">
        <f>Info!K42</f>
        <v>0</v>
      </c>
      <c r="K157" s="22">
        <f>Info!L42</f>
        <v>0.63217057052910597</v>
      </c>
      <c r="L157" s="22">
        <f>Info!M42</f>
        <v>0.64730781787889802</v>
      </c>
      <c r="M157" s="22">
        <f>Info!N42</f>
        <v>0.74855712257026596</v>
      </c>
      <c r="N157" s="22">
        <f>Info!O42</f>
        <v>0.81271650361384995</v>
      </c>
      <c r="O157" s="22">
        <f>Info!P42</f>
        <v>0.84829631697655805</v>
      </c>
      <c r="P157" s="22">
        <f>Info!Q42</f>
        <v>0.84788537162745403</v>
      </c>
      <c r="Q157" s="22">
        <f>Info!R42</f>
        <v>0.86382487117907802</v>
      </c>
      <c r="R157" s="22">
        <f>Info!S42</f>
        <v>0.87180089313336795</v>
      </c>
      <c r="S157" s="22">
        <f>Info!T42</f>
        <v>0.910301463033797</v>
      </c>
      <c r="T157" s="22">
        <f>Info!U42</f>
        <v>0.92467725246836296</v>
      </c>
      <c r="U157" s="22">
        <f>Info!V42</f>
        <v>0.94036779795712599</v>
      </c>
      <c r="V157" s="22">
        <f>Info!W42</f>
        <v>0.91189915626066498</v>
      </c>
      <c r="W157" s="22">
        <f>Info!X42</f>
        <v>0.90291571166638795</v>
      </c>
      <c r="X157" s="22">
        <f>Info!Y42</f>
        <v>0.92886065007150098</v>
      </c>
      <c r="Y157" s="22">
        <f>Info!Z42</f>
        <v>0.95469264842864299</v>
      </c>
      <c r="Z157" s="22">
        <f>Info!AA42</f>
        <v>0.97126982696902997</v>
      </c>
      <c r="AA157" s="22">
        <f>Info!AB42</f>
        <v>0.98795358103953301</v>
      </c>
      <c r="AB157" s="22">
        <f>Info!AC42</f>
        <v>1.0042476504359801</v>
      </c>
    </row>
    <row r="158" spans="1:28" hidden="1" x14ac:dyDescent="0.3">
      <c r="A158" t="s">
        <v>8</v>
      </c>
      <c r="B158" s="22">
        <f>Info!C43</f>
        <v>0.90236362445941498</v>
      </c>
      <c r="C158" s="22">
        <f>Info!D43</f>
        <v>0.86693574316098199</v>
      </c>
      <c r="D158" s="22">
        <f>Info!E43</f>
        <v>0.87198302845783304</v>
      </c>
      <c r="E158" s="22">
        <f>Info!F43</f>
        <v>0.88203489192806095</v>
      </c>
      <c r="F158" s="22">
        <f>Info!G43</f>
        <v>0.88721763675134102</v>
      </c>
      <c r="G158" s="22">
        <f>Info!H43</f>
        <v>0.89133838165038204</v>
      </c>
      <c r="H158" s="22">
        <f>Info!I43</f>
        <v>0.90970316172069299</v>
      </c>
      <c r="I158" s="22">
        <f>Info!J43</f>
        <v>0.92034374936834895</v>
      </c>
      <c r="J158" s="22">
        <f>Info!K43</f>
        <v>0.91036353494410205</v>
      </c>
      <c r="K158" s="22">
        <f>Info!L43</f>
        <v>0.90250965168602804</v>
      </c>
      <c r="L158" s="22">
        <f>Info!M43</f>
        <v>0.91269318282810297</v>
      </c>
      <c r="M158" s="22">
        <f>Info!N43</f>
        <v>0.89347751093037697</v>
      </c>
      <c r="N158" s="22">
        <f>Info!O43</f>
        <v>0.89242935719769001</v>
      </c>
      <c r="O158" s="22">
        <f>Info!P43</f>
        <v>0.87113735924944002</v>
      </c>
      <c r="P158" s="22">
        <f>Info!Q43</f>
        <v>0.84556545576687903</v>
      </c>
      <c r="Q158" s="22">
        <f>Info!R43</f>
        <v>0.84319421031893904</v>
      </c>
      <c r="R158" s="22">
        <f>Info!S43</f>
        <v>0.85260109233983505</v>
      </c>
      <c r="S158" s="22">
        <f>Info!T43</f>
        <v>0.85365010807816599</v>
      </c>
      <c r="T158" s="22">
        <f>Info!U43</f>
        <v>0.85490046465034797</v>
      </c>
      <c r="U158" s="22">
        <f>Info!V43</f>
        <v>0.85275454881090995</v>
      </c>
      <c r="V158" s="22">
        <f>Info!W43</f>
        <v>0.844839065273151</v>
      </c>
      <c r="W158" s="22">
        <f>Info!X43</f>
        <v>0.84488720554089602</v>
      </c>
      <c r="X158" s="22">
        <f>Info!Y43</f>
        <v>0.83872827471326605</v>
      </c>
      <c r="Y158" s="22">
        <f>Info!Z43</f>
        <v>0.83728296051651196</v>
      </c>
      <c r="Z158" s="22">
        <f>Info!AA43</f>
        <v>0.83749337165906301</v>
      </c>
      <c r="AA158" s="22">
        <f>Info!AB43</f>
        <v>0.84340985159327098</v>
      </c>
      <c r="AB158" s="22">
        <f>Info!AC43</f>
        <v>0.85321029475093502</v>
      </c>
    </row>
    <row r="159" spans="1:28" hidden="1" x14ac:dyDescent="0.3">
      <c r="A159" t="s">
        <v>4</v>
      </c>
      <c r="B159" s="22">
        <f>Info!C44</f>
        <v>0.99226621569766305</v>
      </c>
      <c r="C159" s="22">
        <f>Info!D44</f>
        <v>0.99413070182346197</v>
      </c>
      <c r="D159" s="22">
        <f>Info!E44</f>
        <v>0.99623527554422897</v>
      </c>
      <c r="E159" s="22">
        <f>Info!F44</f>
        <v>1.0030490869208979</v>
      </c>
      <c r="F159" s="22">
        <f>Info!G44</f>
        <v>1.0080654389354531</v>
      </c>
      <c r="G159" s="22">
        <f>Info!H44</f>
        <v>1.0132701841981311</v>
      </c>
      <c r="H159" s="22">
        <f>Info!I44</f>
        <v>1.0174281622853261</v>
      </c>
      <c r="I159" s="22">
        <f>Info!J44</f>
        <v>1.0211184630726811</v>
      </c>
      <c r="J159" s="22">
        <f>Info!K44</f>
        <v>1.017066150657115</v>
      </c>
      <c r="K159" s="22">
        <f>Info!L44</f>
        <v>1.025626937530242</v>
      </c>
      <c r="L159" s="22">
        <f>Info!M44</f>
        <v>1.0241464376047691</v>
      </c>
      <c r="M159" s="22">
        <f>Info!N44</f>
        <v>1.026929387119013</v>
      </c>
      <c r="N159" s="22">
        <f>Info!O44</f>
        <v>1.038310360813155</v>
      </c>
      <c r="O159" s="22">
        <f>Info!P44</f>
        <v>1.0379828044609389</v>
      </c>
      <c r="P159" s="22">
        <f>Info!Q44</f>
        <v>1.0431161753551419</v>
      </c>
      <c r="Q159" s="22">
        <f>Info!R44</f>
        <v>1.042983238083586</v>
      </c>
      <c r="R159" s="22">
        <f>Info!S44</f>
        <v>1.0404559112422209</v>
      </c>
      <c r="S159" s="22">
        <f>Info!T44</f>
        <v>1.029831802436006</v>
      </c>
      <c r="T159" s="22">
        <f>Info!U44</f>
        <v>1.024745269265575</v>
      </c>
      <c r="U159" s="22">
        <f>Info!V44</f>
        <v>1.01550845514831</v>
      </c>
      <c r="V159" s="22">
        <f>Info!W44</f>
        <v>1.0142644442952089</v>
      </c>
      <c r="W159" s="22">
        <f>Info!X44</f>
        <v>1.0089771075619931</v>
      </c>
      <c r="X159" s="22">
        <f>Info!Y44</f>
        <v>1.0068867308044891</v>
      </c>
      <c r="Y159" s="22">
        <f>Info!Z44</f>
        <v>0.99956986193226804</v>
      </c>
      <c r="Z159" s="22">
        <f>Info!AA44</f>
        <v>0.99682260883901097</v>
      </c>
      <c r="AA159" s="22">
        <f>Info!AB44</f>
        <v>0.98628166150450403</v>
      </c>
      <c r="AB159" s="22">
        <f>Info!AC44</f>
        <v>0.98163635701280405</v>
      </c>
    </row>
    <row r="160" spans="1:28" hidden="1" x14ac:dyDescent="0.3">
      <c r="A160" t="s">
        <v>7</v>
      </c>
      <c r="B160" s="22">
        <f>Info!C45</f>
        <v>0.85812143835211396</v>
      </c>
      <c r="C160" s="22">
        <f>Info!D45</f>
        <v>0.85414312569170503</v>
      </c>
      <c r="D160" s="22">
        <f>Info!E45</f>
        <v>0.86510758326133896</v>
      </c>
      <c r="E160" s="22">
        <f>Info!F45</f>
        <v>0.87464202768180399</v>
      </c>
      <c r="F160" s="22">
        <f>Info!G45</f>
        <v>0.88616936599943397</v>
      </c>
      <c r="G160" s="22">
        <f>Info!H45</f>
        <v>0.89976884124501499</v>
      </c>
      <c r="H160" s="22">
        <f>Info!I45</f>
        <v>0.90394197687198496</v>
      </c>
      <c r="I160" s="22">
        <f>Info!J45</f>
        <v>0.905885720426164</v>
      </c>
      <c r="J160" s="22">
        <f>Info!K45</f>
        <v>0.90158834877104799</v>
      </c>
      <c r="K160" s="22">
        <f>Info!L45</f>
        <v>0.89516811179302902</v>
      </c>
      <c r="L160" s="22">
        <f>Info!M45</f>
        <v>0.89103144266705603</v>
      </c>
      <c r="M160" s="22">
        <f>Info!N45</f>
        <v>0.90164624725940301</v>
      </c>
      <c r="N160" s="22">
        <f>Info!O45</f>
        <v>0.91476236689323098</v>
      </c>
      <c r="O160" s="22">
        <f>Info!P45</f>
        <v>0.91124102653290195</v>
      </c>
      <c r="P160" s="22">
        <f>Info!Q45</f>
        <v>0.91959552803120004</v>
      </c>
      <c r="Q160" s="22">
        <f>Info!R45</f>
        <v>0.92111331529408602</v>
      </c>
      <c r="R160" s="22">
        <f>Info!S45</f>
        <v>0.92637996402034395</v>
      </c>
      <c r="S160" s="22">
        <f>Info!T45</f>
        <v>0.92312710027579803</v>
      </c>
      <c r="T160" s="22">
        <f>Info!U45</f>
        <v>0.923699399710039</v>
      </c>
      <c r="U160" s="22">
        <f>Info!V45</f>
        <v>0.93016301653508404</v>
      </c>
      <c r="V160" s="22">
        <f>Info!W45</f>
        <v>0.92386170417448499</v>
      </c>
      <c r="W160" s="22">
        <f>Info!X45</f>
        <v>0.91179797714662203</v>
      </c>
      <c r="X160" s="22">
        <f>Info!Y45</f>
        <v>0.90559316775793897</v>
      </c>
      <c r="Y160" s="22">
        <f>Info!Z45</f>
        <v>0.90304054929132305</v>
      </c>
      <c r="Z160" s="22">
        <f>Info!AA45</f>
        <v>0.900126797524058</v>
      </c>
      <c r="AA160" s="22">
        <f>Info!AB45</f>
        <v>0.89803685917132703</v>
      </c>
      <c r="AB160" s="22">
        <f>Info!AC45</f>
        <v>0.89683373288475998</v>
      </c>
    </row>
    <row r="161" spans="1:28" hidden="1" x14ac:dyDescent="0.3">
      <c r="A161" t="s">
        <v>6</v>
      </c>
      <c r="B161" s="22">
        <f>Info!C46</f>
        <v>0.93273452535789902</v>
      </c>
      <c r="C161" s="22">
        <f>Info!D46</f>
        <v>0.89610952967727997</v>
      </c>
      <c r="D161" s="22">
        <f>Info!E46</f>
        <v>0.898511492859836</v>
      </c>
      <c r="E161" s="22">
        <f>Info!F46</f>
        <v>0.90611774620443697</v>
      </c>
      <c r="F161" s="22">
        <f>Info!G46</f>
        <v>0.90635870368565596</v>
      </c>
      <c r="G161" s="22">
        <f>Info!H46</f>
        <v>0.90463240618756202</v>
      </c>
      <c r="H161" s="22">
        <f>Info!I46</f>
        <v>0.910769334909039</v>
      </c>
      <c r="I161" s="22">
        <f>Info!J46</f>
        <v>0.91121188374033801</v>
      </c>
      <c r="J161" s="22">
        <f>Info!K46</f>
        <v>0.91352088485994698</v>
      </c>
      <c r="K161" s="22">
        <f>Info!L46</f>
        <v>0.90918631688071405</v>
      </c>
      <c r="L161" s="22">
        <f>Info!M46</f>
        <v>0.90704513061074798</v>
      </c>
      <c r="M161" s="22">
        <f>Info!N46</f>
        <v>0.91450321211040997</v>
      </c>
      <c r="N161" s="22">
        <f>Info!O46</f>
        <v>0.91709343880383798</v>
      </c>
      <c r="O161" s="22">
        <f>Info!P46</f>
        <v>0.90472032408008896</v>
      </c>
      <c r="P161" s="22">
        <f>Info!Q46</f>
        <v>0.90674359725748799</v>
      </c>
      <c r="Q161" s="22">
        <f>Info!R46</f>
        <v>0.90946113609158397</v>
      </c>
      <c r="R161" s="22">
        <f>Info!S46</f>
        <v>0.90698755049441104</v>
      </c>
      <c r="S161" s="22">
        <f>Info!T46</f>
        <v>0.91597036628620199</v>
      </c>
      <c r="T161" s="22">
        <f>Info!U46</f>
        <v>0.91951964142162901</v>
      </c>
      <c r="U161" s="22">
        <f>Info!V46</f>
        <v>0.91515712325125698</v>
      </c>
      <c r="V161" s="22">
        <f>Info!W46</f>
        <v>0.90967504649858399</v>
      </c>
      <c r="W161" s="22">
        <f>Info!X46</f>
        <v>0.90348775800134296</v>
      </c>
      <c r="X161" s="22">
        <f>Info!Y46</f>
        <v>0.89921767766243799</v>
      </c>
      <c r="Y161" s="22">
        <f>Info!Z46</f>
        <v>0.88976981823131296</v>
      </c>
      <c r="Z161" s="22">
        <f>Info!AA46</f>
        <v>0.89427952663325705</v>
      </c>
      <c r="AA161" s="22">
        <f>Info!AB46</f>
        <v>0.88431759972311597</v>
      </c>
      <c r="AB161" s="22">
        <f>Info!AC46</f>
        <v>0.88896177483337002</v>
      </c>
    </row>
    <row r="162" spans="1:28" hidden="1" x14ac:dyDescent="0.3">
      <c r="A162" t="s">
        <v>5</v>
      </c>
      <c r="B162" s="22">
        <f>Info!C47</f>
        <v>0.898226701461596</v>
      </c>
      <c r="C162" s="22">
        <f>Info!D47</f>
        <v>0.88447832029090301</v>
      </c>
      <c r="D162" s="22">
        <f>Info!E47</f>
        <v>0.88734241615096499</v>
      </c>
      <c r="E162" s="22">
        <f>Info!F47</f>
        <v>0.87404358848743102</v>
      </c>
      <c r="F162" s="22">
        <f>Info!G47</f>
        <v>0.87865509260113595</v>
      </c>
      <c r="G162" s="22">
        <f>Info!H47</f>
        <v>0.88715542636612998</v>
      </c>
      <c r="H162" s="22">
        <f>Info!I47</f>
        <v>0.88529577777690704</v>
      </c>
      <c r="I162" s="22">
        <f>Info!J47</f>
        <v>0.88440662434588901</v>
      </c>
      <c r="J162" s="22">
        <f>Info!K47</f>
        <v>0.88972723877427395</v>
      </c>
      <c r="K162" s="22">
        <f>Info!L47</f>
        <v>0.88141998796013299</v>
      </c>
      <c r="L162" s="22">
        <f>Info!M47</f>
        <v>0.88441493096020796</v>
      </c>
      <c r="M162" s="22">
        <f>Info!N47</f>
        <v>0.86983088224530503</v>
      </c>
      <c r="N162" s="22">
        <f>Info!O47</f>
        <v>0.89155218352319499</v>
      </c>
      <c r="O162" s="22">
        <f>Info!P47</f>
        <v>0.88980710367129101</v>
      </c>
      <c r="P162" s="22">
        <f>Info!Q47</f>
        <v>0.88859569697671104</v>
      </c>
      <c r="Q162" s="22">
        <f>Info!R47</f>
        <v>0.88578320881158901</v>
      </c>
      <c r="R162" s="22">
        <f>Info!S47</f>
        <v>0.88889531621100704</v>
      </c>
      <c r="S162" s="22">
        <f>Info!T47</f>
        <v>0.89425869650537904</v>
      </c>
      <c r="T162" s="22">
        <f>Info!U47</f>
        <v>0.90540079163467602</v>
      </c>
      <c r="U162" s="22">
        <f>Info!V47</f>
        <v>0.90406457629542103</v>
      </c>
      <c r="V162" s="22">
        <f>Info!W47</f>
        <v>0.908611182017663</v>
      </c>
      <c r="W162" s="22">
        <f>Info!X47</f>
        <v>0.92013723938956904</v>
      </c>
      <c r="X162" s="22">
        <f>Info!Y47</f>
        <v>0.92467783457806096</v>
      </c>
      <c r="Y162" s="22">
        <f>Info!Z47</f>
        <v>0.92961752136299503</v>
      </c>
      <c r="Z162" s="22">
        <f>Info!AA47</f>
        <v>0.924035217673007</v>
      </c>
      <c r="AA162" s="22">
        <f>Info!AB47</f>
        <v>0.92867448806919495</v>
      </c>
      <c r="AB162" s="22">
        <f>Info!AC47</f>
        <v>0.92849586640728299</v>
      </c>
    </row>
    <row r="163" spans="1:28" hidden="1" x14ac:dyDescent="0.3">
      <c r="A163" t="s">
        <v>11</v>
      </c>
      <c r="B163" s="22">
        <f>Info!C48</f>
        <v>0.84229944105149102</v>
      </c>
      <c r="C163" s="22">
        <f>Info!D48</f>
        <v>0.81695125611576802</v>
      </c>
      <c r="D163" s="22">
        <f>Info!E48</f>
        <v>0.81664183234846</v>
      </c>
      <c r="E163" s="22">
        <f>Info!F48</f>
        <v>0.81722325167251597</v>
      </c>
      <c r="F163" s="22">
        <f>Info!G48</f>
        <v>0.81607222096604604</v>
      </c>
      <c r="G163" s="22">
        <f>Info!H48</f>
        <v>0.81008918432601995</v>
      </c>
      <c r="H163" s="22">
        <f>Info!I48</f>
        <v>0.80676386250174204</v>
      </c>
      <c r="I163" s="22">
        <f>Info!J48</f>
        <v>0.80846340766429703</v>
      </c>
      <c r="J163" s="22">
        <f>Info!K48</f>
        <v>0.81159898681392695</v>
      </c>
      <c r="K163" s="22">
        <f>Info!L48</f>
        <v>0.81165043604734599</v>
      </c>
      <c r="L163" s="22">
        <f>Info!M48</f>
        <v>0.81641426506686199</v>
      </c>
      <c r="M163" s="22">
        <f>Info!N48</f>
        <v>0.821720912578489</v>
      </c>
      <c r="N163" s="22">
        <f>Info!O48</f>
        <v>0.83185313124847604</v>
      </c>
      <c r="O163" s="22">
        <f>Info!P48</f>
        <v>0.82278171830549895</v>
      </c>
      <c r="P163" s="22">
        <f>Info!Q48</f>
        <v>0.800438457864314</v>
      </c>
      <c r="Q163" s="22">
        <f>Info!R48</f>
        <v>0.80252681646883905</v>
      </c>
      <c r="R163" s="22">
        <f>Info!S48</f>
        <v>0.803996485142904</v>
      </c>
      <c r="S163" s="22">
        <f>Info!T48</f>
        <v>0.81155184299265803</v>
      </c>
      <c r="T163" s="22">
        <f>Info!U48</f>
        <v>0.81693362781551704</v>
      </c>
      <c r="U163" s="22">
        <f>Info!V48</f>
        <v>0.827340739694303</v>
      </c>
      <c r="V163" s="22">
        <f>Info!W48</f>
        <v>0.82267760269739798</v>
      </c>
      <c r="W163" s="22">
        <f>Info!X48</f>
        <v>0.82243668735409003</v>
      </c>
      <c r="X163" s="22">
        <f>Info!Y48</f>
        <v>0.82525825273903397</v>
      </c>
      <c r="Y163" s="22">
        <f>Info!Z48</f>
        <v>0.82305427560964595</v>
      </c>
      <c r="Z163" s="22">
        <f>Info!AA48</f>
        <v>0.84146868791782103</v>
      </c>
      <c r="AA163" s="22">
        <f>Info!AB48</f>
        <v>0.83825036562112198</v>
      </c>
      <c r="AB163" s="22">
        <f>Info!AC48</f>
        <v>0.83185879386790995</v>
      </c>
    </row>
    <row r="164" spans="1:28" hidden="1" x14ac:dyDescent="0.3">
      <c r="A164" t="s">
        <v>1</v>
      </c>
      <c r="B164" s="22">
        <f>Info!C49</f>
        <v>0.97837355041793705</v>
      </c>
      <c r="C164" s="22">
        <f>Info!D49</f>
        <v>0.97352901962417904</v>
      </c>
      <c r="D164" s="22">
        <f>Info!E49</f>
        <v>0.97764035650466097</v>
      </c>
      <c r="E164" s="22">
        <f>Info!F49</f>
        <v>0.97655904677810401</v>
      </c>
      <c r="F164" s="22">
        <f>Info!G49</f>
        <v>0.97760946967338502</v>
      </c>
      <c r="G164" s="22">
        <f>Info!H49</f>
        <v>0.97259951907271602</v>
      </c>
      <c r="H164" s="22">
        <f>Info!I49</f>
        <v>0.96958175834761096</v>
      </c>
      <c r="I164" s="22">
        <f>Info!J49</f>
        <v>0.97107263967582702</v>
      </c>
      <c r="J164" s="22">
        <f>Info!K49</f>
        <v>0.97128505094237905</v>
      </c>
      <c r="K164" s="22">
        <f>Info!L49</f>
        <v>0.95991970988539799</v>
      </c>
      <c r="L164" s="22">
        <f>Info!M49</f>
        <v>0.96255670306323804</v>
      </c>
      <c r="M164" s="22">
        <f>Info!N49</f>
        <v>0.96688840538506404</v>
      </c>
      <c r="N164" s="22">
        <f>Info!O49</f>
        <v>0.97065945668502995</v>
      </c>
      <c r="O164" s="22">
        <f>Info!P49</f>
        <v>0.96202883984534004</v>
      </c>
      <c r="P164" s="22">
        <f>Info!Q49</f>
        <v>0.95964477344105503</v>
      </c>
      <c r="Q164" s="22">
        <f>Info!R49</f>
        <v>0.95807036215844399</v>
      </c>
      <c r="R164" s="22">
        <f>Info!S49</f>
        <v>0.96221090530967901</v>
      </c>
      <c r="S164" s="22">
        <f>Info!T49</f>
        <v>0.96873117948520404</v>
      </c>
      <c r="T164" s="22">
        <f>Info!U49</f>
        <v>0.973038003679216</v>
      </c>
      <c r="U164" s="22">
        <f>Info!V49</f>
        <v>0.96821099790678999</v>
      </c>
      <c r="V164" s="22">
        <f>Info!W49</f>
        <v>0.96487508240512099</v>
      </c>
      <c r="W164" s="22">
        <f>Info!X49</f>
        <v>0.96255102837065298</v>
      </c>
      <c r="X164" s="22">
        <f>Info!Y49</f>
        <v>0.96022054816049696</v>
      </c>
      <c r="Y164" s="22">
        <f>Info!Z49</f>
        <v>0.96018220897639595</v>
      </c>
      <c r="Z164" s="22">
        <f>Info!AA49</f>
        <v>0.96873762323524304</v>
      </c>
      <c r="AA164" s="22">
        <f>Info!AB49</f>
        <v>0.97544556028181695</v>
      </c>
      <c r="AB164" s="22">
        <f>Info!AC49</f>
        <v>0.972567716618017</v>
      </c>
    </row>
    <row r="165" spans="1:28" hidden="1" x14ac:dyDescent="0.3">
      <c r="A165" t="s">
        <v>10</v>
      </c>
      <c r="B165" s="22">
        <f>Info!C50</f>
        <v>0.979068721431262</v>
      </c>
      <c r="C165" s="22">
        <f>Info!D50</f>
        <v>0.94615138643748398</v>
      </c>
      <c r="D165" s="22">
        <f>Info!E50</f>
        <v>0.943945997602886</v>
      </c>
      <c r="E165" s="22">
        <f>Info!F50</f>
        <v>0.94585010346998999</v>
      </c>
      <c r="F165" s="22">
        <f>Info!G50</f>
        <v>0.96440348001907095</v>
      </c>
      <c r="G165" s="22">
        <f>Info!H50</f>
        <v>0.96873081912131997</v>
      </c>
      <c r="H165" s="22">
        <f>Info!I50</f>
        <v>0.95873464297192401</v>
      </c>
      <c r="I165" s="22">
        <f>Info!J50</f>
        <v>0.96281542414918897</v>
      </c>
      <c r="J165" s="22">
        <f>Info!K50</f>
        <v>0.95624115718883196</v>
      </c>
      <c r="K165" s="22">
        <f>Info!L50</f>
        <v>0.955653080356619</v>
      </c>
      <c r="L165" s="22">
        <f>Info!M50</f>
        <v>0.96447069827548504</v>
      </c>
      <c r="M165" s="22">
        <f>Info!N50</f>
        <v>0.97728051341925704</v>
      </c>
      <c r="N165" s="22">
        <f>Info!O50</f>
        <v>0.98476892255227499</v>
      </c>
      <c r="O165" s="22">
        <f>Info!P50</f>
        <v>0.96675369052522897</v>
      </c>
      <c r="P165" s="22">
        <f>Info!Q50</f>
        <v>0.95430092779016695</v>
      </c>
      <c r="Q165" s="22">
        <f>Info!R50</f>
        <v>0.95760649034022405</v>
      </c>
      <c r="R165" s="22">
        <f>Info!S50</f>
        <v>0.96319403365857403</v>
      </c>
      <c r="S165" s="22">
        <f>Info!T50</f>
        <v>0.96382324123930296</v>
      </c>
      <c r="T165" s="22">
        <f>Info!U50</f>
        <v>0.96306225438994797</v>
      </c>
      <c r="U165" s="22">
        <f>Info!V50</f>
        <v>0.95493133873762803</v>
      </c>
      <c r="V165" s="22">
        <f>Info!W50</f>
        <v>0.93935503974810497</v>
      </c>
      <c r="W165" s="22">
        <f>Info!X50</f>
        <v>0.93364532642583198</v>
      </c>
      <c r="X165" s="22">
        <f>Info!Y50</f>
        <v>0.92603769268041303</v>
      </c>
      <c r="Y165" s="22">
        <f>Info!Z50</f>
        <v>0.92650161943119003</v>
      </c>
      <c r="Z165" s="22">
        <f>Info!AA50</f>
        <v>0.91961314712612696</v>
      </c>
      <c r="AA165" s="22">
        <f>Info!AB50</f>
        <v>0.92311191314111696</v>
      </c>
      <c r="AB165" s="22">
        <f>Info!AC50</f>
        <v>0.92660700769950199</v>
      </c>
    </row>
    <row r="166" spans="1:28" hidden="1" x14ac:dyDescent="0.3">
      <c r="A166" t="s">
        <v>9</v>
      </c>
      <c r="B166" s="22">
        <f>Info!C51</f>
        <v>0.86265966002988903</v>
      </c>
      <c r="C166" s="22">
        <f>Info!D51</f>
        <v>0.86021533547869899</v>
      </c>
      <c r="D166" s="22">
        <f>Info!E51</f>
        <v>0.86399678835142002</v>
      </c>
      <c r="E166" s="22">
        <f>Info!F51</f>
        <v>0.86298565458212495</v>
      </c>
      <c r="F166" s="22">
        <f>Info!G51</f>
        <v>0.852833224840439</v>
      </c>
      <c r="G166" s="22">
        <f>Info!H51</f>
        <v>0.85279250117324601</v>
      </c>
      <c r="H166" s="22">
        <f>Info!I51</f>
        <v>0.84669199261054195</v>
      </c>
      <c r="I166" s="22">
        <f>Info!J51</f>
        <v>0.84313890917054102</v>
      </c>
      <c r="J166" s="22">
        <f>Info!K51</f>
        <v>0.83722274852329304</v>
      </c>
      <c r="K166" s="22">
        <f>Info!L51</f>
        <v>0.82898855537710903</v>
      </c>
      <c r="L166" s="22">
        <f>Info!M51</f>
        <v>0.82170122006330804</v>
      </c>
      <c r="M166" s="22">
        <f>Info!N51</f>
        <v>0.81385101969777596</v>
      </c>
      <c r="N166" s="22">
        <f>Info!O51</f>
        <v>0.81052372400633099</v>
      </c>
      <c r="O166" s="22">
        <f>Info!P51</f>
        <v>0.80131638046790499</v>
      </c>
      <c r="P166" s="22">
        <f>Info!Q51</f>
        <v>0.79706453664076504</v>
      </c>
      <c r="Q166" s="22">
        <f>Info!R51</f>
        <v>0.795338345491447</v>
      </c>
      <c r="R166" s="22">
        <f>Info!S51</f>
        <v>0.78270948298743803</v>
      </c>
      <c r="S166" s="22">
        <f>Info!T51</f>
        <v>0.78021067270947198</v>
      </c>
      <c r="T166" s="22">
        <f>Info!U51</f>
        <v>0.78254342147865397</v>
      </c>
      <c r="U166" s="22">
        <f>Info!V51</f>
        <v>0.78009510060274601</v>
      </c>
      <c r="V166" s="22">
        <f>Info!W51</f>
        <v>0.77645255757980403</v>
      </c>
      <c r="W166" s="22">
        <f>Info!X51</f>
        <v>0.77503144320419204</v>
      </c>
      <c r="X166" s="22">
        <f>Info!Y51</f>
        <v>0.76691330092202903</v>
      </c>
      <c r="Y166" s="22">
        <f>Info!Z51</f>
        <v>0.76446024925671596</v>
      </c>
      <c r="Z166" s="22">
        <f>Info!AA51</f>
        <v>0.76245972107721105</v>
      </c>
      <c r="AA166" s="22">
        <f>Info!AB51</f>
        <v>0.76462372066325701</v>
      </c>
      <c r="AB166" s="22">
        <f>Info!AC51</f>
        <v>0.77299954062210097</v>
      </c>
    </row>
    <row r="167" spans="1:28" hidden="1" x14ac:dyDescent="0.3">
      <c r="A167" t="s">
        <v>3</v>
      </c>
      <c r="B167" s="22">
        <f>Info!C52</f>
        <v>0.98115621763268901</v>
      </c>
      <c r="C167" s="22">
        <f>Info!D52</f>
        <v>0.97595562069929798</v>
      </c>
      <c r="D167" s="22">
        <f>Info!E52</f>
        <v>0.97653156720776502</v>
      </c>
      <c r="E167" s="22">
        <f>Info!F52</f>
        <v>0.97096848834836402</v>
      </c>
      <c r="F167" s="22">
        <f>Info!G52</f>
        <v>0.97927605973541099</v>
      </c>
      <c r="G167" s="22">
        <f>Info!H52</f>
        <v>0.97457086721505204</v>
      </c>
      <c r="H167" s="22">
        <f>Info!I52</f>
        <v>0.97669379898798403</v>
      </c>
      <c r="I167" s="22">
        <f>Info!J52</f>
        <v>0.97348262410529995</v>
      </c>
      <c r="J167" s="22">
        <f>Info!K52</f>
        <v>0.97761979230387197</v>
      </c>
      <c r="K167" s="22">
        <f>Info!L52</f>
        <v>0.98732781085177501</v>
      </c>
      <c r="L167" s="22">
        <f>Info!M52</f>
        <v>0.98651883609075497</v>
      </c>
      <c r="M167" s="22">
        <f>Info!N52</f>
        <v>0.98948441356791805</v>
      </c>
      <c r="N167" s="22">
        <f>Info!O52</f>
        <v>0.99477658303332706</v>
      </c>
      <c r="O167" s="22">
        <f>Info!P52</f>
        <v>1.000379041185858</v>
      </c>
      <c r="P167" s="22">
        <f>Info!Q52</f>
        <v>1.0036982049625041</v>
      </c>
      <c r="Q167" s="22">
        <f>Info!R52</f>
        <v>0.99940755234901801</v>
      </c>
      <c r="R167" s="22">
        <f>Info!S52</f>
        <v>0.99308106493689396</v>
      </c>
      <c r="S167" s="22">
        <f>Info!T52</f>
        <v>0.99315521231975601</v>
      </c>
      <c r="T167" s="22">
        <f>Info!U52</f>
        <v>0.99694953865639202</v>
      </c>
      <c r="U167" s="22">
        <f>Info!V52</f>
        <v>0.99271879371852201</v>
      </c>
      <c r="V167" s="22">
        <f>Info!W52</f>
        <v>0.98821543349209895</v>
      </c>
      <c r="W167" s="22">
        <f>Info!X52</f>
        <v>0.99255293114819498</v>
      </c>
      <c r="X167" s="22">
        <f>Info!Y52</f>
        <v>0.99678712480097098</v>
      </c>
      <c r="Y167" s="22">
        <f>Info!Z52</f>
        <v>0.99190724563948796</v>
      </c>
      <c r="Z167" s="22">
        <f>Info!AA52</f>
        <v>0.98325709930185201</v>
      </c>
      <c r="AA167" s="22">
        <f>Info!AB52</f>
        <v>0.97569731498401202</v>
      </c>
      <c r="AB167" s="22">
        <f>Info!AC52</f>
        <v>0.96885555723362804</v>
      </c>
    </row>
    <row r="168" spans="1:28" hidden="1" x14ac:dyDescent="0.3">
      <c r="A168" t="s">
        <v>68</v>
      </c>
      <c r="B168" s="22">
        <f>AVERAGE(B154:B167)</f>
        <v>0.88410202242317015</v>
      </c>
      <c r="C168" s="22">
        <f t="shared" ref="C168:Q168" si="21">AVERAGE(C154:C167)</f>
        <v>0.86215517081035675</v>
      </c>
      <c r="D168" s="22">
        <f t="shared" si="21"/>
        <v>0.86503876400788005</v>
      </c>
      <c r="E168" s="22">
        <f t="shared" si="21"/>
        <v>0.86652745195645553</v>
      </c>
      <c r="F168" s="22">
        <f t="shared" si="21"/>
        <v>0.86926466273674841</v>
      </c>
      <c r="G168" s="22">
        <f t="shared" si="21"/>
        <v>0.87147941995459433</v>
      </c>
      <c r="H168" s="22">
        <f t="shared" si="21"/>
        <v>0.87135900861255511</v>
      </c>
      <c r="I168" s="22">
        <f t="shared" si="21"/>
        <v>0.8726748978501766</v>
      </c>
      <c r="J168" s="22">
        <f t="shared" si="21"/>
        <v>0.86941058576307928</v>
      </c>
      <c r="K168" s="22">
        <f t="shared" si="21"/>
        <v>0.91219775708495821</v>
      </c>
      <c r="L168" s="22">
        <f t="shared" si="21"/>
        <v>0.91458533418103283</v>
      </c>
      <c r="M168" s="22">
        <f t="shared" si="21"/>
        <v>0.92274624600705624</v>
      </c>
      <c r="N168" s="22">
        <f t="shared" si="21"/>
        <v>0.93334904991042422</v>
      </c>
      <c r="O168" s="22">
        <f>AVERAGE(O154:O167)</f>
        <v>0.92312350942407106</v>
      </c>
      <c r="P168" s="22">
        <f t="shared" si="21"/>
        <v>0.90972358300449996</v>
      </c>
      <c r="Q168" s="22">
        <f t="shared" si="21"/>
        <v>0.91267813652336804</v>
      </c>
      <c r="R168" s="22">
        <f t="shared" ref="R168:W168" si="22">AVERAGE(R154:R167)</f>
        <v>0.91432238358479867</v>
      </c>
      <c r="S168" s="22">
        <f t="shared" si="22"/>
        <v>0.91965280979669761</v>
      </c>
      <c r="T168" s="22">
        <f t="shared" si="22"/>
        <v>0.9218379599105645</v>
      </c>
      <c r="U168" s="22">
        <f t="shared" si="22"/>
        <v>0.92279999977650218</v>
      </c>
      <c r="V168" s="22">
        <f t="shared" si="22"/>
        <v>0.91800734760332703</v>
      </c>
      <c r="W168" s="22">
        <f t="shared" si="22"/>
        <v>0.91743684007097559</v>
      </c>
      <c r="X168" s="22">
        <f t="shared" ref="X168:Y168" si="23">AVERAGE(X154:X167)</f>
        <v>0.91936211849134042</v>
      </c>
      <c r="Y168" s="22">
        <f t="shared" si="23"/>
        <v>0.91949651278710598</v>
      </c>
      <c r="Z168" s="22">
        <f t="shared" ref="Z168" si="24">AVERAGE(Z154:Z167)</f>
        <v>0.92491243128534784</v>
      </c>
      <c r="AA168" s="22">
        <f>AVERAGE(AA154:AA167)</f>
        <v>0.9248037402296696</v>
      </c>
      <c r="AB168" s="22">
        <f>AVERAGE(AB154:AB167)</f>
        <v>0.92737585733666461</v>
      </c>
    </row>
    <row r="198" spans="1:28" x14ac:dyDescent="0.3">
      <c r="A198" s="3" t="s">
        <v>14</v>
      </c>
      <c r="B198" t="s">
        <v>52</v>
      </c>
      <c r="C198" t="s">
        <v>53</v>
      </c>
      <c r="D198" t="s">
        <v>54</v>
      </c>
      <c r="E198" t="s">
        <v>55</v>
      </c>
      <c r="F198" t="s">
        <v>56</v>
      </c>
      <c r="G198" t="s">
        <v>57</v>
      </c>
      <c r="H198" t="s">
        <v>58</v>
      </c>
      <c r="I198" t="s">
        <v>59</v>
      </c>
      <c r="J198" t="s">
        <v>60</v>
      </c>
      <c r="K198" t="s">
        <v>61</v>
      </c>
      <c r="L198" t="s">
        <v>62</v>
      </c>
      <c r="M198" t="s">
        <v>63</v>
      </c>
      <c r="N198" t="s">
        <v>64</v>
      </c>
      <c r="O198" t="s">
        <v>65</v>
      </c>
      <c r="P198" t="s">
        <v>101</v>
      </c>
      <c r="Q198" t="s">
        <v>102</v>
      </c>
      <c r="R198" t="s">
        <v>103</v>
      </c>
      <c r="S198" t="s">
        <v>108</v>
      </c>
      <c r="T198" t="s">
        <v>110</v>
      </c>
      <c r="U198" t="s">
        <v>112</v>
      </c>
      <c r="V198" t="s">
        <v>115</v>
      </c>
      <c r="W198" t="s">
        <v>117</v>
      </c>
      <c r="X198" t="s">
        <v>121</v>
      </c>
      <c r="Y198" t="s">
        <v>125</v>
      </c>
      <c r="Z198" t="s">
        <v>127</v>
      </c>
      <c r="AA198" t="s">
        <v>143</v>
      </c>
      <c r="AB198" t="s">
        <v>144</v>
      </c>
    </row>
    <row r="199" spans="1:28" hidden="1" x14ac:dyDescent="0.3">
      <c r="A199" t="s">
        <v>12</v>
      </c>
      <c r="B199">
        <f>Info!C5</f>
        <v>5094</v>
      </c>
      <c r="C199">
        <f>Info!D5</f>
        <v>5121</v>
      </c>
      <c r="D199">
        <f>Info!E5</f>
        <v>5169</v>
      </c>
      <c r="E199">
        <f>Info!F5</f>
        <v>5181</v>
      </c>
      <c r="F199">
        <f>Info!G5</f>
        <v>5163</v>
      </c>
      <c r="G199">
        <f>Info!H5</f>
        <v>5188</v>
      </c>
      <c r="H199">
        <f>Info!I5</f>
        <v>5209</v>
      </c>
      <c r="I199">
        <f>Info!J5</f>
        <v>5191</v>
      </c>
      <c r="J199">
        <f>Info!K5</f>
        <v>5206</v>
      </c>
      <c r="K199">
        <f>Info!L5</f>
        <v>5220</v>
      </c>
      <c r="L199">
        <f>Info!M5</f>
        <v>5284</v>
      </c>
      <c r="M199">
        <f>Info!N5</f>
        <v>5400</v>
      </c>
      <c r="N199">
        <f>Info!O5</f>
        <v>5493</v>
      </c>
      <c r="O199">
        <f>Info!P5</f>
        <v>6477</v>
      </c>
      <c r="P199">
        <f>Info!Q5</f>
        <v>6493</v>
      </c>
      <c r="Q199">
        <f>Info!R5</f>
        <v>6484</v>
      </c>
      <c r="R199">
        <f>Info!S5</f>
        <v>6465</v>
      </c>
      <c r="S199">
        <f>Info!T5</f>
        <v>6467</v>
      </c>
      <c r="T199">
        <f>Info!U5</f>
        <v>6437</v>
      </c>
      <c r="U199">
        <f>Info!V5</f>
        <v>6417</v>
      </c>
      <c r="V199">
        <f>Info!W5</f>
        <v>6399</v>
      </c>
      <c r="W199">
        <f>Info!X5</f>
        <v>6404</v>
      </c>
      <c r="X199">
        <f>Info!Y5</f>
        <v>6376</v>
      </c>
      <c r="Y199">
        <f>Info!Z5</f>
        <v>6338</v>
      </c>
      <c r="Z199">
        <f>Info!AA5</f>
        <v>6299</v>
      </c>
      <c r="AA199">
        <f>Info!AB5</f>
        <v>6276</v>
      </c>
      <c r="AB199">
        <f>Info!AC5</f>
        <v>6258</v>
      </c>
    </row>
    <row r="200" spans="1:28" hidden="1" x14ac:dyDescent="0.3">
      <c r="A200" t="s">
        <v>0</v>
      </c>
      <c r="B200">
        <f>Info!C6</f>
        <v>5557</v>
      </c>
      <c r="C200">
        <f>Info!D6</f>
        <v>5568</v>
      </c>
      <c r="D200">
        <f>Info!E6</f>
        <v>5578</v>
      </c>
      <c r="E200">
        <f>Info!F6</f>
        <v>5589</v>
      </c>
      <c r="F200">
        <f>Info!G6</f>
        <v>5608</v>
      </c>
      <c r="G200">
        <f>Info!H6</f>
        <v>5603</v>
      </c>
      <c r="H200">
        <f>Info!I6</f>
        <v>5580</v>
      </c>
      <c r="I200">
        <f>Info!J6</f>
        <v>5601</v>
      </c>
      <c r="J200">
        <f>Info!K6</f>
        <v>5627</v>
      </c>
      <c r="K200">
        <f>Info!L6</f>
        <v>5653</v>
      </c>
      <c r="L200">
        <f>Info!M6</f>
        <v>5691</v>
      </c>
      <c r="M200">
        <f>Info!N6</f>
        <v>5786</v>
      </c>
      <c r="N200">
        <f>Info!O6</f>
        <v>5872</v>
      </c>
      <c r="O200">
        <f>Info!P6</f>
        <v>6055</v>
      </c>
      <c r="P200">
        <f>Info!Q6</f>
        <v>6038</v>
      </c>
      <c r="Q200">
        <f>Info!R6</f>
        <v>6037</v>
      </c>
      <c r="R200">
        <f>Info!S6</f>
        <v>6036</v>
      </c>
      <c r="S200">
        <f>Info!T6</f>
        <v>6015</v>
      </c>
      <c r="T200">
        <f>Info!U6</f>
        <v>6004</v>
      </c>
      <c r="U200">
        <f>Info!V6</f>
        <v>6018</v>
      </c>
      <c r="V200">
        <f>Info!W6</f>
        <v>6001</v>
      </c>
      <c r="W200">
        <f>Info!X6</f>
        <v>5975</v>
      </c>
      <c r="X200">
        <f>Info!Y6</f>
        <v>5990</v>
      </c>
      <c r="Y200">
        <f>Info!Z6</f>
        <v>5984</v>
      </c>
      <c r="Z200">
        <f>Info!AA6</f>
        <v>5971</v>
      </c>
      <c r="AA200">
        <f>Info!AB6</f>
        <v>5981</v>
      </c>
      <c r="AB200">
        <f>Info!AC6</f>
        <v>5963</v>
      </c>
    </row>
    <row r="201" spans="1:28" hidden="1" x14ac:dyDescent="0.3">
      <c r="A201" t="s">
        <v>2</v>
      </c>
      <c r="B201">
        <f>Info!C7</f>
        <v>4304</v>
      </c>
      <c r="C201">
        <f>Info!D7</f>
        <v>4262</v>
      </c>
      <c r="D201">
        <f>Info!E7</f>
        <v>4221</v>
      </c>
      <c r="E201">
        <f>Info!F7</f>
        <v>4188</v>
      </c>
      <c r="F201">
        <f>Info!G7</f>
        <v>4176</v>
      </c>
      <c r="G201">
        <f>Info!H7</f>
        <v>4152</v>
      </c>
      <c r="H201">
        <f>Info!I7</f>
        <v>4144</v>
      </c>
      <c r="I201">
        <f>Info!J7</f>
        <v>4155</v>
      </c>
      <c r="J201">
        <f>Info!K7</f>
        <v>4149</v>
      </c>
      <c r="K201">
        <f>Info!L7</f>
        <v>4170</v>
      </c>
      <c r="L201">
        <f>Info!M7</f>
        <v>4145</v>
      </c>
      <c r="M201">
        <f>Info!N7</f>
        <v>4147</v>
      </c>
      <c r="N201">
        <f>Info!O7</f>
        <v>4146</v>
      </c>
      <c r="O201">
        <f>Info!P7</f>
        <v>4422</v>
      </c>
      <c r="P201">
        <f>Info!Q7</f>
        <v>4403</v>
      </c>
      <c r="Q201">
        <f>Info!R7</f>
        <v>4388</v>
      </c>
      <c r="R201">
        <f>Info!S7</f>
        <v>4379</v>
      </c>
      <c r="S201">
        <f>Info!T7</f>
        <v>4379</v>
      </c>
      <c r="T201">
        <f>Info!U7</f>
        <v>4352</v>
      </c>
      <c r="U201">
        <f>Info!V7</f>
        <v>4329</v>
      </c>
      <c r="V201">
        <f>Info!W7</f>
        <v>4320</v>
      </c>
      <c r="W201">
        <f>Info!X7</f>
        <v>4293</v>
      </c>
      <c r="X201">
        <f>Info!Y7</f>
        <v>4287</v>
      </c>
      <c r="Y201">
        <f>Info!Z7</f>
        <v>4273</v>
      </c>
      <c r="Z201">
        <f>Info!AA7</f>
        <v>4266</v>
      </c>
      <c r="AA201">
        <f>Info!AB7</f>
        <v>4251</v>
      </c>
      <c r="AB201">
        <f>Info!AC7</f>
        <v>4226</v>
      </c>
    </row>
    <row r="202" spans="1:28" hidden="1" x14ac:dyDescent="0.3">
      <c r="A202" t="s">
        <v>13</v>
      </c>
      <c r="B202">
        <f>Info!C8</f>
        <v>0</v>
      </c>
      <c r="C202">
        <f>Info!D8</f>
        <v>0</v>
      </c>
      <c r="D202">
        <f>Info!E8</f>
        <v>0</v>
      </c>
      <c r="E202">
        <f>Info!F8</f>
        <v>0</v>
      </c>
      <c r="F202">
        <f>Info!G8</f>
        <v>0</v>
      </c>
      <c r="G202">
        <f>Info!H8</f>
        <v>0</v>
      </c>
      <c r="H202">
        <f>Info!I8</f>
        <v>0</v>
      </c>
      <c r="I202">
        <f>Info!J8</f>
        <v>0</v>
      </c>
      <c r="J202">
        <f>Info!K8</f>
        <v>0</v>
      </c>
      <c r="K202">
        <f>Info!L8</f>
        <v>195</v>
      </c>
      <c r="L202">
        <f>Info!M8</f>
        <v>358</v>
      </c>
      <c r="M202">
        <f>Info!N8</f>
        <v>469</v>
      </c>
      <c r="N202">
        <f>Info!O8</f>
        <v>546</v>
      </c>
      <c r="O202">
        <f>Info!P8</f>
        <v>635</v>
      </c>
      <c r="P202">
        <f>Info!Q8</f>
        <v>705</v>
      </c>
      <c r="Q202">
        <f>Info!R8</f>
        <v>767</v>
      </c>
      <c r="R202">
        <f>Info!S8</f>
        <v>826</v>
      </c>
      <c r="S202">
        <f>Info!T8</f>
        <v>878</v>
      </c>
      <c r="T202">
        <f>Info!U8</f>
        <v>954</v>
      </c>
      <c r="U202">
        <f>Info!V8</f>
        <v>1025</v>
      </c>
      <c r="V202">
        <f>Info!W8</f>
        <v>1153</v>
      </c>
      <c r="W202">
        <f>Info!X8</f>
        <v>1275</v>
      </c>
      <c r="X202">
        <f>Info!Y8</f>
        <v>1376</v>
      </c>
      <c r="Y202">
        <f>Info!Z8</f>
        <v>1456</v>
      </c>
      <c r="Z202">
        <f>Info!AA8</f>
        <v>1521</v>
      </c>
      <c r="AA202">
        <f>Info!AB8</f>
        <v>1613</v>
      </c>
      <c r="AB202">
        <f>Info!AC8</f>
        <v>1679</v>
      </c>
    </row>
    <row r="203" spans="1:28" hidden="1" x14ac:dyDescent="0.3">
      <c r="A203" t="s">
        <v>8</v>
      </c>
      <c r="B203">
        <f>Info!C9</f>
        <v>1621</v>
      </c>
      <c r="C203">
        <f>Info!D9</f>
        <v>1615</v>
      </c>
      <c r="D203">
        <f>Info!E9</f>
        <v>1609</v>
      </c>
      <c r="E203">
        <f>Info!F9</f>
        <v>1604</v>
      </c>
      <c r="F203">
        <f>Info!G9</f>
        <v>1599</v>
      </c>
      <c r="G203">
        <f>Info!H9</f>
        <v>1591</v>
      </c>
      <c r="H203">
        <f>Info!I9</f>
        <v>1577</v>
      </c>
      <c r="I203">
        <f>Info!J9</f>
        <v>1568</v>
      </c>
      <c r="J203">
        <f>Info!K9</f>
        <v>1548</v>
      </c>
      <c r="K203">
        <f>Info!L9</f>
        <v>1546</v>
      </c>
      <c r="L203">
        <f>Info!M9</f>
        <v>1556</v>
      </c>
      <c r="M203">
        <f>Info!N9</f>
        <v>1566</v>
      </c>
      <c r="N203">
        <f>Info!O9</f>
        <v>1570</v>
      </c>
      <c r="O203">
        <f>Info!P9</f>
        <v>1627</v>
      </c>
      <c r="P203">
        <f>Info!Q9</f>
        <v>1617</v>
      </c>
      <c r="Q203">
        <f>Info!R9</f>
        <v>1623</v>
      </c>
      <c r="R203">
        <f>Info!S9</f>
        <v>1609</v>
      </c>
      <c r="S203">
        <f>Info!T9</f>
        <v>1602</v>
      </c>
      <c r="T203">
        <f>Info!U9</f>
        <v>1588</v>
      </c>
      <c r="U203">
        <f>Info!V9</f>
        <v>1573</v>
      </c>
      <c r="V203">
        <f>Info!W9</f>
        <v>1561</v>
      </c>
      <c r="W203">
        <f>Info!X9</f>
        <v>1547</v>
      </c>
      <c r="X203">
        <f>Info!Y9</f>
        <v>1539</v>
      </c>
      <c r="Y203">
        <f>Info!Z9</f>
        <v>1531</v>
      </c>
      <c r="Z203">
        <f>Info!AA9</f>
        <v>1524</v>
      </c>
      <c r="AA203">
        <f>Info!AB9</f>
        <v>1506</v>
      </c>
      <c r="AB203">
        <f>Info!AC9</f>
        <v>1501</v>
      </c>
    </row>
    <row r="204" spans="1:28" hidden="1" x14ac:dyDescent="0.3">
      <c r="A204" t="s">
        <v>4</v>
      </c>
      <c r="B204">
        <f>Info!C10</f>
        <v>8160</v>
      </c>
      <c r="C204">
        <f>Info!D10</f>
        <v>8140</v>
      </c>
      <c r="D204">
        <f>Info!E10</f>
        <v>8115</v>
      </c>
      <c r="E204">
        <f>Info!F10</f>
        <v>8102</v>
      </c>
      <c r="F204">
        <f>Info!G10</f>
        <v>8110</v>
      </c>
      <c r="G204">
        <f>Info!H10</f>
        <v>8098</v>
      </c>
      <c r="H204">
        <f>Info!I10</f>
        <v>8097</v>
      </c>
      <c r="I204">
        <f>Info!J10</f>
        <v>8077</v>
      </c>
      <c r="J204">
        <f>Info!K10</f>
        <v>8085</v>
      </c>
      <c r="K204">
        <f>Info!L10</f>
        <v>8125</v>
      </c>
      <c r="L204">
        <f>Info!M10</f>
        <v>8128</v>
      </c>
      <c r="M204">
        <f>Info!N10</f>
        <v>8130</v>
      </c>
      <c r="N204">
        <f>Info!O10</f>
        <v>8148</v>
      </c>
      <c r="O204">
        <f>Info!P10</f>
        <v>8168</v>
      </c>
      <c r="P204">
        <f>Info!Q10</f>
        <v>8167</v>
      </c>
      <c r="Q204">
        <f>Info!R10</f>
        <v>8191</v>
      </c>
      <c r="R204">
        <f>Info!S10</f>
        <v>8187</v>
      </c>
      <c r="S204">
        <f>Info!T10</f>
        <v>8155</v>
      </c>
      <c r="T204">
        <f>Info!U10</f>
        <v>8133</v>
      </c>
      <c r="U204">
        <f>Info!V10</f>
        <v>8129</v>
      </c>
      <c r="V204">
        <f>Info!W10</f>
        <v>8149</v>
      </c>
      <c r="W204">
        <f>Info!X10</f>
        <v>8158</v>
      </c>
      <c r="X204">
        <f>Info!Y10</f>
        <v>8143</v>
      </c>
      <c r="Y204">
        <f>Info!Z10</f>
        <v>8124</v>
      </c>
      <c r="Z204">
        <f>Info!AA10</f>
        <v>8088</v>
      </c>
      <c r="AA204">
        <f>Info!AB10</f>
        <v>8033</v>
      </c>
      <c r="AB204">
        <f>Info!AC10</f>
        <v>8009</v>
      </c>
    </row>
    <row r="205" spans="1:28" hidden="1" x14ac:dyDescent="0.3">
      <c r="A205" t="s">
        <v>7</v>
      </c>
      <c r="B205">
        <f>Info!C11</f>
        <v>6273</v>
      </c>
      <c r="C205">
        <f>Info!D11</f>
        <v>6299</v>
      </c>
      <c r="D205">
        <f>Info!E11</f>
        <v>6278</v>
      </c>
      <c r="E205">
        <f>Info!F11</f>
        <v>6310</v>
      </c>
      <c r="F205">
        <f>Info!G11</f>
        <v>6311</v>
      </c>
      <c r="G205">
        <f>Info!H11</f>
        <v>6327</v>
      </c>
      <c r="H205">
        <f>Info!I11</f>
        <v>6321</v>
      </c>
      <c r="I205">
        <f>Info!J11</f>
        <v>6371</v>
      </c>
      <c r="J205">
        <f>Info!K11</f>
        <v>6451</v>
      </c>
      <c r="K205">
        <f>Info!L11</f>
        <v>6525</v>
      </c>
      <c r="L205">
        <f>Info!M11</f>
        <v>6612</v>
      </c>
      <c r="M205">
        <f>Info!N11</f>
        <v>6650</v>
      </c>
      <c r="N205">
        <f>Info!O11</f>
        <v>6670</v>
      </c>
      <c r="O205">
        <f>Info!P11</f>
        <v>6731</v>
      </c>
      <c r="P205">
        <f>Info!Q11</f>
        <v>6754</v>
      </c>
      <c r="Q205">
        <f>Info!R11</f>
        <v>6820</v>
      </c>
      <c r="R205">
        <f>Info!S11</f>
        <v>6816</v>
      </c>
      <c r="S205">
        <f>Info!T11</f>
        <v>6869</v>
      </c>
      <c r="T205">
        <f>Info!U11</f>
        <v>6890</v>
      </c>
      <c r="U205">
        <f>Info!V11</f>
        <v>6878</v>
      </c>
      <c r="V205">
        <f>Info!W11</f>
        <v>6918</v>
      </c>
      <c r="W205">
        <f>Info!X11</f>
        <v>6940</v>
      </c>
      <c r="X205">
        <f>Info!Y11</f>
        <v>6966</v>
      </c>
      <c r="Y205">
        <f>Info!Z11</f>
        <v>6951</v>
      </c>
      <c r="Z205">
        <f>Info!AA11</f>
        <v>6977</v>
      </c>
      <c r="AA205">
        <f>Info!AB11</f>
        <v>6971</v>
      </c>
      <c r="AB205">
        <f>Info!AC11</f>
        <v>6969</v>
      </c>
    </row>
    <row r="206" spans="1:28" hidden="1" x14ac:dyDescent="0.3">
      <c r="A206" t="s">
        <v>6</v>
      </c>
      <c r="B206">
        <f>Info!C12</f>
        <v>3982</v>
      </c>
      <c r="C206">
        <f>Info!D12</f>
        <v>4021</v>
      </c>
      <c r="D206">
        <f>Info!E12</f>
        <v>4081</v>
      </c>
      <c r="E206">
        <f>Info!F12</f>
        <v>4136</v>
      </c>
      <c r="F206">
        <f>Info!G12</f>
        <v>4144</v>
      </c>
      <c r="G206">
        <f>Info!H12</f>
        <v>4146</v>
      </c>
      <c r="H206">
        <f>Info!I12</f>
        <v>4073</v>
      </c>
      <c r="I206">
        <f>Info!J12</f>
        <v>4038</v>
      </c>
      <c r="J206">
        <f>Info!K12</f>
        <v>4065</v>
      </c>
      <c r="K206">
        <f>Info!L12</f>
        <v>4093</v>
      </c>
      <c r="L206">
        <f>Info!M12</f>
        <v>4105</v>
      </c>
      <c r="M206">
        <f>Info!N12</f>
        <v>4094</v>
      </c>
      <c r="N206">
        <f>Info!O12</f>
        <v>4106</v>
      </c>
      <c r="O206">
        <f>Info!P12</f>
        <v>4161</v>
      </c>
      <c r="P206">
        <f>Info!Q12</f>
        <v>4169</v>
      </c>
      <c r="Q206">
        <f>Info!R12</f>
        <v>4194</v>
      </c>
      <c r="R206">
        <f>Info!S12</f>
        <v>4180</v>
      </c>
      <c r="S206">
        <f>Info!T12</f>
        <v>4219</v>
      </c>
      <c r="T206">
        <f>Info!U12</f>
        <v>4224</v>
      </c>
      <c r="U206">
        <f>Info!V12</f>
        <v>4223</v>
      </c>
      <c r="V206">
        <f>Info!W12</f>
        <v>4253</v>
      </c>
      <c r="W206">
        <f>Info!X12</f>
        <v>4265</v>
      </c>
      <c r="X206">
        <f>Info!Y12</f>
        <v>4270</v>
      </c>
      <c r="Y206">
        <f>Info!Z12</f>
        <v>4280</v>
      </c>
      <c r="Z206">
        <f>Info!AA12</f>
        <v>4285</v>
      </c>
      <c r="AA206">
        <f>Info!AB12</f>
        <v>4325</v>
      </c>
      <c r="AB206">
        <f>Info!AC12</f>
        <v>4332</v>
      </c>
    </row>
    <row r="207" spans="1:28" x14ac:dyDescent="0.3">
      <c r="A207" t="s">
        <v>5</v>
      </c>
      <c r="B207">
        <f>Info!C13</f>
        <v>1568</v>
      </c>
      <c r="C207">
        <f>Info!D13</f>
        <v>1565</v>
      </c>
      <c r="D207">
        <f>Info!E13</f>
        <v>1561</v>
      </c>
      <c r="E207">
        <f>Info!F13</f>
        <v>1558</v>
      </c>
      <c r="F207">
        <f>Info!G13</f>
        <v>1552</v>
      </c>
      <c r="G207">
        <f>Info!H13</f>
        <v>1552</v>
      </c>
      <c r="H207">
        <f>Info!I13</f>
        <v>1573</v>
      </c>
      <c r="I207">
        <f>Info!J13</f>
        <v>1584</v>
      </c>
      <c r="J207">
        <f>Info!K13</f>
        <v>1570</v>
      </c>
      <c r="K207">
        <f>Info!L13</f>
        <v>1577</v>
      </c>
      <c r="L207">
        <f>Info!M13</f>
        <v>1578</v>
      </c>
      <c r="M207">
        <f>Info!N13</f>
        <v>1564</v>
      </c>
      <c r="N207">
        <f>Info!O13</f>
        <v>1553</v>
      </c>
      <c r="O207">
        <f>Info!P13</f>
        <v>1556</v>
      </c>
      <c r="P207">
        <f>Info!Q13</f>
        <v>1558</v>
      </c>
      <c r="Q207">
        <f>Info!R13</f>
        <v>1567</v>
      </c>
      <c r="R207">
        <f>Info!S13</f>
        <v>1553</v>
      </c>
      <c r="S207">
        <f>Info!T13</f>
        <v>1541</v>
      </c>
      <c r="T207">
        <f>Info!U13</f>
        <v>1541</v>
      </c>
      <c r="U207">
        <f>Info!V13</f>
        <v>1539</v>
      </c>
      <c r="V207">
        <f>Info!W13</f>
        <v>1539</v>
      </c>
      <c r="W207">
        <f>Info!X13</f>
        <v>1527</v>
      </c>
      <c r="X207">
        <f>Info!Y13</f>
        <v>1519</v>
      </c>
      <c r="Y207">
        <f>Info!Z13</f>
        <v>1511</v>
      </c>
      <c r="Z207">
        <f>Info!AA13</f>
        <v>1528</v>
      </c>
      <c r="AA207">
        <f>Info!AB13</f>
        <v>1541</v>
      </c>
      <c r="AB207">
        <f>Info!AC13</f>
        <v>1535</v>
      </c>
    </row>
    <row r="208" spans="1:28" hidden="1" x14ac:dyDescent="0.3">
      <c r="A208" t="s">
        <v>11</v>
      </c>
      <c r="B208">
        <f>Info!C14</f>
        <v>6618</v>
      </c>
      <c r="C208">
        <f>Info!D14</f>
        <v>6636</v>
      </c>
      <c r="D208">
        <f>Info!E14</f>
        <v>6673</v>
      </c>
      <c r="E208">
        <f>Info!F14</f>
        <v>6670</v>
      </c>
      <c r="F208">
        <f>Info!G14</f>
        <v>6649</v>
      </c>
      <c r="G208">
        <f>Info!H14</f>
        <v>6656</v>
      </c>
      <c r="H208">
        <f>Info!I14</f>
        <v>6652</v>
      </c>
      <c r="I208">
        <f>Info!J14</f>
        <v>6631</v>
      </c>
      <c r="J208">
        <f>Info!K14</f>
        <v>6675</v>
      </c>
      <c r="K208">
        <f>Info!L14</f>
        <v>6695</v>
      </c>
      <c r="L208">
        <f>Info!M14</f>
        <v>6725</v>
      </c>
      <c r="M208">
        <f>Info!N14</f>
        <v>6758</v>
      </c>
      <c r="N208">
        <f>Info!O14</f>
        <v>6751</v>
      </c>
      <c r="O208">
        <f>Info!P14</f>
        <v>6992</v>
      </c>
      <c r="P208">
        <f>Info!Q14</f>
        <v>6983</v>
      </c>
      <c r="Q208">
        <f>Info!R14</f>
        <v>6967</v>
      </c>
      <c r="R208">
        <f>Info!S14</f>
        <v>6959</v>
      </c>
      <c r="S208">
        <f>Info!T14</f>
        <v>6866</v>
      </c>
      <c r="T208">
        <f>Info!U14</f>
        <v>6774</v>
      </c>
      <c r="U208">
        <f>Info!V14</f>
        <v>6712</v>
      </c>
      <c r="V208">
        <f>Info!W14</f>
        <v>6696</v>
      </c>
      <c r="W208">
        <f>Info!X14</f>
        <v>6634</v>
      </c>
      <c r="X208">
        <f>Info!Y14</f>
        <v>6564</v>
      </c>
      <c r="Y208">
        <f>Info!Z14</f>
        <v>6537</v>
      </c>
      <c r="Z208">
        <f>Info!AA14</f>
        <v>6481</v>
      </c>
      <c r="AA208">
        <f>Info!AB14</f>
        <v>6448</v>
      </c>
      <c r="AB208">
        <f>Info!AC14</f>
        <v>6431</v>
      </c>
    </row>
    <row r="209" spans="1:28" hidden="1" x14ac:dyDescent="0.3">
      <c r="A209" t="s">
        <v>1</v>
      </c>
      <c r="B209">
        <f>Info!C15</f>
        <v>6259</v>
      </c>
      <c r="C209">
        <f>Info!D15</f>
        <v>6254</v>
      </c>
      <c r="D209">
        <f>Info!E15</f>
        <v>6241</v>
      </c>
      <c r="E209">
        <f>Info!F15</f>
        <v>6271</v>
      </c>
      <c r="F209">
        <f>Info!G15</f>
        <v>6277</v>
      </c>
      <c r="G209">
        <f>Info!H15</f>
        <v>6292</v>
      </c>
      <c r="H209">
        <f>Info!I15</f>
        <v>6303</v>
      </c>
      <c r="I209">
        <f>Info!J15</f>
        <v>6305</v>
      </c>
      <c r="J209">
        <f>Info!K15</f>
        <v>6353</v>
      </c>
      <c r="K209">
        <f>Info!L15</f>
        <v>6406</v>
      </c>
      <c r="L209">
        <f>Info!M15</f>
        <v>6421</v>
      </c>
      <c r="M209">
        <f>Info!N15</f>
        <v>6425</v>
      </c>
      <c r="N209">
        <f>Info!O15</f>
        <v>6444</v>
      </c>
      <c r="O209">
        <f>Info!P15</f>
        <v>6525</v>
      </c>
      <c r="P209">
        <f>Info!Q15</f>
        <v>6515</v>
      </c>
      <c r="Q209">
        <f>Info!R15</f>
        <v>6537</v>
      </c>
      <c r="R209">
        <f>Info!S15</f>
        <v>6546</v>
      </c>
      <c r="S209">
        <f>Info!T15</f>
        <v>6536</v>
      </c>
      <c r="T209">
        <f>Info!U15</f>
        <v>6520</v>
      </c>
      <c r="U209">
        <f>Info!V15</f>
        <v>6512</v>
      </c>
      <c r="V209">
        <f>Info!W15</f>
        <v>6508</v>
      </c>
      <c r="W209">
        <f>Info!X15</f>
        <v>6490</v>
      </c>
      <c r="X209">
        <f>Info!Y15</f>
        <v>6477</v>
      </c>
      <c r="Y209">
        <f>Info!Z15</f>
        <v>6446</v>
      </c>
      <c r="Z209">
        <f>Info!AA15</f>
        <v>6420</v>
      </c>
      <c r="AA209">
        <f>Info!AB15</f>
        <v>6381</v>
      </c>
      <c r="AB209">
        <f>Info!AC15</f>
        <v>6372</v>
      </c>
    </row>
    <row r="210" spans="1:28" hidden="1" x14ac:dyDescent="0.3">
      <c r="A210" t="s">
        <v>10</v>
      </c>
      <c r="B210">
        <f>Info!C16</f>
        <v>3444</v>
      </c>
      <c r="C210">
        <f>Info!D16</f>
        <v>3486</v>
      </c>
      <c r="D210">
        <f>Info!E16</f>
        <v>3544</v>
      </c>
      <c r="E210">
        <f>Info!F16</f>
        <v>3620</v>
      </c>
      <c r="F210">
        <f>Info!G16</f>
        <v>3666</v>
      </c>
      <c r="G210">
        <f>Info!H16</f>
        <v>3727</v>
      </c>
      <c r="H210">
        <f>Info!I16</f>
        <v>3769</v>
      </c>
      <c r="I210">
        <f>Info!J16</f>
        <v>3827</v>
      </c>
      <c r="J210">
        <f>Info!K16</f>
        <v>3912</v>
      </c>
      <c r="K210">
        <f>Info!L16</f>
        <v>4013</v>
      </c>
      <c r="L210">
        <f>Info!M16</f>
        <v>4114</v>
      </c>
      <c r="M210">
        <f>Info!N16</f>
        <v>4170</v>
      </c>
      <c r="N210">
        <f>Info!O16</f>
        <v>4217</v>
      </c>
      <c r="O210">
        <f>Info!P16</f>
        <v>4374</v>
      </c>
      <c r="P210">
        <f>Info!Q16</f>
        <v>4451</v>
      </c>
      <c r="Q210">
        <f>Info!R16</f>
        <v>4498</v>
      </c>
      <c r="R210">
        <f>Info!S16</f>
        <v>4487</v>
      </c>
      <c r="S210">
        <f>Info!T16</f>
        <v>4503</v>
      </c>
      <c r="T210">
        <f>Info!U16</f>
        <v>4528</v>
      </c>
      <c r="U210">
        <f>Info!V16</f>
        <v>4546</v>
      </c>
      <c r="V210">
        <f>Info!W16</f>
        <v>4619</v>
      </c>
      <c r="W210">
        <f>Info!X16</f>
        <v>4679</v>
      </c>
      <c r="X210">
        <f>Info!Y16</f>
        <v>4707</v>
      </c>
      <c r="Y210">
        <f>Info!Z16</f>
        <v>4740</v>
      </c>
      <c r="Z210">
        <f>Info!AA16</f>
        <v>4776</v>
      </c>
      <c r="AA210">
        <f>Info!AB16</f>
        <v>4809</v>
      </c>
      <c r="AB210">
        <f>Info!AC16</f>
        <v>4845</v>
      </c>
    </row>
    <row r="211" spans="1:28" hidden="1" x14ac:dyDescent="0.3">
      <c r="A211" t="s">
        <v>9</v>
      </c>
      <c r="B211">
        <f>Info!C17</f>
        <v>5788</v>
      </c>
      <c r="C211">
        <f>Info!D17</f>
        <v>5780</v>
      </c>
      <c r="D211">
        <f>Info!E17</f>
        <v>5783</v>
      </c>
      <c r="E211">
        <f>Info!F17</f>
        <v>5791</v>
      </c>
      <c r="F211">
        <f>Info!G17</f>
        <v>5829</v>
      </c>
      <c r="G211">
        <f>Info!H17</f>
        <v>5846</v>
      </c>
      <c r="H211">
        <f>Info!I17</f>
        <v>5857</v>
      </c>
      <c r="I211">
        <f>Info!J17</f>
        <v>5871</v>
      </c>
      <c r="J211">
        <f>Info!K17</f>
        <v>5876</v>
      </c>
      <c r="K211">
        <f>Info!L17</f>
        <v>5841</v>
      </c>
      <c r="L211">
        <f>Info!M17</f>
        <v>5848</v>
      </c>
      <c r="M211">
        <f>Info!N17</f>
        <v>5847</v>
      </c>
      <c r="N211">
        <f>Info!O17</f>
        <v>5845</v>
      </c>
      <c r="O211">
        <f>Info!P17</f>
        <v>5827</v>
      </c>
      <c r="P211">
        <f>Info!Q17</f>
        <v>5797</v>
      </c>
      <c r="Q211">
        <f>Info!R17</f>
        <v>5798</v>
      </c>
      <c r="R211">
        <f>Info!S17</f>
        <v>5799</v>
      </c>
      <c r="S211">
        <f>Info!T17</f>
        <v>5780</v>
      </c>
      <c r="T211">
        <f>Info!U17</f>
        <v>5786</v>
      </c>
      <c r="U211">
        <f>Info!V17</f>
        <v>5761</v>
      </c>
      <c r="V211">
        <f>Info!W17</f>
        <v>5738</v>
      </c>
      <c r="W211">
        <f>Info!X17</f>
        <v>5710</v>
      </c>
      <c r="X211">
        <f>Info!Y17</f>
        <v>5688</v>
      </c>
      <c r="Y211">
        <f>Info!Z17</f>
        <v>5659</v>
      </c>
      <c r="Z211">
        <f>Info!AA17</f>
        <v>5635</v>
      </c>
      <c r="AA211">
        <f>Info!AB17</f>
        <v>5621</v>
      </c>
      <c r="AB211">
        <f>Info!AC17</f>
        <v>5623</v>
      </c>
    </row>
    <row r="212" spans="1:28" hidden="1" x14ac:dyDescent="0.3">
      <c r="A212" t="s">
        <v>3</v>
      </c>
      <c r="B212">
        <f>Info!C18</f>
        <v>5092</v>
      </c>
      <c r="C212">
        <f>Info!D18</f>
        <v>5091</v>
      </c>
      <c r="D212">
        <f>Info!E18</f>
        <v>5085</v>
      </c>
      <c r="E212">
        <f>Info!F18</f>
        <v>5063</v>
      </c>
      <c r="F212">
        <f>Info!G18</f>
        <v>5057</v>
      </c>
      <c r="G212">
        <f>Info!H18</f>
        <v>5057</v>
      </c>
      <c r="H212">
        <f>Info!I18</f>
        <v>5054</v>
      </c>
      <c r="I212">
        <f>Info!J18</f>
        <v>5059</v>
      </c>
      <c r="J212">
        <f>Info!K18</f>
        <v>5045</v>
      </c>
      <c r="K212">
        <f>Info!L18</f>
        <v>5032</v>
      </c>
      <c r="L212">
        <f>Info!M18</f>
        <v>5035</v>
      </c>
      <c r="M212">
        <f>Info!N18</f>
        <v>5061</v>
      </c>
      <c r="N212">
        <f>Info!O18</f>
        <v>5063</v>
      </c>
      <c r="O212">
        <f>Info!P18</f>
        <v>5052</v>
      </c>
      <c r="P212">
        <f>Info!Q18</f>
        <v>5075</v>
      </c>
      <c r="Q212">
        <f>Info!R18</f>
        <v>5063</v>
      </c>
      <c r="R212">
        <f>Info!S18</f>
        <v>5030</v>
      </c>
      <c r="S212">
        <f>Info!T18</f>
        <v>5041</v>
      </c>
      <c r="T212">
        <f>Info!U18</f>
        <v>5030</v>
      </c>
      <c r="U212">
        <f>Info!V18</f>
        <v>5020</v>
      </c>
      <c r="V212">
        <f>Info!W18</f>
        <v>5022</v>
      </c>
      <c r="W212">
        <f>Info!X18</f>
        <v>5013</v>
      </c>
      <c r="X212">
        <f>Info!Y18</f>
        <v>5009</v>
      </c>
      <c r="Y212">
        <f>Info!Z18</f>
        <v>5019</v>
      </c>
      <c r="Z212">
        <f>Info!AA18</f>
        <v>5028</v>
      </c>
      <c r="AA212">
        <f>Info!AB18</f>
        <v>5043</v>
      </c>
      <c r="AB212">
        <f>Info!AC18</f>
        <v>5034</v>
      </c>
    </row>
    <row r="240" spans="1:28" x14ac:dyDescent="0.3">
      <c r="A240" t="s">
        <v>105</v>
      </c>
      <c r="B240" t="s">
        <v>52</v>
      </c>
      <c r="C240" t="s">
        <v>53</v>
      </c>
      <c r="D240" t="s">
        <v>54</v>
      </c>
      <c r="E240" t="s">
        <v>55</v>
      </c>
      <c r="F240" t="s">
        <v>56</v>
      </c>
      <c r="G240" t="s">
        <v>57</v>
      </c>
      <c r="H240" t="s">
        <v>58</v>
      </c>
      <c r="I240" t="s">
        <v>59</v>
      </c>
      <c r="J240" t="s">
        <v>60</v>
      </c>
      <c r="K240" t="s">
        <v>61</v>
      </c>
      <c r="L240" t="s">
        <v>62</v>
      </c>
      <c r="M240" t="s">
        <v>63</v>
      </c>
      <c r="N240" t="s">
        <v>64</v>
      </c>
      <c r="O240" t="s">
        <v>65</v>
      </c>
      <c r="P240" t="s">
        <v>101</v>
      </c>
      <c r="Q240" t="s">
        <v>102</v>
      </c>
      <c r="R240" t="s">
        <v>103</v>
      </c>
      <c r="S240" t="s">
        <v>108</v>
      </c>
      <c r="T240" t="s">
        <v>110</v>
      </c>
      <c r="U240" t="s">
        <v>112</v>
      </c>
      <c r="V240" t="s">
        <v>115</v>
      </c>
      <c r="W240" t="s">
        <v>117</v>
      </c>
      <c r="X240" t="s">
        <v>121</v>
      </c>
      <c r="Y240" t="s">
        <v>125</v>
      </c>
      <c r="Z240" t="s">
        <v>127</v>
      </c>
      <c r="AA240" t="s">
        <v>143</v>
      </c>
      <c r="AB240" t="s">
        <v>144</v>
      </c>
    </row>
    <row r="241" spans="1:28" x14ac:dyDescent="0.3">
      <c r="A241" t="s">
        <v>106</v>
      </c>
      <c r="B241">
        <f>Info!C19</f>
        <v>63760</v>
      </c>
      <c r="C241">
        <f>Info!D19</f>
        <v>63838</v>
      </c>
      <c r="D241">
        <f>Info!E19</f>
        <v>63938</v>
      </c>
      <c r="E241">
        <f>Info!F19</f>
        <v>64083</v>
      </c>
      <c r="F241">
        <f>Info!G19</f>
        <v>64141</v>
      </c>
      <c r="G241">
        <f>Info!H19</f>
        <v>64235</v>
      </c>
      <c r="H241">
        <f>Info!I19</f>
        <v>64209</v>
      </c>
      <c r="I241">
        <f>Info!J19</f>
        <v>64278</v>
      </c>
      <c r="J241">
        <f>Info!K19</f>
        <v>64562</v>
      </c>
      <c r="K241">
        <f>Info!L19</f>
        <v>65091</v>
      </c>
      <c r="L241">
        <f>Info!M19</f>
        <v>65600</v>
      </c>
      <c r="M241">
        <f>Info!N19</f>
        <v>66067</v>
      </c>
      <c r="N241">
        <f>Info!O19</f>
        <v>66424</v>
      </c>
      <c r="O241">
        <f>Info!P19</f>
        <v>68602</v>
      </c>
      <c r="P241">
        <f>Info!Q19</f>
        <v>68725</v>
      </c>
      <c r="Q241">
        <f>Info!R19</f>
        <v>68934</v>
      </c>
      <c r="R241">
        <f>Info!S19</f>
        <v>68872</v>
      </c>
      <c r="S241">
        <f>Info!T19</f>
        <v>68851</v>
      </c>
      <c r="T241">
        <f>Info!U19</f>
        <v>68761</v>
      </c>
      <c r="U241">
        <f>Info!V19</f>
        <v>68682</v>
      </c>
      <c r="V241">
        <f>Info!W19</f>
        <v>68876</v>
      </c>
      <c r="W241">
        <f>Info!X19</f>
        <v>68910</v>
      </c>
      <c r="X241">
        <f>Info!Y19</f>
        <v>68911</v>
      </c>
      <c r="Y241">
        <f>Info!Z19</f>
        <v>68849</v>
      </c>
      <c r="Z241">
        <f>Info!AA19</f>
        <v>68799</v>
      </c>
      <c r="AA241">
        <f>Info!AB19</f>
        <v>68799</v>
      </c>
      <c r="AB241">
        <f>Info!AC19</f>
        <v>68777</v>
      </c>
    </row>
    <row r="264" spans="1:28" x14ac:dyDescent="0.3">
      <c r="A264" s="3" t="s">
        <v>16</v>
      </c>
      <c r="B264" t="s">
        <v>52</v>
      </c>
      <c r="C264" t="s">
        <v>53</v>
      </c>
      <c r="D264" t="s">
        <v>54</v>
      </c>
      <c r="E264" t="s">
        <v>55</v>
      </c>
      <c r="F264" t="s">
        <v>56</v>
      </c>
      <c r="G264" t="s">
        <v>57</v>
      </c>
      <c r="H264" t="s">
        <v>58</v>
      </c>
      <c r="I264" t="s">
        <v>59</v>
      </c>
      <c r="J264" t="s">
        <v>60</v>
      </c>
      <c r="K264" t="s">
        <v>61</v>
      </c>
      <c r="L264" t="s">
        <v>62</v>
      </c>
      <c r="M264" t="s">
        <v>63</v>
      </c>
      <c r="N264" t="s">
        <v>64</v>
      </c>
      <c r="O264" t="s">
        <v>65</v>
      </c>
      <c r="P264" t="s">
        <v>101</v>
      </c>
      <c r="Q264" t="s">
        <v>102</v>
      </c>
      <c r="R264" t="s">
        <v>103</v>
      </c>
      <c r="S264" t="s">
        <v>108</v>
      </c>
      <c r="T264" t="s">
        <v>110</v>
      </c>
      <c r="U264" t="s">
        <v>112</v>
      </c>
      <c r="V264" t="s">
        <v>115</v>
      </c>
      <c r="W264" t="s">
        <v>117</v>
      </c>
      <c r="X264" t="s">
        <v>121</v>
      </c>
      <c r="Y264" t="s">
        <v>125</v>
      </c>
      <c r="Z264" t="s">
        <v>127</v>
      </c>
      <c r="AA264" t="s">
        <v>143</v>
      </c>
      <c r="AB264" t="s">
        <v>144</v>
      </c>
    </row>
    <row r="265" spans="1:28" x14ac:dyDescent="0.3">
      <c r="A265" t="s">
        <v>107</v>
      </c>
      <c r="B265" s="4">
        <f>Info!C53</f>
        <v>0.88410202242317015</v>
      </c>
      <c r="C265" s="4">
        <f>Info!D53</f>
        <v>0.86215517081035675</v>
      </c>
      <c r="D265" s="4">
        <f>Info!E53</f>
        <v>0.86503876400788005</v>
      </c>
      <c r="E265" s="4">
        <f>Info!F53</f>
        <v>0.86652745195645553</v>
      </c>
      <c r="F265" s="4">
        <f>Info!G53</f>
        <v>0.86926466273674841</v>
      </c>
      <c r="G265" s="4">
        <f>Info!H53</f>
        <v>0.87147941995459433</v>
      </c>
      <c r="H265" s="4">
        <f>Info!I53</f>
        <v>0.87135900861255511</v>
      </c>
      <c r="I265" s="4">
        <f>Info!J53</f>
        <v>0.8726748978501766</v>
      </c>
      <c r="J265" s="4">
        <f>Info!K53</f>
        <v>0.86941058576307928</v>
      </c>
      <c r="K265" s="4">
        <f>Info!L53</f>
        <v>0.91219775708495821</v>
      </c>
      <c r="L265" s="4">
        <f>Info!M53</f>
        <v>0.91458533418103283</v>
      </c>
      <c r="M265" s="4">
        <f>Info!N53</f>
        <v>0.92274624600705624</v>
      </c>
      <c r="N265" s="4">
        <f>Info!O53</f>
        <v>0.93334904991042422</v>
      </c>
      <c r="O265" s="4">
        <f>Info!P53</f>
        <v>0.92312350942407106</v>
      </c>
      <c r="P265" s="21">
        <f>Info!Q53</f>
        <v>0.90972358300449996</v>
      </c>
      <c r="Q265" s="21">
        <f>Info!R53</f>
        <v>0.91267813652336804</v>
      </c>
      <c r="R265" s="21">
        <f>Info!S53</f>
        <v>0.91432238358479867</v>
      </c>
      <c r="S265" s="21">
        <f>Info!T53</f>
        <v>0.91965280979669761</v>
      </c>
      <c r="T265" s="21">
        <f>Info!U53</f>
        <v>0.9218379599105645</v>
      </c>
      <c r="U265" s="21">
        <f>Info!V53</f>
        <v>0.92279999977650218</v>
      </c>
      <c r="V265" s="21">
        <f>Info!W53</f>
        <v>0.91800734760332703</v>
      </c>
      <c r="W265" s="21">
        <f>Info!X53</f>
        <v>0.91743684007097559</v>
      </c>
      <c r="X265" s="21">
        <f>Info!Y53</f>
        <v>0.91936211849134042</v>
      </c>
      <c r="Y265" s="21">
        <f>Info!Z53</f>
        <v>0.91949651278710598</v>
      </c>
      <c r="Z265" s="21">
        <f>Info!AA53</f>
        <v>0.92491243128534784</v>
      </c>
      <c r="AA265" s="21">
        <f>Info!AB53</f>
        <v>0.9248037402296696</v>
      </c>
      <c r="AB265" s="21">
        <f>Info!AC53</f>
        <v>0.92737585733666461</v>
      </c>
    </row>
    <row r="293" spans="1:20" x14ac:dyDescent="0.3">
      <c r="A293" t="s">
        <v>145</v>
      </c>
      <c r="C293">
        <v>202409</v>
      </c>
      <c r="D293">
        <v>202410</v>
      </c>
      <c r="E293">
        <v>202411</v>
      </c>
      <c r="F293">
        <v>202412</v>
      </c>
      <c r="G293">
        <v>202501</v>
      </c>
      <c r="H293">
        <v>202502</v>
      </c>
      <c r="I293">
        <v>202503</v>
      </c>
      <c r="J293">
        <v>202504</v>
      </c>
      <c r="K293">
        <v>202505</v>
      </c>
      <c r="L293">
        <v>202506</v>
      </c>
      <c r="M293">
        <v>202507</v>
      </c>
      <c r="N293">
        <v>202508</v>
      </c>
      <c r="O293">
        <v>202509</v>
      </c>
      <c r="P293">
        <v>202510</v>
      </c>
      <c r="Q293">
        <v>202511</v>
      </c>
      <c r="R293">
        <v>202512</v>
      </c>
      <c r="S293">
        <v>202601</v>
      </c>
      <c r="T293">
        <v>202602</v>
      </c>
    </row>
    <row r="294" spans="1:20" x14ac:dyDescent="0.3">
      <c r="A294" t="s">
        <v>146</v>
      </c>
      <c r="B294">
        <v>102</v>
      </c>
      <c r="C294">
        <v>341</v>
      </c>
      <c r="D294">
        <v>996</v>
      </c>
      <c r="E294">
        <v>1088</v>
      </c>
      <c r="F294">
        <v>375</v>
      </c>
      <c r="G294">
        <v>1074</v>
      </c>
      <c r="H294">
        <v>1123</v>
      </c>
      <c r="I294">
        <v>871</v>
      </c>
      <c r="J294">
        <v>924</v>
      </c>
      <c r="K294">
        <v>842</v>
      </c>
      <c r="L294">
        <v>887</v>
      </c>
      <c r="M294">
        <v>958</v>
      </c>
      <c r="N294">
        <v>560</v>
      </c>
      <c r="O294">
        <v>1031</v>
      </c>
      <c r="P294">
        <v>1025</v>
      </c>
      <c r="Q294">
        <v>990</v>
      </c>
      <c r="R294">
        <v>778</v>
      </c>
      <c r="S294">
        <v>779</v>
      </c>
      <c r="T294">
        <v>900</v>
      </c>
    </row>
    <row r="295" spans="1:20" x14ac:dyDescent="0.3">
      <c r="A295" t="s">
        <v>147</v>
      </c>
      <c r="B295">
        <v>103</v>
      </c>
      <c r="C295">
        <v>270</v>
      </c>
      <c r="D295">
        <v>783</v>
      </c>
      <c r="E295">
        <v>1053</v>
      </c>
      <c r="F295">
        <v>420</v>
      </c>
      <c r="G295">
        <v>1052</v>
      </c>
      <c r="H295">
        <v>938</v>
      </c>
      <c r="I295">
        <v>938</v>
      </c>
      <c r="J295">
        <v>934</v>
      </c>
      <c r="K295">
        <v>1056</v>
      </c>
      <c r="L295">
        <v>952</v>
      </c>
      <c r="M295">
        <v>829</v>
      </c>
      <c r="N295">
        <v>503</v>
      </c>
      <c r="O295">
        <v>931</v>
      </c>
      <c r="P295">
        <v>1013</v>
      </c>
      <c r="Q295">
        <v>990</v>
      </c>
      <c r="R295">
        <v>748</v>
      </c>
      <c r="S295">
        <v>754</v>
      </c>
      <c r="T295">
        <v>884</v>
      </c>
    </row>
    <row r="296" spans="1:20" x14ac:dyDescent="0.3">
      <c r="A296" t="s">
        <v>148</v>
      </c>
      <c r="B296">
        <v>111</v>
      </c>
      <c r="C296">
        <v>146</v>
      </c>
      <c r="D296">
        <v>538</v>
      </c>
      <c r="E296">
        <v>637</v>
      </c>
      <c r="F296">
        <v>260</v>
      </c>
      <c r="G296">
        <v>701</v>
      </c>
      <c r="H296">
        <v>743</v>
      </c>
      <c r="I296">
        <v>658</v>
      </c>
      <c r="J296">
        <v>850</v>
      </c>
      <c r="K296">
        <v>675</v>
      </c>
      <c r="L296">
        <v>598</v>
      </c>
      <c r="M296">
        <v>540</v>
      </c>
      <c r="N296">
        <v>578</v>
      </c>
      <c r="O296">
        <v>717</v>
      </c>
      <c r="P296">
        <v>790</v>
      </c>
      <c r="Q296">
        <v>864</v>
      </c>
      <c r="R296">
        <v>680</v>
      </c>
      <c r="S296">
        <v>554</v>
      </c>
      <c r="T296">
        <v>962</v>
      </c>
    </row>
    <row r="297" spans="1:20" x14ac:dyDescent="0.3">
      <c r="A297" t="s">
        <v>149</v>
      </c>
      <c r="B297">
        <v>104</v>
      </c>
      <c r="C297">
        <v>283</v>
      </c>
      <c r="D297">
        <v>998</v>
      </c>
      <c r="E297">
        <v>1117</v>
      </c>
      <c r="F297">
        <v>488</v>
      </c>
      <c r="G297">
        <v>1044</v>
      </c>
      <c r="H297">
        <v>1052</v>
      </c>
      <c r="I297">
        <v>1059</v>
      </c>
      <c r="J297">
        <v>919</v>
      </c>
      <c r="K297">
        <v>1009</v>
      </c>
      <c r="L297">
        <v>826</v>
      </c>
      <c r="M297">
        <v>635</v>
      </c>
      <c r="N297">
        <v>659</v>
      </c>
      <c r="O297">
        <v>1065</v>
      </c>
      <c r="P297">
        <v>1036</v>
      </c>
      <c r="Q297">
        <v>627</v>
      </c>
      <c r="R297">
        <v>452</v>
      </c>
      <c r="S297">
        <v>894</v>
      </c>
      <c r="T297">
        <v>532</v>
      </c>
    </row>
    <row r="298" spans="1:20" x14ac:dyDescent="0.3">
      <c r="A298" t="s">
        <v>150</v>
      </c>
      <c r="B298">
        <v>107</v>
      </c>
      <c r="C298">
        <v>157</v>
      </c>
      <c r="D298">
        <v>405</v>
      </c>
      <c r="E298">
        <v>383</v>
      </c>
      <c r="F298">
        <v>186</v>
      </c>
      <c r="G298">
        <v>284</v>
      </c>
      <c r="H298">
        <v>373</v>
      </c>
      <c r="I298">
        <v>387</v>
      </c>
      <c r="J298">
        <v>557</v>
      </c>
      <c r="K298">
        <v>592</v>
      </c>
      <c r="L298">
        <v>450</v>
      </c>
      <c r="M298">
        <v>493</v>
      </c>
      <c r="N298">
        <v>564</v>
      </c>
      <c r="O298">
        <v>592</v>
      </c>
      <c r="P298">
        <v>635</v>
      </c>
      <c r="Q298">
        <v>863</v>
      </c>
      <c r="R298">
        <v>759</v>
      </c>
      <c r="S298">
        <v>476</v>
      </c>
      <c r="T298">
        <v>1053</v>
      </c>
    </row>
    <row r="299" spans="1:20" x14ac:dyDescent="0.3">
      <c r="A299" t="s">
        <v>151</v>
      </c>
      <c r="B299">
        <v>108</v>
      </c>
      <c r="C299">
        <v>279</v>
      </c>
      <c r="D299">
        <v>850</v>
      </c>
      <c r="E299">
        <v>772</v>
      </c>
      <c r="F299">
        <v>252</v>
      </c>
      <c r="G299">
        <v>685</v>
      </c>
      <c r="H299">
        <v>632</v>
      </c>
      <c r="I299">
        <v>788</v>
      </c>
      <c r="J299">
        <v>920</v>
      </c>
      <c r="K299">
        <v>900</v>
      </c>
      <c r="L299">
        <v>576</v>
      </c>
      <c r="M299">
        <v>490</v>
      </c>
      <c r="N299">
        <v>582</v>
      </c>
      <c r="O299">
        <v>844</v>
      </c>
      <c r="P299">
        <v>786</v>
      </c>
      <c r="Q299">
        <v>638</v>
      </c>
      <c r="R299">
        <v>474</v>
      </c>
      <c r="S299">
        <v>926</v>
      </c>
      <c r="T299">
        <v>488</v>
      </c>
    </row>
    <row r="300" spans="1:20" x14ac:dyDescent="0.3">
      <c r="A300" t="s">
        <v>152</v>
      </c>
      <c r="B300">
        <v>302</v>
      </c>
      <c r="C300">
        <v>1051</v>
      </c>
      <c r="D300">
        <v>930</v>
      </c>
      <c r="E300">
        <v>904</v>
      </c>
      <c r="F300">
        <v>752</v>
      </c>
      <c r="G300">
        <v>965</v>
      </c>
      <c r="H300">
        <v>1063</v>
      </c>
      <c r="I300">
        <v>1111</v>
      </c>
      <c r="J300">
        <v>809</v>
      </c>
      <c r="K300">
        <v>857</v>
      </c>
      <c r="L300">
        <v>1024</v>
      </c>
      <c r="M300">
        <v>646</v>
      </c>
      <c r="N300">
        <v>996</v>
      </c>
      <c r="O300">
        <v>1358</v>
      </c>
      <c r="P300">
        <v>1215</v>
      </c>
      <c r="Q300" s="6">
        <v>1093</v>
      </c>
      <c r="R300">
        <v>905</v>
      </c>
      <c r="S300">
        <v>885</v>
      </c>
      <c r="T300">
        <v>908</v>
      </c>
    </row>
    <row r="301" spans="1:20" x14ac:dyDescent="0.3">
      <c r="A301" t="s">
        <v>153</v>
      </c>
      <c r="B301">
        <v>15</v>
      </c>
      <c r="C301">
        <v>0</v>
      </c>
      <c r="D301">
        <v>81</v>
      </c>
      <c r="E301">
        <v>105</v>
      </c>
      <c r="F301">
        <v>59</v>
      </c>
      <c r="G301">
        <v>199</v>
      </c>
      <c r="H301">
        <v>140</v>
      </c>
      <c r="I301">
        <v>142</v>
      </c>
      <c r="J301">
        <v>210</v>
      </c>
      <c r="K301">
        <v>185</v>
      </c>
      <c r="L301">
        <v>200</v>
      </c>
      <c r="M301">
        <v>159</v>
      </c>
      <c r="N301">
        <v>187</v>
      </c>
      <c r="O301">
        <v>208</v>
      </c>
      <c r="P301">
        <v>313</v>
      </c>
      <c r="Q301">
        <v>236</v>
      </c>
      <c r="R301">
        <v>245</v>
      </c>
      <c r="S301">
        <v>225</v>
      </c>
      <c r="T301">
        <v>244</v>
      </c>
    </row>
    <row r="302" spans="1:20" x14ac:dyDescent="0.3">
      <c r="B302" s="23"/>
      <c r="C302" s="23">
        <f t="shared" ref="C302:T302" si="25">SUM(C294:C301)</f>
        <v>2527</v>
      </c>
      <c r="D302" s="23">
        <f t="shared" si="25"/>
        <v>5581</v>
      </c>
      <c r="E302" s="23">
        <f t="shared" si="25"/>
        <v>6059</v>
      </c>
      <c r="F302" s="23">
        <f t="shared" si="25"/>
        <v>2792</v>
      </c>
      <c r="G302" s="23">
        <f t="shared" si="25"/>
        <v>6004</v>
      </c>
      <c r="H302" s="23">
        <f t="shared" si="25"/>
        <v>6064</v>
      </c>
      <c r="I302" s="23">
        <f t="shared" si="25"/>
        <v>5954</v>
      </c>
      <c r="J302" s="23">
        <f t="shared" si="25"/>
        <v>6123</v>
      </c>
      <c r="K302" s="23">
        <f t="shared" si="25"/>
        <v>6116</v>
      </c>
      <c r="L302" s="23">
        <f t="shared" si="25"/>
        <v>5513</v>
      </c>
      <c r="M302" s="23">
        <f t="shared" si="25"/>
        <v>4750</v>
      </c>
      <c r="N302" s="23">
        <f t="shared" si="25"/>
        <v>4629</v>
      </c>
      <c r="O302" s="23">
        <f t="shared" si="25"/>
        <v>6746</v>
      </c>
      <c r="P302" s="23">
        <f t="shared" si="25"/>
        <v>6813</v>
      </c>
      <c r="Q302" s="23">
        <f t="shared" si="25"/>
        <v>6301</v>
      </c>
      <c r="R302" s="23">
        <f t="shared" si="25"/>
        <v>5041</v>
      </c>
      <c r="S302" s="23">
        <f t="shared" si="25"/>
        <v>5493</v>
      </c>
      <c r="T302" s="23">
        <f t="shared" si="25"/>
        <v>5971</v>
      </c>
    </row>
    <row r="305" spans="1:20" x14ac:dyDescent="0.3">
      <c r="A305" t="s">
        <v>154</v>
      </c>
      <c r="C305">
        <v>202409</v>
      </c>
      <c r="D305">
        <v>202410</v>
      </c>
      <c r="E305">
        <v>202411</v>
      </c>
      <c r="F305">
        <v>202412</v>
      </c>
      <c r="G305">
        <v>202501</v>
      </c>
      <c r="H305">
        <v>202502</v>
      </c>
      <c r="I305">
        <v>202503</v>
      </c>
      <c r="J305">
        <v>202504</v>
      </c>
      <c r="K305">
        <v>202505</v>
      </c>
      <c r="L305">
        <v>202506</v>
      </c>
      <c r="M305">
        <v>202507</v>
      </c>
      <c r="N305">
        <v>202508</v>
      </c>
      <c r="O305">
        <v>202509</v>
      </c>
      <c r="P305">
        <v>202510</v>
      </c>
      <c r="Q305">
        <v>202511</v>
      </c>
      <c r="R305">
        <v>202512</v>
      </c>
      <c r="S305">
        <v>202601</v>
      </c>
      <c r="T305">
        <v>202602</v>
      </c>
    </row>
    <row r="306" spans="1:20" x14ac:dyDescent="0.3">
      <c r="A306" t="s">
        <v>146</v>
      </c>
      <c r="B306">
        <v>601</v>
      </c>
      <c r="C306">
        <f>44+15</f>
        <v>59</v>
      </c>
      <c r="D306">
        <f>65+16</f>
        <v>81</v>
      </c>
      <c r="E306">
        <f>45+14</f>
        <v>59</v>
      </c>
      <c r="F306">
        <f>45+4</f>
        <v>49</v>
      </c>
      <c r="G306">
        <f>37+15</f>
        <v>52</v>
      </c>
      <c r="H306">
        <f>33+13</f>
        <v>46</v>
      </c>
      <c r="I306">
        <f>24+11</f>
        <v>35</v>
      </c>
      <c r="J306">
        <v>41</v>
      </c>
      <c r="K306">
        <v>24</v>
      </c>
      <c r="L306">
        <v>24</v>
      </c>
      <c r="M306">
        <v>47</v>
      </c>
      <c r="N306">
        <v>6</v>
      </c>
      <c r="O306">
        <v>44</v>
      </c>
      <c r="P306">
        <v>46</v>
      </c>
      <c r="Q306">
        <v>49</v>
      </c>
      <c r="R306">
        <v>39</v>
      </c>
      <c r="S306">
        <v>23</v>
      </c>
      <c r="T306">
        <v>25</v>
      </c>
    </row>
    <row r="307" spans="1:20" x14ac:dyDescent="0.3">
      <c r="A307" t="s">
        <v>147</v>
      </c>
      <c r="B307">
        <v>602</v>
      </c>
      <c r="C307">
        <f>6+10</f>
        <v>16</v>
      </c>
      <c r="D307">
        <f>7+5</f>
        <v>12</v>
      </c>
      <c r="E307">
        <f>29+18</f>
        <v>47</v>
      </c>
      <c r="F307">
        <f>17+19</f>
        <v>36</v>
      </c>
      <c r="G307">
        <f>26+24</f>
        <v>50</v>
      </c>
      <c r="H307">
        <f>22+9</f>
        <v>31</v>
      </c>
      <c r="I307">
        <f>24+12</f>
        <v>36</v>
      </c>
      <c r="J307">
        <v>50</v>
      </c>
      <c r="K307">
        <v>26</v>
      </c>
      <c r="L307">
        <v>34</v>
      </c>
      <c r="M307">
        <v>28</v>
      </c>
      <c r="N307">
        <v>17</v>
      </c>
      <c r="O307">
        <v>57</v>
      </c>
      <c r="P307">
        <v>44</v>
      </c>
      <c r="Q307">
        <v>36</v>
      </c>
      <c r="R307">
        <v>29</v>
      </c>
      <c r="S307">
        <v>24</v>
      </c>
      <c r="T307">
        <v>26</v>
      </c>
    </row>
    <row r="308" spans="1:20" x14ac:dyDescent="0.3">
      <c r="A308" t="s">
        <v>148</v>
      </c>
      <c r="B308">
        <v>607</v>
      </c>
      <c r="C308">
        <v>6</v>
      </c>
      <c r="D308">
        <v>7</v>
      </c>
      <c r="E308">
        <v>8</v>
      </c>
      <c r="F308">
        <v>3</v>
      </c>
      <c r="G308">
        <v>7</v>
      </c>
      <c r="H308">
        <v>8</v>
      </c>
      <c r="I308">
        <v>10</v>
      </c>
      <c r="J308">
        <v>19</v>
      </c>
      <c r="K308">
        <v>13</v>
      </c>
      <c r="L308">
        <v>33</v>
      </c>
      <c r="M308">
        <v>39</v>
      </c>
      <c r="N308">
        <v>23</v>
      </c>
      <c r="O308">
        <v>41</v>
      </c>
      <c r="P308">
        <v>37</v>
      </c>
      <c r="Q308">
        <v>36</v>
      </c>
      <c r="R308">
        <v>36</v>
      </c>
      <c r="S308">
        <v>11</v>
      </c>
      <c r="T308">
        <v>15</v>
      </c>
    </row>
    <row r="309" spans="1:20" x14ac:dyDescent="0.3">
      <c r="A309" t="s">
        <v>149</v>
      </c>
      <c r="B309">
        <v>603</v>
      </c>
      <c r="C309">
        <v>15</v>
      </c>
      <c r="D309">
        <v>21</v>
      </c>
      <c r="E309">
        <f>17+20</f>
        <v>37</v>
      </c>
      <c r="F309">
        <f>9+17</f>
        <v>26</v>
      </c>
      <c r="G309">
        <v>25</v>
      </c>
      <c r="H309">
        <v>22</v>
      </c>
      <c r="I309">
        <v>29</v>
      </c>
      <c r="J309">
        <v>40</v>
      </c>
      <c r="K309">
        <v>37</v>
      </c>
      <c r="L309">
        <v>38</v>
      </c>
      <c r="M309">
        <v>24</v>
      </c>
      <c r="N309">
        <v>31</v>
      </c>
      <c r="O309">
        <v>61</v>
      </c>
      <c r="P309">
        <v>52</v>
      </c>
      <c r="Q309">
        <v>42</v>
      </c>
      <c r="R309">
        <v>35</v>
      </c>
      <c r="S309">
        <v>64</v>
      </c>
      <c r="T309">
        <v>77</v>
      </c>
    </row>
    <row r="310" spans="1:20" x14ac:dyDescent="0.3">
      <c r="A310" t="s">
        <v>150</v>
      </c>
      <c r="B310">
        <v>604</v>
      </c>
      <c r="C310">
        <v>9</v>
      </c>
      <c r="D310">
        <v>8</v>
      </c>
      <c r="E310">
        <v>18</v>
      </c>
      <c r="F310">
        <v>12</v>
      </c>
      <c r="G310">
        <v>13</v>
      </c>
      <c r="H310">
        <v>22</v>
      </c>
      <c r="I310">
        <v>27</v>
      </c>
      <c r="J310">
        <v>29</v>
      </c>
      <c r="K310">
        <v>29</v>
      </c>
      <c r="L310">
        <v>29</v>
      </c>
      <c r="M310">
        <v>22</v>
      </c>
      <c r="N310">
        <v>34</v>
      </c>
      <c r="O310">
        <v>29</v>
      </c>
      <c r="P310">
        <v>30</v>
      </c>
      <c r="Q310">
        <v>22</v>
      </c>
      <c r="R310">
        <v>26</v>
      </c>
      <c r="S310">
        <v>31</v>
      </c>
      <c r="T310">
        <v>38</v>
      </c>
    </row>
    <row r="311" spans="1:20" x14ac:dyDescent="0.3">
      <c r="A311" t="s">
        <v>151</v>
      </c>
      <c r="B311">
        <v>605</v>
      </c>
      <c r="C311">
        <v>58</v>
      </c>
      <c r="D311">
        <v>63</v>
      </c>
      <c r="E311">
        <v>54</v>
      </c>
      <c r="F311">
        <v>50</v>
      </c>
      <c r="G311">
        <v>42</v>
      </c>
      <c r="H311">
        <v>30</v>
      </c>
      <c r="I311">
        <v>60</v>
      </c>
      <c r="J311">
        <v>82</v>
      </c>
      <c r="K311">
        <v>78</v>
      </c>
      <c r="L311">
        <v>42</v>
      </c>
      <c r="M311">
        <v>39</v>
      </c>
      <c r="N311">
        <v>58</v>
      </c>
      <c r="O311">
        <v>74</v>
      </c>
      <c r="P311">
        <v>54</v>
      </c>
      <c r="Q311">
        <v>78</v>
      </c>
      <c r="R311">
        <v>58</v>
      </c>
      <c r="S311">
        <v>82</v>
      </c>
      <c r="T311">
        <v>115</v>
      </c>
    </row>
    <row r="312" spans="1:20" x14ac:dyDescent="0.3">
      <c r="A312" t="s">
        <v>152</v>
      </c>
      <c r="B312">
        <v>660</v>
      </c>
      <c r="C312">
        <v>21</v>
      </c>
      <c r="D312">
        <v>24</v>
      </c>
      <c r="E312">
        <v>22</v>
      </c>
      <c r="F312">
        <v>17</v>
      </c>
      <c r="G312">
        <v>25</v>
      </c>
      <c r="H312">
        <v>41</v>
      </c>
      <c r="I312">
        <v>38</v>
      </c>
      <c r="J312">
        <v>21</v>
      </c>
      <c r="K312">
        <v>41</v>
      </c>
      <c r="L312">
        <v>50</v>
      </c>
      <c r="M312">
        <v>23</v>
      </c>
      <c r="N312">
        <v>63</v>
      </c>
      <c r="O312">
        <v>81</v>
      </c>
      <c r="P312">
        <v>63</v>
      </c>
      <c r="Q312">
        <v>51</v>
      </c>
      <c r="R312">
        <v>46</v>
      </c>
      <c r="S312">
        <v>34</v>
      </c>
      <c r="T312">
        <v>35</v>
      </c>
    </row>
    <row r="313" spans="1:20" x14ac:dyDescent="0.3">
      <c r="A313" t="s">
        <v>153</v>
      </c>
      <c r="B313">
        <v>715</v>
      </c>
      <c r="C313">
        <v>0</v>
      </c>
      <c r="D313">
        <v>2</v>
      </c>
      <c r="E313">
        <v>6</v>
      </c>
      <c r="F313">
        <v>5</v>
      </c>
      <c r="G313">
        <v>2</v>
      </c>
      <c r="H313">
        <v>3</v>
      </c>
      <c r="I313">
        <v>4</v>
      </c>
      <c r="J313">
        <v>5</v>
      </c>
      <c r="K313">
        <v>6</v>
      </c>
      <c r="L313">
        <v>7</v>
      </c>
      <c r="M313">
        <v>7</v>
      </c>
      <c r="N313">
        <v>2</v>
      </c>
      <c r="O313">
        <v>7</v>
      </c>
      <c r="P313">
        <v>16</v>
      </c>
      <c r="Q313">
        <v>11</v>
      </c>
      <c r="R313">
        <v>9</v>
      </c>
      <c r="S313">
        <v>9</v>
      </c>
      <c r="T313">
        <v>5</v>
      </c>
    </row>
    <row r="314" spans="1:20" x14ac:dyDescent="0.3">
      <c r="C314" s="23">
        <f>SUM(C306:C313)</f>
        <v>184</v>
      </c>
      <c r="D314" s="23">
        <f t="shared" ref="D314:T314" si="26">SUM(D306:D313)</f>
        <v>218</v>
      </c>
      <c r="E314" s="23">
        <f t="shared" si="26"/>
        <v>251</v>
      </c>
      <c r="F314" s="23">
        <f t="shared" si="26"/>
        <v>198</v>
      </c>
      <c r="G314" s="23">
        <f t="shared" si="26"/>
        <v>216</v>
      </c>
      <c r="H314" s="23">
        <f t="shared" si="26"/>
        <v>203</v>
      </c>
      <c r="I314" s="23">
        <f t="shared" si="26"/>
        <v>239</v>
      </c>
      <c r="J314" s="23">
        <f t="shared" si="26"/>
        <v>287</v>
      </c>
      <c r="K314" s="23">
        <f t="shared" si="26"/>
        <v>254</v>
      </c>
      <c r="L314" s="23">
        <f t="shared" si="26"/>
        <v>257</v>
      </c>
      <c r="M314" s="23">
        <f t="shared" si="26"/>
        <v>229</v>
      </c>
      <c r="N314" s="23">
        <f t="shared" si="26"/>
        <v>234</v>
      </c>
      <c r="O314" s="23">
        <f t="shared" si="26"/>
        <v>394</v>
      </c>
      <c r="P314" s="23">
        <f t="shared" si="26"/>
        <v>342</v>
      </c>
      <c r="Q314" s="23">
        <f t="shared" si="26"/>
        <v>325</v>
      </c>
      <c r="R314" s="23">
        <f t="shared" si="26"/>
        <v>278</v>
      </c>
      <c r="S314" s="23">
        <f t="shared" si="26"/>
        <v>278</v>
      </c>
      <c r="T314" s="23">
        <f t="shared" si="26"/>
        <v>336</v>
      </c>
    </row>
    <row r="316" spans="1:20" x14ac:dyDescent="0.3">
      <c r="C316">
        <v>202409</v>
      </c>
      <c r="D316">
        <v>202410</v>
      </c>
      <c r="E316">
        <v>202411</v>
      </c>
      <c r="F316">
        <v>202412</v>
      </c>
      <c r="G316">
        <v>202501</v>
      </c>
      <c r="H316">
        <v>202502</v>
      </c>
      <c r="I316">
        <v>202503</v>
      </c>
      <c r="J316">
        <v>202504</v>
      </c>
      <c r="K316">
        <v>202505</v>
      </c>
      <c r="L316">
        <v>202506</v>
      </c>
      <c r="M316">
        <v>202507</v>
      </c>
      <c r="N316">
        <v>202508</v>
      </c>
      <c r="O316">
        <v>202509</v>
      </c>
      <c r="P316">
        <v>202510</v>
      </c>
      <c r="Q316">
        <v>202511</v>
      </c>
      <c r="R316">
        <v>202512</v>
      </c>
      <c r="S316">
        <v>202601</v>
      </c>
      <c r="T316">
        <v>202602</v>
      </c>
    </row>
    <row r="317" spans="1:20" x14ac:dyDescent="0.3">
      <c r="B317" t="s">
        <v>155</v>
      </c>
      <c r="C317">
        <f>C314</f>
        <v>184</v>
      </c>
      <c r="D317">
        <f t="shared" ref="D317:M317" si="27">D314</f>
        <v>218</v>
      </c>
      <c r="E317">
        <f t="shared" si="27"/>
        <v>251</v>
      </c>
      <c r="F317">
        <f t="shared" si="27"/>
        <v>198</v>
      </c>
      <c r="G317">
        <f t="shared" si="27"/>
        <v>216</v>
      </c>
      <c r="H317">
        <f t="shared" si="27"/>
        <v>203</v>
      </c>
      <c r="I317">
        <f t="shared" si="27"/>
        <v>239</v>
      </c>
      <c r="J317">
        <f t="shared" si="27"/>
        <v>287</v>
      </c>
      <c r="K317">
        <f t="shared" si="27"/>
        <v>254</v>
      </c>
      <c r="L317">
        <f t="shared" si="27"/>
        <v>257</v>
      </c>
      <c r="M317">
        <f t="shared" si="27"/>
        <v>229</v>
      </c>
      <c r="N317">
        <f>N314</f>
        <v>234</v>
      </c>
      <c r="O317">
        <f t="shared" ref="O317:T317" si="28">O314</f>
        <v>394</v>
      </c>
      <c r="P317">
        <f t="shared" si="28"/>
        <v>342</v>
      </c>
      <c r="Q317">
        <f t="shared" si="28"/>
        <v>325</v>
      </c>
      <c r="R317">
        <f t="shared" si="28"/>
        <v>278</v>
      </c>
      <c r="S317">
        <f t="shared" si="28"/>
        <v>278</v>
      </c>
      <c r="T317">
        <f t="shared" si="28"/>
        <v>336</v>
      </c>
    </row>
    <row r="322" spans="1:4" x14ac:dyDescent="0.3">
      <c r="A322" t="s">
        <v>156</v>
      </c>
      <c r="B322" t="s">
        <v>157</v>
      </c>
      <c r="C322" t="s">
        <v>143</v>
      </c>
      <c r="D322" t="s">
        <v>144</v>
      </c>
    </row>
    <row r="323" spans="1:4" x14ac:dyDescent="0.3">
      <c r="A323" t="s">
        <v>153</v>
      </c>
      <c r="B323">
        <f t="shared" ref="B323:B336" si="29">D323-C323</f>
        <v>66</v>
      </c>
      <c r="C323">
        <v>1613</v>
      </c>
      <c r="D323">
        <v>1679</v>
      </c>
    </row>
    <row r="324" spans="1:4" x14ac:dyDescent="0.3">
      <c r="A324" t="s">
        <v>148</v>
      </c>
      <c r="B324">
        <f t="shared" si="29"/>
        <v>36</v>
      </c>
      <c r="C324">
        <v>4809</v>
      </c>
      <c r="D324">
        <v>4845</v>
      </c>
    </row>
    <row r="325" spans="1:4" x14ac:dyDescent="0.3">
      <c r="A325" t="s">
        <v>158</v>
      </c>
      <c r="B325">
        <f t="shared" si="29"/>
        <v>7</v>
      </c>
      <c r="C325">
        <v>4325</v>
      </c>
      <c r="D325">
        <v>4332</v>
      </c>
    </row>
    <row r="326" spans="1:4" x14ac:dyDescent="0.3">
      <c r="A326" t="s">
        <v>150</v>
      </c>
      <c r="B326">
        <f t="shared" si="29"/>
        <v>2</v>
      </c>
      <c r="C326">
        <v>5621</v>
      </c>
      <c r="D326">
        <v>5623</v>
      </c>
    </row>
    <row r="327" spans="1:4" x14ac:dyDescent="0.3">
      <c r="A327" t="s">
        <v>147</v>
      </c>
      <c r="B327">
        <f t="shared" si="29"/>
        <v>-2</v>
      </c>
      <c r="C327">
        <v>6971</v>
      </c>
      <c r="D327">
        <v>6969</v>
      </c>
    </row>
    <row r="328" spans="1:4" x14ac:dyDescent="0.3">
      <c r="A328" t="s">
        <v>159</v>
      </c>
      <c r="B328">
        <f t="shared" si="29"/>
        <v>-5</v>
      </c>
      <c r="C328">
        <v>1506</v>
      </c>
      <c r="D328">
        <v>1501</v>
      </c>
    </row>
    <row r="329" spans="1:4" x14ac:dyDescent="0.3">
      <c r="A329" t="s">
        <v>160</v>
      </c>
      <c r="B329">
        <f t="shared" si="29"/>
        <v>-6</v>
      </c>
      <c r="C329">
        <v>1541</v>
      </c>
      <c r="D329">
        <v>1535</v>
      </c>
    </row>
    <row r="330" spans="1:4" x14ac:dyDescent="0.3">
      <c r="A330" t="s">
        <v>151</v>
      </c>
      <c r="B330">
        <f t="shared" si="29"/>
        <v>-9</v>
      </c>
      <c r="C330">
        <v>5043</v>
      </c>
      <c r="D330">
        <v>5034</v>
      </c>
    </row>
    <row r="331" spans="1:4" x14ac:dyDescent="0.3">
      <c r="A331" t="s">
        <v>149</v>
      </c>
      <c r="B331">
        <f t="shared" si="29"/>
        <v>-9</v>
      </c>
      <c r="C331">
        <v>6381</v>
      </c>
      <c r="D331">
        <v>6372</v>
      </c>
    </row>
    <row r="332" spans="1:4" x14ac:dyDescent="0.3">
      <c r="A332" t="s">
        <v>161</v>
      </c>
      <c r="B332">
        <f t="shared" si="29"/>
        <v>-17</v>
      </c>
      <c r="C332">
        <v>6448</v>
      </c>
      <c r="D332">
        <v>6431</v>
      </c>
    </row>
    <row r="333" spans="1:4" x14ac:dyDescent="0.3">
      <c r="A333" t="s">
        <v>152</v>
      </c>
      <c r="B333">
        <f t="shared" si="29"/>
        <v>-18</v>
      </c>
      <c r="C333">
        <v>5981</v>
      </c>
      <c r="D333">
        <v>5963</v>
      </c>
    </row>
    <row r="334" spans="1:4" x14ac:dyDescent="0.3">
      <c r="A334" t="s">
        <v>162</v>
      </c>
      <c r="B334">
        <f t="shared" si="29"/>
        <v>-18</v>
      </c>
      <c r="C334">
        <v>6276</v>
      </c>
      <c r="D334">
        <v>6258</v>
      </c>
    </row>
    <row r="335" spans="1:4" x14ac:dyDescent="0.3">
      <c r="A335" t="s">
        <v>146</v>
      </c>
      <c r="B335">
        <f t="shared" si="29"/>
        <v>-24</v>
      </c>
      <c r="C335">
        <v>8033</v>
      </c>
      <c r="D335">
        <v>8009</v>
      </c>
    </row>
    <row r="336" spans="1:4" x14ac:dyDescent="0.3">
      <c r="A336" t="s">
        <v>163</v>
      </c>
      <c r="B336">
        <f t="shared" si="29"/>
        <v>-25</v>
      </c>
      <c r="C336">
        <v>4251</v>
      </c>
      <c r="D336">
        <v>4226</v>
      </c>
    </row>
    <row r="337" spans="2:2" x14ac:dyDescent="0.3">
      <c r="B337">
        <f>SUBTOTAL(109,Tabell510[förändring])</f>
        <v>-22</v>
      </c>
    </row>
  </sheetData>
  <phoneticPr fontId="5" type="noConversion"/>
  <pageMargins left="0.7" right="0.7" top="0.75" bottom="0.75" header="0.3" footer="0.3"/>
  <drawing r:id="rId1"/>
  <tableParts count="9"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11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F5CAFB7-900C-4EE8-8A20-9AF799094BD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3</vt:i4>
      </vt:variant>
    </vt:vector>
  </HeadingPairs>
  <TitlesOfParts>
    <vt:vector size="3" baseType="lpstr">
      <vt:lpstr>Resultat-VC (3)</vt:lpstr>
      <vt:lpstr>Info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2025-02-23T11:16:10Z</dcterms:created>
  <dcterms:modified xsi:type="dcterms:W3CDTF">2026-04-01T14:54:09Z</dcterms:modified>
</cp:coreProperties>
</file>