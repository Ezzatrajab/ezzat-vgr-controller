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"/>
    </mc:Choice>
  </mc:AlternateContent>
  <xr:revisionPtr revIDLastSave="0" documentId="13_ncr:1_{215FC4E9-0675-41AB-ADA9-37461A0AC3C9}" xr6:coauthVersionLast="47" xr6:coauthVersionMax="47" xr10:uidLastSave="{00000000-0000-0000-0000-000000000000}"/>
  <bookViews>
    <workbookView xWindow="38280" yWindow="-120" windowWidth="38640" windowHeight="21120" tabRatio="734" xr2:uid="{00000000-000D-0000-FFFF-FFFF00000000}"/>
  </bookViews>
  <sheets>
    <sheet name="Enheterna AO Stor-GBG" sheetId="7" r:id="rId1"/>
    <sheet name="Frölunda Torg" sheetId="4" r:id="rId2"/>
    <sheet name="Grimmered" sheetId="2" r:id="rId3"/>
    <sheet name="Majorna" sheetId="3" r:id="rId4"/>
    <sheet name="Pedagogen Park" sheetId="1" r:id="rId5"/>
    <sheet name="Åby" sheetId="5" r:id="rId6"/>
    <sheet name="Olskroken" sheetId="6" r:id="rId7"/>
    <sheet name="Avenyn" sheetId="8" r:id="rId8"/>
    <sheet name="Karlastade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7" l="1"/>
  <c r="D28" i="7"/>
  <c r="E28" i="7"/>
  <c r="F28" i="7"/>
  <c r="G28" i="7"/>
  <c r="H28" i="7"/>
  <c r="I28" i="7"/>
  <c r="J28" i="7"/>
  <c r="K28" i="7"/>
  <c r="L28" i="7"/>
  <c r="M28" i="7"/>
  <c r="C29" i="7"/>
  <c r="D29" i="7"/>
  <c r="E29" i="7"/>
  <c r="F29" i="7"/>
  <c r="G29" i="7"/>
  <c r="H29" i="7"/>
  <c r="I29" i="7"/>
  <c r="J29" i="7"/>
  <c r="K29" i="7"/>
  <c r="L29" i="7"/>
  <c r="M29" i="7"/>
  <c r="B29" i="7"/>
  <c r="B28" i="7"/>
  <c r="C10" i="7"/>
  <c r="D10" i="7"/>
  <c r="E10" i="7"/>
  <c r="F10" i="7"/>
  <c r="G10" i="7"/>
  <c r="H10" i="7"/>
  <c r="I10" i="7"/>
  <c r="J10" i="7"/>
  <c r="K10" i="7"/>
  <c r="L10" i="7"/>
  <c r="M10" i="7"/>
  <c r="C11" i="7"/>
  <c r="D11" i="7"/>
  <c r="E11" i="7"/>
  <c r="F11" i="7"/>
  <c r="G11" i="7"/>
  <c r="H11" i="7"/>
  <c r="I11" i="7"/>
  <c r="J11" i="7"/>
  <c r="K11" i="7"/>
  <c r="L11" i="7"/>
  <c r="M11" i="7"/>
  <c r="B11" i="7"/>
  <c r="B10" i="7"/>
  <c r="C52" i="7"/>
  <c r="E52" i="7"/>
  <c r="F52" i="7"/>
  <c r="G52" i="7"/>
  <c r="H52" i="7"/>
  <c r="I52" i="7"/>
  <c r="J52" i="7"/>
  <c r="K52" i="7"/>
  <c r="L52" i="7"/>
  <c r="M52" i="7"/>
  <c r="M54" i="7" s="1"/>
  <c r="M55" i="7" s="1"/>
  <c r="C53" i="7"/>
  <c r="D53" i="7"/>
  <c r="E53" i="7"/>
  <c r="F53" i="7"/>
  <c r="G53" i="7"/>
  <c r="H53" i="7"/>
  <c r="I53" i="7"/>
  <c r="J53" i="7"/>
  <c r="K53" i="7"/>
  <c r="K54" i="7" s="1"/>
  <c r="K55" i="7" s="1"/>
  <c r="L53" i="7"/>
  <c r="L54" i="7" s="1"/>
  <c r="L55" i="7" s="1"/>
  <c r="M53" i="7"/>
  <c r="B53" i="7"/>
  <c r="B52" i="7"/>
  <c r="C46" i="7"/>
  <c r="E46" i="7"/>
  <c r="F46" i="7"/>
  <c r="G46" i="7"/>
  <c r="H46" i="7"/>
  <c r="I46" i="7"/>
  <c r="J46" i="7"/>
  <c r="K46" i="7"/>
  <c r="L46" i="7"/>
  <c r="M46" i="7"/>
  <c r="C47" i="7"/>
  <c r="D47" i="7"/>
  <c r="E47" i="7"/>
  <c r="F47" i="7"/>
  <c r="G47" i="7"/>
  <c r="H47" i="7"/>
  <c r="I47" i="7"/>
  <c r="J47" i="7"/>
  <c r="K47" i="7"/>
  <c r="L47" i="7"/>
  <c r="M47" i="7"/>
  <c r="B47" i="7"/>
  <c r="B48" i="7" s="1"/>
  <c r="B49" i="7" s="1"/>
  <c r="B46" i="7"/>
  <c r="J54" i="7"/>
  <c r="J55" i="7" s="1"/>
  <c r="I54" i="7"/>
  <c r="I55" i="7" s="1"/>
  <c r="H54" i="7"/>
  <c r="H55" i="7" s="1"/>
  <c r="G54" i="7"/>
  <c r="G55" i="7" s="1"/>
  <c r="F54" i="7"/>
  <c r="F55" i="7" s="1"/>
  <c r="E54" i="7"/>
  <c r="E55" i="7" s="1"/>
  <c r="C54" i="7"/>
  <c r="C55" i="7" s="1"/>
  <c r="M48" i="7"/>
  <c r="M49" i="7" s="1"/>
  <c r="L48" i="7"/>
  <c r="L49" i="7" s="1"/>
  <c r="K48" i="7"/>
  <c r="K49" i="7" s="1"/>
  <c r="J48" i="7"/>
  <c r="J49" i="7" s="1"/>
  <c r="I48" i="7"/>
  <c r="I49" i="7" s="1"/>
  <c r="H48" i="7"/>
  <c r="H49" i="7" s="1"/>
  <c r="G48" i="7"/>
  <c r="G49" i="7" s="1"/>
  <c r="F48" i="7"/>
  <c r="F49" i="7" s="1"/>
  <c r="E48" i="7"/>
  <c r="E49" i="7" s="1"/>
  <c r="C48" i="7"/>
  <c r="C49" i="7" s="1"/>
  <c r="C39" i="9"/>
  <c r="D39" i="9"/>
  <c r="E39" i="9"/>
  <c r="F39" i="9"/>
  <c r="G39" i="9"/>
  <c r="H39" i="9"/>
  <c r="I39" i="9"/>
  <c r="J39" i="9"/>
  <c r="K39" i="9"/>
  <c r="L39" i="9"/>
  <c r="M39" i="9"/>
  <c r="B39" i="9"/>
  <c r="C39" i="8"/>
  <c r="D39" i="8"/>
  <c r="E39" i="8"/>
  <c r="F39" i="8"/>
  <c r="G39" i="8"/>
  <c r="H39" i="8"/>
  <c r="I39" i="8"/>
  <c r="J39" i="8"/>
  <c r="K39" i="8"/>
  <c r="L39" i="8"/>
  <c r="M39" i="8"/>
  <c r="B39" i="8"/>
  <c r="C39" i="6"/>
  <c r="D39" i="6"/>
  <c r="E39" i="6"/>
  <c r="F39" i="6"/>
  <c r="G39" i="6"/>
  <c r="H39" i="6"/>
  <c r="I39" i="6"/>
  <c r="J39" i="6"/>
  <c r="K39" i="6"/>
  <c r="L39" i="6"/>
  <c r="M39" i="6"/>
  <c r="B39" i="6"/>
  <c r="C39" i="3"/>
  <c r="C23" i="7" s="1"/>
  <c r="D39" i="3"/>
  <c r="D23" i="7" s="1"/>
  <c r="E39" i="3"/>
  <c r="E23" i="7" s="1"/>
  <c r="F39" i="3"/>
  <c r="F23" i="7" s="1"/>
  <c r="G39" i="3"/>
  <c r="G23" i="7" s="1"/>
  <c r="H39" i="3"/>
  <c r="H23" i="7" s="1"/>
  <c r="I39" i="3"/>
  <c r="I23" i="7" s="1"/>
  <c r="J39" i="3"/>
  <c r="J23" i="7" s="1"/>
  <c r="K39" i="3"/>
  <c r="K23" i="7" s="1"/>
  <c r="L39" i="3"/>
  <c r="L23" i="7" s="1"/>
  <c r="M39" i="3"/>
  <c r="M23" i="7" s="1"/>
  <c r="B39" i="3"/>
  <c r="B23" i="7" s="1"/>
  <c r="B39" i="2"/>
  <c r="C39" i="4"/>
  <c r="D39" i="4"/>
  <c r="E39" i="4"/>
  <c r="F39" i="4"/>
  <c r="G39" i="4"/>
  <c r="H39" i="4"/>
  <c r="I39" i="4"/>
  <c r="J39" i="4"/>
  <c r="K39" i="4"/>
  <c r="L39" i="4"/>
  <c r="M39" i="4"/>
  <c r="B39" i="4"/>
  <c r="C39" i="1"/>
  <c r="D39" i="1"/>
  <c r="E39" i="1"/>
  <c r="F39" i="1"/>
  <c r="G39" i="1"/>
  <c r="H39" i="1"/>
  <c r="I39" i="1"/>
  <c r="J39" i="1"/>
  <c r="K39" i="1"/>
  <c r="L39" i="1"/>
  <c r="M39" i="1"/>
  <c r="B39" i="1"/>
  <c r="M35" i="9"/>
  <c r="L35" i="9"/>
  <c r="K35" i="9"/>
  <c r="J35" i="9"/>
  <c r="I35" i="9"/>
  <c r="H35" i="9"/>
  <c r="G35" i="9"/>
  <c r="F35" i="9"/>
  <c r="E35" i="9"/>
  <c r="D35" i="9"/>
  <c r="C35" i="9"/>
  <c r="B35" i="9"/>
  <c r="M34" i="9"/>
  <c r="L34" i="9"/>
  <c r="K34" i="9"/>
  <c r="J34" i="9"/>
  <c r="I34" i="9"/>
  <c r="H34" i="9"/>
  <c r="G34" i="9"/>
  <c r="F34" i="9"/>
  <c r="E34" i="9"/>
  <c r="D34" i="9"/>
  <c r="C34" i="9"/>
  <c r="B34" i="9"/>
  <c r="M33" i="9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K31" i="9"/>
  <c r="J31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M29" i="9"/>
  <c r="L29" i="9"/>
  <c r="K29" i="9"/>
  <c r="J29" i="9"/>
  <c r="I29" i="9"/>
  <c r="H29" i="9"/>
  <c r="G29" i="9"/>
  <c r="F29" i="9"/>
  <c r="E29" i="9"/>
  <c r="D29" i="9"/>
  <c r="C29" i="9"/>
  <c r="B29" i="9"/>
  <c r="M28" i="9"/>
  <c r="L28" i="9"/>
  <c r="K28" i="9"/>
  <c r="J28" i="9"/>
  <c r="I28" i="9"/>
  <c r="H28" i="9"/>
  <c r="G28" i="9"/>
  <c r="F28" i="9"/>
  <c r="E28" i="9"/>
  <c r="D28" i="9"/>
  <c r="C28" i="9"/>
  <c r="B28" i="9"/>
  <c r="M27" i="9"/>
  <c r="L27" i="9"/>
  <c r="K27" i="9"/>
  <c r="J27" i="9"/>
  <c r="I27" i="9"/>
  <c r="H27" i="9"/>
  <c r="G27" i="9"/>
  <c r="F27" i="9"/>
  <c r="E27" i="9"/>
  <c r="D27" i="9"/>
  <c r="C27" i="9"/>
  <c r="B27" i="9"/>
  <c r="M26" i="9"/>
  <c r="L26" i="9"/>
  <c r="K26" i="9"/>
  <c r="J26" i="9"/>
  <c r="I26" i="9"/>
  <c r="H26" i="9"/>
  <c r="G26" i="9"/>
  <c r="F26" i="9"/>
  <c r="E26" i="9"/>
  <c r="D26" i="9"/>
  <c r="C26" i="9"/>
  <c r="B26" i="9"/>
  <c r="M25" i="9"/>
  <c r="L25" i="9"/>
  <c r="K25" i="9"/>
  <c r="J25" i="9"/>
  <c r="I25" i="9"/>
  <c r="H25" i="9"/>
  <c r="G25" i="9"/>
  <c r="F25" i="9"/>
  <c r="E25" i="9"/>
  <c r="D25" i="9"/>
  <c r="C25" i="9"/>
  <c r="B25" i="9"/>
  <c r="M24" i="9"/>
  <c r="L24" i="9"/>
  <c r="K24" i="9"/>
  <c r="J24" i="9"/>
  <c r="I24" i="9"/>
  <c r="H24" i="9"/>
  <c r="G24" i="9"/>
  <c r="F24" i="9"/>
  <c r="E24" i="9"/>
  <c r="D24" i="9"/>
  <c r="C24" i="9"/>
  <c r="B24" i="9"/>
  <c r="M23" i="9"/>
  <c r="L23" i="9"/>
  <c r="K23" i="9"/>
  <c r="J23" i="9"/>
  <c r="I23" i="9"/>
  <c r="H23" i="9"/>
  <c r="G23" i="9"/>
  <c r="F23" i="9"/>
  <c r="E23" i="9"/>
  <c r="D23" i="9"/>
  <c r="C23" i="9"/>
  <c r="B23" i="9"/>
  <c r="M22" i="9"/>
  <c r="M36" i="9" s="1"/>
  <c r="L22" i="9"/>
  <c r="L36" i="9" s="1"/>
  <c r="K22" i="9"/>
  <c r="K36" i="9" s="1"/>
  <c r="J22" i="9"/>
  <c r="J36" i="9" s="1"/>
  <c r="I22" i="9"/>
  <c r="I36" i="9" s="1"/>
  <c r="H22" i="9"/>
  <c r="H36" i="9" s="1"/>
  <c r="G22" i="9"/>
  <c r="G36" i="9" s="1"/>
  <c r="F22" i="9"/>
  <c r="F36" i="9" s="1"/>
  <c r="E22" i="9"/>
  <c r="E36" i="9" s="1"/>
  <c r="D22" i="9"/>
  <c r="C22" i="9"/>
  <c r="B22" i="9"/>
  <c r="B36" i="9" s="1"/>
  <c r="M18" i="9"/>
  <c r="L18" i="9"/>
  <c r="K18" i="9"/>
  <c r="J18" i="9"/>
  <c r="I18" i="9"/>
  <c r="H18" i="9"/>
  <c r="G18" i="9"/>
  <c r="F18" i="9"/>
  <c r="E18" i="9"/>
  <c r="D18" i="9"/>
  <c r="D52" i="7" s="1"/>
  <c r="D54" i="7" s="1"/>
  <c r="D55" i="7" s="1"/>
  <c r="C18" i="9"/>
  <c r="B18" i="9"/>
  <c r="M35" i="8"/>
  <c r="L35" i="8"/>
  <c r="K35" i="8"/>
  <c r="J35" i="8"/>
  <c r="I35" i="8"/>
  <c r="H35" i="8"/>
  <c r="G35" i="8"/>
  <c r="F35" i="8"/>
  <c r="E35" i="8"/>
  <c r="D35" i="8"/>
  <c r="C35" i="8"/>
  <c r="B35" i="8"/>
  <c r="M34" i="8"/>
  <c r="L34" i="8"/>
  <c r="K34" i="8"/>
  <c r="J34" i="8"/>
  <c r="I34" i="8"/>
  <c r="H34" i="8"/>
  <c r="G34" i="8"/>
  <c r="F34" i="8"/>
  <c r="E34" i="8"/>
  <c r="D34" i="8"/>
  <c r="C34" i="8"/>
  <c r="B34" i="8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M25" i="8"/>
  <c r="L25" i="8"/>
  <c r="K25" i="8"/>
  <c r="J25" i="8"/>
  <c r="I25" i="8"/>
  <c r="H25" i="8"/>
  <c r="G25" i="8"/>
  <c r="F25" i="8"/>
  <c r="E25" i="8"/>
  <c r="D25" i="8"/>
  <c r="C25" i="8"/>
  <c r="B25" i="8"/>
  <c r="M24" i="8"/>
  <c r="L24" i="8"/>
  <c r="K24" i="8"/>
  <c r="J24" i="8"/>
  <c r="I24" i="8"/>
  <c r="H24" i="8"/>
  <c r="G24" i="8"/>
  <c r="F24" i="8"/>
  <c r="E24" i="8"/>
  <c r="D24" i="8"/>
  <c r="C24" i="8"/>
  <c r="B24" i="8"/>
  <c r="M23" i="8"/>
  <c r="L23" i="8"/>
  <c r="K23" i="8"/>
  <c r="J23" i="8"/>
  <c r="I23" i="8"/>
  <c r="H23" i="8"/>
  <c r="G23" i="8"/>
  <c r="F23" i="8"/>
  <c r="E23" i="8"/>
  <c r="D23" i="8"/>
  <c r="C23" i="8"/>
  <c r="B23" i="8"/>
  <c r="M22" i="8"/>
  <c r="L22" i="8"/>
  <c r="K22" i="8"/>
  <c r="J22" i="8"/>
  <c r="I22" i="8"/>
  <c r="H22" i="8"/>
  <c r="G22" i="8"/>
  <c r="F22" i="8"/>
  <c r="E22" i="8"/>
  <c r="D22" i="8"/>
  <c r="C22" i="8"/>
  <c r="B22" i="8"/>
  <c r="M18" i="8"/>
  <c r="L18" i="8"/>
  <c r="K18" i="8"/>
  <c r="J18" i="8"/>
  <c r="I18" i="8"/>
  <c r="H18" i="8"/>
  <c r="G18" i="8"/>
  <c r="F18" i="8"/>
  <c r="E18" i="8"/>
  <c r="D18" i="8"/>
  <c r="D46" i="7" s="1"/>
  <c r="D48" i="7" s="1"/>
  <c r="D49" i="7" s="1"/>
  <c r="C18" i="8"/>
  <c r="B18" i="8"/>
  <c r="B54" i="7" l="1"/>
  <c r="B55" i="7" s="1"/>
  <c r="D36" i="9"/>
  <c r="C36" i="9"/>
  <c r="B36" i="8"/>
  <c r="D36" i="8"/>
  <c r="M36" i="8"/>
  <c r="L36" i="8"/>
  <c r="K36" i="8"/>
  <c r="J36" i="8"/>
  <c r="H36" i="8"/>
  <c r="G36" i="8"/>
  <c r="F36" i="8"/>
  <c r="E36" i="8"/>
  <c r="C36" i="8"/>
  <c r="I36" i="8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M36" i="1" s="1"/>
  <c r="L22" i="1"/>
  <c r="L36" i="1" s="1"/>
  <c r="K22" i="1"/>
  <c r="K36" i="1" s="1"/>
  <c r="J22" i="1"/>
  <c r="J36" i="1" s="1"/>
  <c r="I22" i="1"/>
  <c r="I36" i="1" s="1"/>
  <c r="H22" i="1"/>
  <c r="H36" i="1" s="1"/>
  <c r="G22" i="1"/>
  <c r="G36" i="1" s="1"/>
  <c r="F22" i="1"/>
  <c r="F36" i="1" s="1"/>
  <c r="E22" i="1"/>
  <c r="E36" i="1" s="1"/>
  <c r="D22" i="1"/>
  <c r="C22" i="1"/>
  <c r="B22" i="1"/>
  <c r="M18" i="1"/>
  <c r="L18" i="1"/>
  <c r="K18" i="1"/>
  <c r="J18" i="1"/>
  <c r="I18" i="1"/>
  <c r="H18" i="1"/>
  <c r="G18" i="1"/>
  <c r="F18" i="1"/>
  <c r="E18" i="1"/>
  <c r="D18" i="1"/>
  <c r="C18" i="1"/>
  <c r="B18" i="1"/>
  <c r="D36" i="1" l="1"/>
  <c r="B36" i="1"/>
  <c r="C36" i="1"/>
  <c r="F40" i="7"/>
  <c r="G40" i="7"/>
  <c r="H40" i="7"/>
  <c r="I40" i="7"/>
  <c r="I42" i="7" s="1"/>
  <c r="I43" i="7" s="1"/>
  <c r="J40" i="7"/>
  <c r="K40" i="7"/>
  <c r="L40" i="7"/>
  <c r="L42" i="7" s="1"/>
  <c r="L43" i="7" s="1"/>
  <c r="M40" i="7"/>
  <c r="C41" i="7"/>
  <c r="D41" i="7"/>
  <c r="E41" i="7"/>
  <c r="F41" i="7"/>
  <c r="G41" i="7"/>
  <c r="H41" i="7"/>
  <c r="I41" i="7"/>
  <c r="J41" i="7"/>
  <c r="K41" i="7"/>
  <c r="L41" i="7"/>
  <c r="M41" i="7"/>
  <c r="B41" i="7"/>
  <c r="E34" i="7"/>
  <c r="F34" i="7"/>
  <c r="G34" i="7"/>
  <c r="H34" i="7"/>
  <c r="I34" i="7"/>
  <c r="I36" i="7" s="1"/>
  <c r="I37" i="7" s="1"/>
  <c r="J34" i="7"/>
  <c r="J36" i="7" s="1"/>
  <c r="J37" i="7" s="1"/>
  <c r="K34" i="7"/>
  <c r="K36" i="7" s="1"/>
  <c r="K37" i="7" s="1"/>
  <c r="L34" i="7"/>
  <c r="L36" i="7" s="1"/>
  <c r="L37" i="7" s="1"/>
  <c r="M34" i="7"/>
  <c r="C35" i="7"/>
  <c r="D35" i="7"/>
  <c r="E35" i="7"/>
  <c r="F35" i="7"/>
  <c r="G35" i="7"/>
  <c r="H35" i="7"/>
  <c r="I35" i="7"/>
  <c r="J35" i="7"/>
  <c r="K35" i="7"/>
  <c r="L35" i="7"/>
  <c r="M35" i="7"/>
  <c r="B35" i="7"/>
  <c r="F30" i="7"/>
  <c r="F31" i="7" s="1"/>
  <c r="G30" i="7"/>
  <c r="G31" i="7" s="1"/>
  <c r="H30" i="7"/>
  <c r="H31" i="7" s="1"/>
  <c r="I30" i="7"/>
  <c r="I31" i="7" s="1"/>
  <c r="E22" i="7"/>
  <c r="F22" i="7"/>
  <c r="F24" i="7" s="1"/>
  <c r="F25" i="7" s="1"/>
  <c r="G22" i="7"/>
  <c r="H22" i="7"/>
  <c r="I22" i="7"/>
  <c r="J22" i="7"/>
  <c r="K22" i="7"/>
  <c r="K24" i="7" s="1"/>
  <c r="K25" i="7" s="1"/>
  <c r="L22" i="7"/>
  <c r="L24" i="7" s="1"/>
  <c r="L25" i="7" s="1"/>
  <c r="M22" i="7"/>
  <c r="M24" i="7" s="1"/>
  <c r="M25" i="7" s="1"/>
  <c r="C4" i="7"/>
  <c r="D4" i="7"/>
  <c r="E4" i="7"/>
  <c r="F4" i="7"/>
  <c r="G4" i="7"/>
  <c r="H4" i="7"/>
  <c r="I4" i="7"/>
  <c r="J4" i="7"/>
  <c r="K4" i="7"/>
  <c r="L4" i="7"/>
  <c r="M4" i="7"/>
  <c r="B4" i="7"/>
  <c r="M42" i="7"/>
  <c r="M43" i="7" s="1"/>
  <c r="G36" i="7"/>
  <c r="G37" i="7" s="1"/>
  <c r="J24" i="7"/>
  <c r="J25" i="7" s="1"/>
  <c r="I24" i="7"/>
  <c r="I25" i="7" s="1"/>
  <c r="G24" i="7"/>
  <c r="G25" i="7" s="1"/>
  <c r="H42" i="7" l="1"/>
  <c r="H43" i="7" s="1"/>
  <c r="M30" i="7"/>
  <c r="M31" i="7" s="1"/>
  <c r="K30" i="7"/>
  <c r="K31" i="7" s="1"/>
  <c r="J30" i="7"/>
  <c r="J31" i="7" s="1"/>
  <c r="J12" i="7"/>
  <c r="J13" i="7" s="1"/>
  <c r="I12" i="7"/>
  <c r="I13" i="7" s="1"/>
  <c r="K12" i="7"/>
  <c r="K13" i="7" s="1"/>
  <c r="D12" i="7"/>
  <c r="D13" i="7" s="1"/>
  <c r="G12" i="7"/>
  <c r="G13" i="7" s="1"/>
  <c r="M12" i="7"/>
  <c r="M13" i="7" s="1"/>
  <c r="C12" i="7"/>
  <c r="C13" i="7" s="1"/>
  <c r="E12" i="7"/>
  <c r="E13" i="7" s="1"/>
  <c r="F36" i="7"/>
  <c r="F37" i="7" s="1"/>
  <c r="E36" i="7"/>
  <c r="E37" i="7" s="1"/>
  <c r="B12" i="7"/>
  <c r="B13" i="7" s="1"/>
  <c r="M36" i="7"/>
  <c r="M37" i="7" s="1"/>
  <c r="F42" i="7"/>
  <c r="F43" i="7" s="1"/>
  <c r="G42" i="7"/>
  <c r="G43" i="7" s="1"/>
  <c r="E24" i="7"/>
  <c r="E25" i="7" s="1"/>
  <c r="F12" i="7"/>
  <c r="F13" i="7" s="1"/>
  <c r="H24" i="7"/>
  <c r="H25" i="7" s="1"/>
  <c r="K42" i="7"/>
  <c r="K43" i="7" s="1"/>
  <c r="H12" i="7"/>
  <c r="H13" i="7" s="1"/>
  <c r="H36" i="7"/>
  <c r="H37" i="7" s="1"/>
  <c r="L30" i="7"/>
  <c r="L31" i="7" s="1"/>
  <c r="E30" i="7"/>
  <c r="E31" i="7" s="1"/>
  <c r="J42" i="7"/>
  <c r="J43" i="7" s="1"/>
  <c r="L12" i="7"/>
  <c r="L13" i="7" s="1"/>
  <c r="M35" i="6" l="1"/>
  <c r="L35" i="6"/>
  <c r="K35" i="6"/>
  <c r="J35" i="6"/>
  <c r="I35" i="6"/>
  <c r="H35" i="6"/>
  <c r="G35" i="6"/>
  <c r="F35" i="6"/>
  <c r="E35" i="6"/>
  <c r="D35" i="6"/>
  <c r="C35" i="6"/>
  <c r="B35" i="6"/>
  <c r="M34" i="6"/>
  <c r="L34" i="6"/>
  <c r="K34" i="6"/>
  <c r="J34" i="6"/>
  <c r="I34" i="6"/>
  <c r="H34" i="6"/>
  <c r="G34" i="6"/>
  <c r="F34" i="6"/>
  <c r="E34" i="6"/>
  <c r="D34" i="6"/>
  <c r="C34" i="6"/>
  <c r="B34" i="6"/>
  <c r="M33" i="6"/>
  <c r="L33" i="6"/>
  <c r="K33" i="6"/>
  <c r="J33" i="6"/>
  <c r="I33" i="6"/>
  <c r="H33" i="6"/>
  <c r="G33" i="6"/>
  <c r="F33" i="6"/>
  <c r="E33" i="6"/>
  <c r="D33" i="6"/>
  <c r="C33" i="6"/>
  <c r="B33" i="6"/>
  <c r="M32" i="6"/>
  <c r="L32" i="6"/>
  <c r="K32" i="6"/>
  <c r="J32" i="6"/>
  <c r="I32" i="6"/>
  <c r="H32" i="6"/>
  <c r="G32" i="6"/>
  <c r="F32" i="6"/>
  <c r="E32" i="6"/>
  <c r="D32" i="6"/>
  <c r="C32" i="6"/>
  <c r="B32" i="6"/>
  <c r="M31" i="6"/>
  <c r="L31" i="6"/>
  <c r="K31" i="6"/>
  <c r="J31" i="6"/>
  <c r="I31" i="6"/>
  <c r="H31" i="6"/>
  <c r="G31" i="6"/>
  <c r="F31" i="6"/>
  <c r="E31" i="6"/>
  <c r="D31" i="6"/>
  <c r="C31" i="6"/>
  <c r="B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I36" i="6" s="1"/>
  <c r="H22" i="6"/>
  <c r="H36" i="6" s="1"/>
  <c r="G22" i="6"/>
  <c r="G36" i="6" s="1"/>
  <c r="F22" i="6"/>
  <c r="F36" i="6" s="1"/>
  <c r="E22" i="6"/>
  <c r="E36" i="6" s="1"/>
  <c r="D22" i="6"/>
  <c r="C22" i="6"/>
  <c r="B22" i="6"/>
  <c r="M18" i="6"/>
  <c r="L18" i="6"/>
  <c r="K18" i="6"/>
  <c r="J18" i="6"/>
  <c r="I18" i="6"/>
  <c r="H18" i="6"/>
  <c r="G18" i="6"/>
  <c r="F18" i="6"/>
  <c r="E18" i="6"/>
  <c r="E40" i="7" s="1"/>
  <c r="E42" i="7" s="1"/>
  <c r="E43" i="7" s="1"/>
  <c r="D18" i="6"/>
  <c r="D40" i="7" s="1"/>
  <c r="D42" i="7" s="1"/>
  <c r="D43" i="7" s="1"/>
  <c r="C18" i="6"/>
  <c r="C40" i="7" s="1"/>
  <c r="C42" i="7" s="1"/>
  <c r="C43" i="7" s="1"/>
  <c r="B18" i="6"/>
  <c r="B40" i="7" s="1"/>
  <c r="B42" i="7" s="1"/>
  <c r="B43" i="7" s="1"/>
  <c r="M36" i="6" l="1"/>
  <c r="L36" i="6"/>
  <c r="K36" i="6"/>
  <c r="J36" i="6"/>
  <c r="B36" i="6"/>
  <c r="D36" i="6"/>
  <c r="C36" i="6"/>
  <c r="M35" i="5"/>
  <c r="L35" i="5"/>
  <c r="K35" i="5"/>
  <c r="J35" i="5"/>
  <c r="I35" i="5"/>
  <c r="H35" i="5"/>
  <c r="G35" i="5"/>
  <c r="F35" i="5"/>
  <c r="E35" i="5"/>
  <c r="D35" i="5"/>
  <c r="C35" i="5"/>
  <c r="B35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K36" i="5" s="1"/>
  <c r="J22" i="5"/>
  <c r="J36" i="5" s="1"/>
  <c r="I22" i="5"/>
  <c r="I36" i="5" s="1"/>
  <c r="H22" i="5"/>
  <c r="G22" i="5"/>
  <c r="G36" i="5" s="1"/>
  <c r="F22" i="5"/>
  <c r="F36" i="5" s="1"/>
  <c r="E22" i="5"/>
  <c r="E36" i="5" s="1"/>
  <c r="D22" i="5"/>
  <c r="C22" i="5"/>
  <c r="B22" i="5"/>
  <c r="M18" i="5"/>
  <c r="L18" i="5"/>
  <c r="K18" i="5"/>
  <c r="J18" i="5"/>
  <c r="I18" i="5"/>
  <c r="H18" i="5"/>
  <c r="G18" i="5"/>
  <c r="F18" i="5"/>
  <c r="E18" i="5"/>
  <c r="D18" i="5"/>
  <c r="D34" i="7" s="1"/>
  <c r="D36" i="7" s="1"/>
  <c r="D37" i="7" s="1"/>
  <c r="C18" i="5"/>
  <c r="C34" i="7" s="1"/>
  <c r="C36" i="7" s="1"/>
  <c r="C37" i="7" s="1"/>
  <c r="B18" i="5"/>
  <c r="D36" i="5" l="1"/>
  <c r="B36" i="5"/>
  <c r="B34" i="7"/>
  <c r="B36" i="7" s="1"/>
  <c r="B37" i="7" s="1"/>
  <c r="B3" i="7"/>
  <c r="B5" i="7" s="1"/>
  <c r="B6" i="7" s="1"/>
  <c r="H36" i="5"/>
  <c r="M36" i="5"/>
  <c r="L36" i="5"/>
  <c r="C36" i="5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G24" i="4"/>
  <c r="F24" i="4"/>
  <c r="E24" i="4"/>
  <c r="D24" i="4"/>
  <c r="C24" i="4"/>
  <c r="B24" i="4"/>
  <c r="M23" i="4"/>
  <c r="L23" i="4"/>
  <c r="K23" i="4"/>
  <c r="J23" i="4"/>
  <c r="I23" i="4"/>
  <c r="H23" i="4"/>
  <c r="G23" i="4"/>
  <c r="F23" i="4"/>
  <c r="E23" i="4"/>
  <c r="D23" i="4"/>
  <c r="C23" i="4"/>
  <c r="B23" i="4"/>
  <c r="M22" i="4"/>
  <c r="M36" i="4" s="1"/>
  <c r="L22" i="4"/>
  <c r="L36" i="4" s="1"/>
  <c r="K22" i="4"/>
  <c r="K36" i="4" s="1"/>
  <c r="J22" i="4"/>
  <c r="J36" i="4" s="1"/>
  <c r="I22" i="4"/>
  <c r="H22" i="4"/>
  <c r="H36" i="4" s="1"/>
  <c r="G22" i="4"/>
  <c r="G36" i="4" s="1"/>
  <c r="F22" i="4"/>
  <c r="F36" i="4" s="1"/>
  <c r="E22" i="4"/>
  <c r="E36" i="4" s="1"/>
  <c r="D22" i="4"/>
  <c r="C22" i="4"/>
  <c r="B22" i="4"/>
  <c r="M18" i="4"/>
  <c r="L18" i="4"/>
  <c r="K18" i="4"/>
  <c r="J18" i="4"/>
  <c r="I18" i="4"/>
  <c r="H18" i="4"/>
  <c r="G18" i="4"/>
  <c r="F18" i="4"/>
  <c r="E18" i="4"/>
  <c r="D18" i="4"/>
  <c r="D30" i="7" s="1"/>
  <c r="D31" i="7" s="1"/>
  <c r="C18" i="4"/>
  <c r="B18" i="4"/>
  <c r="B30" i="7" s="1"/>
  <c r="B31" i="7" s="1"/>
  <c r="D36" i="4" l="1"/>
  <c r="B36" i="4"/>
  <c r="I36" i="4"/>
  <c r="C36" i="4"/>
  <c r="C30" i="7"/>
  <c r="C31" i="7" s="1"/>
  <c r="M35" i="3"/>
  <c r="L35" i="3"/>
  <c r="K35" i="3"/>
  <c r="J35" i="3"/>
  <c r="I35" i="3"/>
  <c r="H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E34" i="3"/>
  <c r="D34" i="3"/>
  <c r="C34" i="3"/>
  <c r="B34" i="3"/>
  <c r="M33" i="3"/>
  <c r="L33" i="3"/>
  <c r="K33" i="3"/>
  <c r="J33" i="3"/>
  <c r="I33" i="3"/>
  <c r="H33" i="3"/>
  <c r="G33" i="3"/>
  <c r="F33" i="3"/>
  <c r="E33" i="3"/>
  <c r="D33" i="3"/>
  <c r="C33" i="3"/>
  <c r="B33" i="3"/>
  <c r="M32" i="3"/>
  <c r="L32" i="3"/>
  <c r="K32" i="3"/>
  <c r="J32" i="3"/>
  <c r="I32" i="3"/>
  <c r="H32" i="3"/>
  <c r="G32" i="3"/>
  <c r="F32" i="3"/>
  <c r="E32" i="3"/>
  <c r="D32" i="3"/>
  <c r="C32" i="3"/>
  <c r="B32" i="3"/>
  <c r="M31" i="3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I25" i="3"/>
  <c r="H25" i="3"/>
  <c r="G25" i="3"/>
  <c r="F25" i="3"/>
  <c r="E25" i="3"/>
  <c r="D25" i="3"/>
  <c r="C25" i="3"/>
  <c r="B25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M36" i="3" s="1"/>
  <c r="L22" i="3"/>
  <c r="L36" i="3" s="1"/>
  <c r="K22" i="3"/>
  <c r="K36" i="3" s="1"/>
  <c r="J22" i="3"/>
  <c r="J36" i="3" s="1"/>
  <c r="I22" i="3"/>
  <c r="I36" i="3" s="1"/>
  <c r="H22" i="3"/>
  <c r="H36" i="3" s="1"/>
  <c r="G22" i="3"/>
  <c r="G36" i="3" s="1"/>
  <c r="F22" i="3"/>
  <c r="E22" i="3"/>
  <c r="D22" i="3"/>
  <c r="C22" i="3"/>
  <c r="B22" i="3"/>
  <c r="M18" i="3"/>
  <c r="L18" i="3"/>
  <c r="K18" i="3"/>
  <c r="J18" i="3"/>
  <c r="I18" i="3"/>
  <c r="H18" i="3"/>
  <c r="G18" i="3"/>
  <c r="F18" i="3"/>
  <c r="E18" i="3"/>
  <c r="D18" i="3"/>
  <c r="D22" i="7" s="1"/>
  <c r="D24" i="7" s="1"/>
  <c r="D25" i="7" s="1"/>
  <c r="C18" i="3"/>
  <c r="C22" i="7" s="1"/>
  <c r="B18" i="3"/>
  <c r="B22" i="7" s="1"/>
  <c r="B24" i="7" s="1"/>
  <c r="B25" i="7" s="1"/>
  <c r="D36" i="3" l="1"/>
  <c r="C36" i="3"/>
  <c r="E36" i="3"/>
  <c r="B36" i="3"/>
  <c r="F36" i="3"/>
  <c r="C24" i="7"/>
  <c r="C25" i="7" s="1"/>
  <c r="M39" i="2"/>
  <c r="M17" i="7" s="1"/>
  <c r="L39" i="2"/>
  <c r="L17" i="7" s="1"/>
  <c r="K39" i="2"/>
  <c r="K17" i="7" s="1"/>
  <c r="J39" i="2"/>
  <c r="J17" i="7" s="1"/>
  <c r="I39" i="2"/>
  <c r="I17" i="7" s="1"/>
  <c r="H39" i="2"/>
  <c r="H17" i="7" s="1"/>
  <c r="G39" i="2"/>
  <c r="G17" i="7" s="1"/>
  <c r="F39" i="2"/>
  <c r="F17" i="7" s="1"/>
  <c r="E39" i="2"/>
  <c r="E17" i="7" s="1"/>
  <c r="D39" i="2"/>
  <c r="D17" i="7" s="1"/>
  <c r="C39" i="2"/>
  <c r="C17" i="7" s="1"/>
  <c r="B17" i="7"/>
  <c r="M35" i="2"/>
  <c r="L35" i="2"/>
  <c r="K35" i="2"/>
  <c r="J35" i="2"/>
  <c r="I35" i="2"/>
  <c r="H35" i="2"/>
  <c r="G35" i="2"/>
  <c r="F35" i="2"/>
  <c r="E35" i="2"/>
  <c r="D35" i="2"/>
  <c r="C35" i="2"/>
  <c r="B35" i="2"/>
  <c r="M34" i="2"/>
  <c r="L34" i="2"/>
  <c r="K34" i="2"/>
  <c r="J34" i="2"/>
  <c r="I34" i="2"/>
  <c r="H34" i="2"/>
  <c r="G34" i="2"/>
  <c r="F34" i="2"/>
  <c r="E34" i="2"/>
  <c r="D34" i="2"/>
  <c r="C34" i="2"/>
  <c r="B34" i="2"/>
  <c r="M33" i="2"/>
  <c r="L33" i="2"/>
  <c r="K33" i="2"/>
  <c r="J33" i="2"/>
  <c r="I33" i="2"/>
  <c r="H33" i="2"/>
  <c r="G33" i="2"/>
  <c r="F33" i="2"/>
  <c r="E33" i="2"/>
  <c r="D33" i="2"/>
  <c r="C33" i="2"/>
  <c r="B33" i="2"/>
  <c r="M32" i="2"/>
  <c r="L32" i="2"/>
  <c r="K32" i="2"/>
  <c r="J32" i="2"/>
  <c r="I32" i="2"/>
  <c r="H32" i="2"/>
  <c r="G32" i="2"/>
  <c r="F32" i="2"/>
  <c r="E32" i="2"/>
  <c r="D32" i="2"/>
  <c r="C32" i="2"/>
  <c r="B32" i="2"/>
  <c r="M31" i="2"/>
  <c r="L31" i="2"/>
  <c r="K31" i="2"/>
  <c r="J31" i="2"/>
  <c r="I31" i="2"/>
  <c r="H31" i="2"/>
  <c r="G31" i="2"/>
  <c r="F31" i="2"/>
  <c r="E31" i="2"/>
  <c r="D31" i="2"/>
  <c r="C31" i="2"/>
  <c r="B31" i="2"/>
  <c r="M30" i="2"/>
  <c r="L30" i="2"/>
  <c r="K30" i="2"/>
  <c r="J30" i="2"/>
  <c r="I30" i="2"/>
  <c r="H30" i="2"/>
  <c r="G30" i="2"/>
  <c r="F30" i="2"/>
  <c r="E30" i="2"/>
  <c r="D30" i="2"/>
  <c r="C30" i="2"/>
  <c r="B30" i="2"/>
  <c r="M29" i="2"/>
  <c r="L29" i="2"/>
  <c r="K29" i="2"/>
  <c r="J29" i="2"/>
  <c r="I29" i="2"/>
  <c r="H29" i="2"/>
  <c r="G29" i="2"/>
  <c r="F29" i="2"/>
  <c r="E29" i="2"/>
  <c r="D29" i="2"/>
  <c r="C29" i="2"/>
  <c r="B29" i="2"/>
  <c r="M28" i="2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H36" i="2" s="1"/>
  <c r="G22" i="2"/>
  <c r="F22" i="2"/>
  <c r="E22" i="2"/>
  <c r="D22" i="2"/>
  <c r="C22" i="2"/>
  <c r="B22" i="2"/>
  <c r="M18" i="2"/>
  <c r="L18" i="2"/>
  <c r="K18" i="2"/>
  <c r="J18" i="2"/>
  <c r="I18" i="2"/>
  <c r="H18" i="2"/>
  <c r="G18" i="2"/>
  <c r="F18" i="2"/>
  <c r="E18" i="2"/>
  <c r="D18" i="2"/>
  <c r="C18" i="2"/>
  <c r="B18" i="2"/>
  <c r="B16" i="7" s="1"/>
  <c r="F36" i="2" l="1"/>
  <c r="D36" i="2"/>
  <c r="B18" i="7"/>
  <c r="B19" i="7" s="1"/>
  <c r="J36" i="2"/>
  <c r="B36" i="2"/>
  <c r="M36" i="2"/>
  <c r="L36" i="2"/>
  <c r="K36" i="2"/>
  <c r="I36" i="2"/>
  <c r="G36" i="2"/>
  <c r="E36" i="2"/>
  <c r="M3" i="7"/>
  <c r="M5" i="7" s="1"/>
  <c r="M6" i="7" s="1"/>
  <c r="M16" i="7"/>
  <c r="M18" i="7" s="1"/>
  <c r="M19" i="7" s="1"/>
  <c r="L3" i="7"/>
  <c r="L5" i="7" s="1"/>
  <c r="L6" i="7" s="1"/>
  <c r="L16" i="7"/>
  <c r="L18" i="7" s="1"/>
  <c r="L19" i="7" s="1"/>
  <c r="K3" i="7"/>
  <c r="K5" i="7" s="1"/>
  <c r="K6" i="7" s="1"/>
  <c r="K16" i="7"/>
  <c r="K18" i="7" s="1"/>
  <c r="K19" i="7" s="1"/>
  <c r="J16" i="7"/>
  <c r="J18" i="7" s="1"/>
  <c r="J19" i="7" s="1"/>
  <c r="J3" i="7"/>
  <c r="J5" i="7" s="1"/>
  <c r="J6" i="7" s="1"/>
  <c r="I16" i="7"/>
  <c r="I18" i="7" s="1"/>
  <c r="I19" i="7" s="1"/>
  <c r="I3" i="7"/>
  <c r="I5" i="7" s="1"/>
  <c r="I6" i="7" s="1"/>
  <c r="H3" i="7"/>
  <c r="H5" i="7" s="1"/>
  <c r="H6" i="7" s="1"/>
  <c r="H16" i="7"/>
  <c r="H18" i="7" s="1"/>
  <c r="H19" i="7" s="1"/>
  <c r="G16" i="7"/>
  <c r="G18" i="7" s="1"/>
  <c r="G19" i="7" s="1"/>
  <c r="G3" i="7"/>
  <c r="G5" i="7" s="1"/>
  <c r="G6" i="7" s="1"/>
  <c r="F3" i="7"/>
  <c r="F5" i="7" s="1"/>
  <c r="F6" i="7" s="1"/>
  <c r="F16" i="7"/>
  <c r="F18" i="7" s="1"/>
  <c r="F19" i="7" s="1"/>
  <c r="E16" i="7"/>
  <c r="E18" i="7" s="1"/>
  <c r="E19" i="7" s="1"/>
  <c r="E3" i="7"/>
  <c r="E5" i="7" s="1"/>
  <c r="E6" i="7" s="1"/>
  <c r="D3" i="7"/>
  <c r="D5" i="7" s="1"/>
  <c r="D6" i="7" s="1"/>
  <c r="D16" i="7"/>
  <c r="D18" i="7" s="1"/>
  <c r="D19" i="7" s="1"/>
  <c r="C36" i="2"/>
  <c r="C16" i="7"/>
  <c r="C18" i="7" s="1"/>
  <c r="C19" i="7" s="1"/>
  <c r="C3" i="7"/>
  <c r="C5" i="7" s="1"/>
  <c r="C6" i="7" s="1"/>
</calcChain>
</file>

<file path=xl/sharedStrings.xml><?xml version="1.0" encoding="utf-8"?>
<sst xmlns="http://schemas.openxmlformats.org/spreadsheetml/2006/main" count="805" uniqueCount="96">
  <si>
    <t>Budget</t>
  </si>
  <si>
    <t>Emma</t>
  </si>
  <si>
    <t>ÅRSBUDGET POÄNG 2026 =</t>
  </si>
  <si>
    <t>Uttag poäng datum;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</si>
  <si>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</si>
  <si>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</si>
  <si>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</si>
  <si>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</si>
  <si>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</si>
  <si>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</si>
  <si>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</si>
  <si>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</si>
  <si>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</si>
  <si>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</si>
  <si>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</si>
  <si>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</si>
  <si>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Ta ut från Verksamhetsportalen:</t>
  </si>
  <si>
    <t>Actual</t>
  </si>
  <si>
    <t>Diff</t>
  </si>
  <si>
    <t>Skillnad poäng (ACT) och poäng (Budget)</t>
  </si>
  <si>
    <t>Poäng ACTUAL</t>
  </si>
  <si>
    <t>Poäng Budget</t>
  </si>
  <si>
    <t>Skillnad</t>
  </si>
  <si>
    <t>% avvik mot Budget</t>
  </si>
  <si>
    <t>Enheterna;</t>
  </si>
  <si>
    <t>Kommentarer;</t>
  </si>
  <si>
    <t>DIFF</t>
  </si>
  <si>
    <t>Frölunda Torget</t>
  </si>
  <si>
    <t>Grimmered</t>
  </si>
  <si>
    <t>Majorna</t>
  </si>
  <si>
    <t>Pedagogen Park</t>
  </si>
  <si>
    <t>Åby</t>
  </si>
  <si>
    <t>Olskroken</t>
  </si>
  <si>
    <t>Avenyn</t>
  </si>
  <si>
    <t>Karlastaden</t>
  </si>
  <si>
    <t>Arvid Lennartsson</t>
  </si>
  <si>
    <t>Charlotte Alderblad</t>
  </si>
  <si>
    <t>Ida Hasselholm</t>
  </si>
  <si>
    <t>Matilda Saukkorripi</t>
  </si>
  <si>
    <t>Lisa T</t>
  </si>
  <si>
    <t>Pontus Berglund</t>
  </si>
  <si>
    <t>Anders Esko</t>
  </si>
  <si>
    <t>Albert Lindström</t>
  </si>
  <si>
    <t>Rana Baratifar</t>
  </si>
  <si>
    <t>Annelie Corell</t>
  </si>
  <si>
    <t>Louise From</t>
  </si>
  <si>
    <t>Simon Lageson</t>
  </si>
  <si>
    <t>Malin</t>
  </si>
  <si>
    <t>Hanna</t>
  </si>
  <si>
    <t>Patricia</t>
  </si>
  <si>
    <t>Caroline</t>
  </si>
  <si>
    <t>Anna-Karin Book</t>
  </si>
  <si>
    <t>Mattias</t>
  </si>
  <si>
    <t>Anna-Karin S</t>
  </si>
  <si>
    <t>Lena</t>
  </si>
  <si>
    <t>Helen/Ny FT</t>
  </si>
  <si>
    <t>Anna Abrahamsson</t>
  </si>
  <si>
    <t>Caroline Lindahl</t>
  </si>
  <si>
    <t>Catarina Engström</t>
  </si>
  <si>
    <t>Lisa Torell</t>
  </si>
  <si>
    <t>Michaela Voeler</t>
  </si>
  <si>
    <t>Lisa Edvardsson</t>
  </si>
  <si>
    <t>Anna-Klara Å</t>
  </si>
  <si>
    <t>Malena</t>
  </si>
  <si>
    <t>Linnea</t>
  </si>
  <si>
    <t>Felix</t>
  </si>
  <si>
    <t>Ersättare Felix</t>
  </si>
  <si>
    <t>Helena</t>
  </si>
  <si>
    <t>Ersättare Linnea</t>
  </si>
  <si>
    <t>Elin M</t>
  </si>
  <si>
    <t>Ersättare Linnea/ Isak</t>
  </si>
  <si>
    <t>Ersättare Felix/ Erik S</t>
  </si>
  <si>
    <t>Elin</t>
  </si>
  <si>
    <t>Nina</t>
  </si>
  <si>
    <t>Emil</t>
  </si>
  <si>
    <t>Rebecka</t>
  </si>
  <si>
    <t>Agnes</t>
  </si>
  <si>
    <t>Johanna</t>
  </si>
  <si>
    <t>Molly FT</t>
  </si>
  <si>
    <t>Fredrik FT</t>
  </si>
  <si>
    <t>AT timanst</t>
  </si>
  <si>
    <t>Emilia J</t>
  </si>
  <si>
    <t>Helena Ö</t>
  </si>
  <si>
    <t>Emma Lisjö</t>
  </si>
  <si>
    <t>Caroline Möller</t>
  </si>
  <si>
    <t>Patricia Palada</t>
  </si>
  <si>
    <t>Hanna Bovin</t>
  </si>
  <si>
    <t>Malin Svensson</t>
  </si>
  <si>
    <t>Malena Ryberg</t>
  </si>
  <si>
    <t>Felix W</t>
  </si>
  <si>
    <t>Elin Jolsö</t>
  </si>
  <si>
    <t>Linnea Andersson</t>
  </si>
  <si>
    <t>Nina Nexborn</t>
  </si>
  <si>
    <t>Emil Sevestedt</t>
  </si>
  <si>
    <t>Rebecka Svensson</t>
  </si>
  <si>
    <t>Agnes Wykman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</si>
</sst>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sz val="10"/>
      <name val="Aptos Narrow"/>
      <family val="2"/>
    </font>
    <font>
      <sz val="10"/>
      <name val="Aptos Narrow"/>
      <family val="2"/>
    </font>
    <font>
      <b/>
      <i/>
      <sz val="10"/>
      <name val="Aptos Narrow"/>
      <family val="2"/>
    </font>
    <font>
      <sz val="11"/>
      <name val="Calibri"/>
      <family val="2"/>
    </font>
    <font>
      <i/>
      <u val="singleAccounting"/>
      <sz val="11"/>
      <name val="Calibri"/>
      <family val="2"/>
    </font>
    <font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39">
    <xf numFmtId="0" fontId="0" fillId="0" borderId="0" xfId="0"/>
    <xf numFmtId="164" fontId="2" fillId="2" borderId="1" xfId="1" applyNumberFormat="1" applyFont="1" applyFill="1" applyBorder="1"/>
    <xf numFmtId="164" fontId="0" fillId="0" borderId="0" xfId="1" applyNumberFormat="1" applyFont="1"/>
    <xf numFmtId="164" fontId="3" fillId="0" borderId="0" xfId="1" applyNumberFormat="1" applyFont="1"/>
    <xf numFmtId="164" fontId="0" fillId="2" borderId="1" xfId="1" applyNumberFormat="1" applyFont="1" applyFill="1" applyBorder="1"/>
    <xf numFmtId="164" fontId="3" fillId="3" borderId="0" xfId="1" applyNumberFormat="1" applyFont="1" applyFill="1"/>
    <xf numFmtId="14" fontId="3" fillId="3" borderId="0" xfId="1" applyNumberFormat="1" applyFont="1" applyFill="1"/>
    <xf numFmtId="164" fontId="0" fillId="0" borderId="0" xfId="1" applyNumberFormat="1" applyFont="1" applyFill="1" applyBorder="1"/>
    <xf numFmtId="164" fontId="2" fillId="0" borderId="0" xfId="1" applyNumberFormat="1" applyFont="1"/>
    <xf numFmtId="164" fontId="0" fillId="0" borderId="0" xfId="1" applyNumberFormat="1" applyFont="1" applyFill="1"/>
    <xf numFmtId="164" fontId="0" fillId="4" borderId="1" xfId="1" applyNumberFormat="1" applyFont="1" applyFill="1" applyBorder="1"/>
    <xf numFmtId="164" fontId="4" fillId="0" borderId="2" xfId="1" applyNumberFormat="1" applyFont="1" applyBorder="1"/>
    <xf numFmtId="164" fontId="0" fillId="0" borderId="1" xfId="1" applyNumberFormat="1" applyFont="1" applyBorder="1"/>
    <xf numFmtId="164" fontId="4" fillId="0" borderId="0" xfId="1" applyNumberFormat="1" applyFont="1" applyBorder="1"/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9" fontId="6" fillId="0" borderId="7" xfId="2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9" fontId="6" fillId="0" borderId="0" xfId="2" applyFont="1" applyAlignment="1">
      <alignment horizontal="right"/>
    </xf>
    <xf numFmtId="9" fontId="6" fillId="0" borderId="0" xfId="2" applyFont="1" applyFill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0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9" fontId="6" fillId="0" borderId="7" xfId="2" applyFont="1" applyFill="1" applyBorder="1" applyAlignment="1">
      <alignment horizontal="right"/>
    </xf>
    <xf numFmtId="9" fontId="6" fillId="0" borderId="12" xfId="2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0" fillId="3" borderId="0" xfId="0" applyFill="1"/>
    <xf numFmtId="164" fontId="9" fillId="0" borderId="0" xfId="1" applyNumberFormat="1" applyFont="1"/>
    <xf numFmtId="0" fontId="8" fillId="0" borderId="0" xfId="0" applyFont="1"/>
    <xf numFmtId="164" fontId="3" fillId="5" borderId="0" xfId="1" applyNumberFormat="1" applyFont="1" applyFill="1"/>
    <xf numFmtId="164" fontId="0" fillId="0" borderId="1" xfId="1" applyNumberFormat="1" applyFont="1" applyFill="1" applyBorder="1"/>
    <xf numFmtId="0" fontId="0" fillId="6" borderId="0" xfId="0" applyFill="1"/>
  </cellXfs>
  <cellStyles count="4">
    <cellStyle name="Normal" xfId="0" builtinId="0"/>
    <cellStyle name="Normal 2" xfId="3" xr:uid="{3934AC7F-5D78-4E0A-9825-D607DB908384}"/>
    <cellStyle name="Procent" xfId="2" builtinId="5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B3C2A2-169A-4137-914A-DBF0ED230AD6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1E9E-270C-4247-91CF-9611E0F347A9}">
  <dimension ref="A1:M55"/>
  <sheetViews>
    <sheetView tabSelected="1" zoomScale="120" zoomScaleNormal="120" workbookViewId="0">
      <selection activeCell="Q22" sqref="Q22"/>
    </sheetView>
  </sheetViews>
  <sheetFormatPr defaultRowHeight="15" x14ac:dyDescent="0.25"/>
  <cols>
    <col min="1" max="1" width="36.42578125" bestFit="1" customWidth="1"/>
    <col min="2" max="2" width="11.7109375" bestFit="1" customWidth="1"/>
    <col min="3" max="3" width="11.140625" bestFit="1" customWidth="1"/>
    <col min="4" max="4" width="11.85546875" bestFit="1" customWidth="1"/>
    <col min="5" max="13" width="6.42578125" bestFit="1" customWidth="1"/>
  </cols>
  <sheetData>
    <row r="1" spans="1:13" s="2" customFormat="1" ht="15.75" thickBot="1" x14ac:dyDescent="0.3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16" customFormat="1" ht="13.5" x14ac:dyDescent="0.25">
      <c r="A2" s="14" t="s">
        <v>19</v>
      </c>
      <c r="B2" s="15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24" t="s">
        <v>15</v>
      </c>
    </row>
    <row r="3" spans="1:13" s="16" customFormat="1" ht="13.5" x14ac:dyDescent="0.25">
      <c r="A3" s="17" t="s">
        <v>20</v>
      </c>
      <c r="B3" s="31">
        <f>SUM('Pedagogen Park:Olskroken'!B18)</f>
        <v>1958</v>
      </c>
      <c r="C3" s="31">
        <f>SUM('Pedagogen Park:Olskroken'!C18)</f>
        <v>2074</v>
      </c>
      <c r="D3" s="31">
        <f>SUM('Pedagogen Park:Olskroken'!D18)</f>
        <v>2516</v>
      </c>
      <c r="E3" s="31">
        <f>SUM('Pedagogen Park:Olskroken'!E18)</f>
        <v>0</v>
      </c>
      <c r="F3" s="31">
        <f>SUM('Pedagogen Park:Olskroken'!F18)</f>
        <v>0</v>
      </c>
      <c r="G3" s="31">
        <f>SUM('Pedagogen Park:Olskroken'!G18)</f>
        <v>0</v>
      </c>
      <c r="H3" s="31">
        <f>SUM('Pedagogen Park:Olskroken'!H18)</f>
        <v>0</v>
      </c>
      <c r="I3" s="31">
        <f>SUM('Pedagogen Park:Olskroken'!I18)</f>
        <v>0</v>
      </c>
      <c r="J3" s="31">
        <f>SUM('Pedagogen Park:Olskroken'!J18)</f>
        <v>0</v>
      </c>
      <c r="K3" s="31">
        <f>SUM('Pedagogen Park:Olskroken'!K18)</f>
        <v>0</v>
      </c>
      <c r="L3" s="31">
        <f>SUM('Pedagogen Park:Olskroken'!L18)</f>
        <v>0</v>
      </c>
      <c r="M3" s="32">
        <f>SUM('Pedagogen Park:Olskroken'!M18)</f>
        <v>0</v>
      </c>
    </row>
    <row r="4" spans="1:13" s="16" customFormat="1" ht="13.5" x14ac:dyDescent="0.25">
      <c r="A4" s="17" t="s">
        <v>21</v>
      </c>
      <c r="B4" s="31">
        <f>SUM('Pedagogen Park:Olskroken'!B39)</f>
        <v>2115</v>
      </c>
      <c r="C4" s="31">
        <f>SUM('Pedagogen Park:Olskroken'!C39)</f>
        <v>2475</v>
      </c>
      <c r="D4" s="31">
        <f>SUM('Pedagogen Park:Olskroken'!D39)</f>
        <v>2820</v>
      </c>
      <c r="E4" s="31">
        <f>SUM('Pedagogen Park:Olskroken'!E39)</f>
        <v>2590</v>
      </c>
      <c r="F4" s="31">
        <f>SUM('Pedagogen Park:Olskroken'!F39)</f>
        <v>2815</v>
      </c>
      <c r="G4" s="31">
        <f>SUM('Pedagogen Park:Olskroken'!G39)</f>
        <v>2535</v>
      </c>
      <c r="H4" s="31">
        <f>SUM('Pedagogen Park:Olskroken'!H39)</f>
        <v>1220</v>
      </c>
      <c r="I4" s="31">
        <f>SUM('Pedagogen Park:Olskroken'!I39)</f>
        <v>2245</v>
      </c>
      <c r="J4" s="31">
        <f>SUM('Pedagogen Park:Olskroken'!J39)</f>
        <v>2845</v>
      </c>
      <c r="K4" s="31">
        <f>SUM('Pedagogen Park:Olskroken'!K39)</f>
        <v>2943</v>
      </c>
      <c r="L4" s="31">
        <f>SUM('Pedagogen Park:Olskroken'!L39)</f>
        <v>2848</v>
      </c>
      <c r="M4" s="32">
        <f>SUM('Pedagogen Park:Olskroken'!M39)</f>
        <v>2375</v>
      </c>
    </row>
    <row r="5" spans="1:13" s="16" customFormat="1" ht="13.5" x14ac:dyDescent="0.25">
      <c r="A5" s="25" t="s">
        <v>22</v>
      </c>
      <c r="B5" s="26">
        <f>B3-B4</f>
        <v>-157</v>
      </c>
      <c r="C5" s="26">
        <f t="shared" ref="C5:M5" si="0">C3-C4</f>
        <v>-401</v>
      </c>
      <c r="D5" s="26">
        <f t="shared" si="0"/>
        <v>-304</v>
      </c>
      <c r="E5" s="26">
        <f t="shared" si="0"/>
        <v>-2590</v>
      </c>
      <c r="F5" s="26">
        <f t="shared" si="0"/>
        <v>-2815</v>
      </c>
      <c r="G5" s="26">
        <f t="shared" si="0"/>
        <v>-2535</v>
      </c>
      <c r="H5" s="26">
        <f t="shared" si="0"/>
        <v>-1220</v>
      </c>
      <c r="I5" s="27">
        <f t="shared" si="0"/>
        <v>-2245</v>
      </c>
      <c r="J5" s="27">
        <f t="shared" si="0"/>
        <v>-2845</v>
      </c>
      <c r="K5" s="26">
        <f t="shared" si="0"/>
        <v>-2943</v>
      </c>
      <c r="L5" s="26">
        <f t="shared" si="0"/>
        <v>-2848</v>
      </c>
      <c r="M5" s="28">
        <f t="shared" si="0"/>
        <v>-2375</v>
      </c>
    </row>
    <row r="6" spans="1:13" s="16" customFormat="1" ht="14.25" thickBot="1" x14ac:dyDescent="0.3">
      <c r="A6" s="18" t="s">
        <v>23</v>
      </c>
      <c r="B6" s="19">
        <f t="shared" ref="B6:C6" si="1">SUM(B5/B4)</f>
        <v>-7.4231678486997632E-2</v>
      </c>
      <c r="C6" s="29">
        <f t="shared" si="1"/>
        <v>-0.16202020202020201</v>
      </c>
      <c r="D6" s="19">
        <f t="shared" ref="D6:M6" si="2">SUM(D5/D4)</f>
        <v>-0.10780141843971631</v>
      </c>
      <c r="E6" s="19">
        <f t="shared" si="2"/>
        <v>-1</v>
      </c>
      <c r="F6" s="19">
        <f t="shared" si="2"/>
        <v>-1</v>
      </c>
      <c r="G6" s="19">
        <f t="shared" si="2"/>
        <v>-1</v>
      </c>
      <c r="H6" s="29">
        <f t="shared" si="2"/>
        <v>-1</v>
      </c>
      <c r="I6" s="29">
        <f t="shared" si="2"/>
        <v>-1</v>
      </c>
      <c r="J6" s="29">
        <f t="shared" si="2"/>
        <v>-1</v>
      </c>
      <c r="K6" s="29">
        <f t="shared" si="2"/>
        <v>-1</v>
      </c>
      <c r="L6" s="19">
        <f t="shared" si="2"/>
        <v>-1</v>
      </c>
      <c r="M6" s="30">
        <f t="shared" si="2"/>
        <v>-1</v>
      </c>
    </row>
    <row r="7" spans="1:13" s="16" customFormat="1" ht="13.5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s="16" customFormat="1" ht="14.25" thickBot="1" x14ac:dyDescent="0.3">
      <c r="A8" s="21" t="s">
        <v>24</v>
      </c>
      <c r="B8" s="22"/>
      <c r="C8" s="22"/>
      <c r="D8" s="22"/>
      <c r="E8" s="22"/>
      <c r="F8" s="22"/>
      <c r="G8" s="22"/>
      <c r="H8" s="23"/>
      <c r="I8" s="23"/>
      <c r="J8" s="23"/>
      <c r="K8" s="23"/>
      <c r="L8" s="19"/>
      <c r="M8" s="22"/>
    </row>
    <row r="9" spans="1:13" s="16" customFormat="1" ht="13.5" x14ac:dyDescent="0.25">
      <c r="A9" s="14" t="s">
        <v>27</v>
      </c>
      <c r="B9" s="15" t="s">
        <v>4</v>
      </c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H9" s="15" t="s">
        <v>10</v>
      </c>
      <c r="I9" s="15" t="s">
        <v>11</v>
      </c>
      <c r="J9" s="15" t="s">
        <v>12</v>
      </c>
      <c r="K9" s="15" t="s">
        <v>13</v>
      </c>
      <c r="L9" s="15" t="s">
        <v>14</v>
      </c>
      <c r="M9" s="24" t="s">
        <v>15</v>
      </c>
    </row>
    <row r="10" spans="1:13" s="16" customFormat="1" ht="13.5" x14ac:dyDescent="0.25">
      <c r="A10" s="17" t="s">
        <v>20</v>
      </c>
      <c r="B10" s="31">
        <f>'Frölunda Torg'!B18</f>
        <v>783</v>
      </c>
      <c r="C10" s="31">
        <f>'Frölunda Torg'!C18</f>
        <v>900</v>
      </c>
      <c r="D10" s="31">
        <f>'Frölunda Torg'!D18</f>
        <v>875</v>
      </c>
      <c r="E10" s="31">
        <f>'Frölunda Torg'!E18</f>
        <v>0</v>
      </c>
      <c r="F10" s="31">
        <f>'Frölunda Torg'!F18</f>
        <v>0</v>
      </c>
      <c r="G10" s="31">
        <f>'Frölunda Torg'!G18</f>
        <v>0</v>
      </c>
      <c r="H10" s="31">
        <f>'Frölunda Torg'!H18</f>
        <v>0</v>
      </c>
      <c r="I10" s="31">
        <f>'Frölunda Torg'!I18</f>
        <v>0</v>
      </c>
      <c r="J10" s="31">
        <f>'Frölunda Torg'!J18</f>
        <v>0</v>
      </c>
      <c r="K10" s="31">
        <f>'Frölunda Torg'!K18</f>
        <v>0</v>
      </c>
      <c r="L10" s="31">
        <f>'Frölunda Torg'!L18</f>
        <v>0</v>
      </c>
      <c r="M10" s="31">
        <f>'Frölunda Torg'!M18</f>
        <v>0</v>
      </c>
    </row>
    <row r="11" spans="1:13" s="16" customFormat="1" ht="13.5" x14ac:dyDescent="0.25">
      <c r="A11" s="17" t="s">
        <v>21</v>
      </c>
      <c r="B11" s="31">
        <f>'Frölunda Torg'!B39</f>
        <v>1120</v>
      </c>
      <c r="C11" s="31">
        <f>'Frölunda Torg'!C39</f>
        <v>1076</v>
      </c>
      <c r="D11" s="31">
        <f>'Frölunda Torg'!D39</f>
        <v>1106</v>
      </c>
      <c r="E11" s="31">
        <f>'Frölunda Torg'!E39</f>
        <v>1066</v>
      </c>
      <c r="F11" s="31">
        <f>'Frölunda Torg'!F39</f>
        <v>1076</v>
      </c>
      <c r="G11" s="31">
        <f>'Frölunda Torg'!G39</f>
        <v>1010</v>
      </c>
      <c r="H11" s="31">
        <f>'Frölunda Torg'!H39</f>
        <v>456</v>
      </c>
      <c r="I11" s="31">
        <f>'Frölunda Torg'!I39</f>
        <v>720</v>
      </c>
      <c r="J11" s="31">
        <f>'Frölunda Torg'!J39</f>
        <v>1176</v>
      </c>
      <c r="K11" s="31">
        <f>'Frölunda Torg'!K39</f>
        <v>1186</v>
      </c>
      <c r="L11" s="31">
        <f>'Frölunda Torg'!L39</f>
        <v>1186</v>
      </c>
      <c r="M11" s="31">
        <f>'Frölunda Torg'!M39</f>
        <v>1040</v>
      </c>
    </row>
    <row r="12" spans="1:13" s="16" customFormat="1" ht="13.5" x14ac:dyDescent="0.25">
      <c r="A12" s="25" t="s">
        <v>22</v>
      </c>
      <c r="B12" s="26">
        <f>B10-B11</f>
        <v>-337</v>
      </c>
      <c r="C12" s="26">
        <f t="shared" ref="C12:M12" si="3">C10-C11</f>
        <v>-176</v>
      </c>
      <c r="D12" s="26">
        <f t="shared" si="3"/>
        <v>-231</v>
      </c>
      <c r="E12" s="26">
        <f t="shared" si="3"/>
        <v>-1066</v>
      </c>
      <c r="F12" s="26">
        <f t="shared" si="3"/>
        <v>-1076</v>
      </c>
      <c r="G12" s="26">
        <f t="shared" si="3"/>
        <v>-1010</v>
      </c>
      <c r="H12" s="26">
        <f t="shared" si="3"/>
        <v>-456</v>
      </c>
      <c r="I12" s="27">
        <f t="shared" si="3"/>
        <v>-720</v>
      </c>
      <c r="J12" s="27">
        <f t="shared" si="3"/>
        <v>-1176</v>
      </c>
      <c r="K12" s="26">
        <f t="shared" si="3"/>
        <v>-1186</v>
      </c>
      <c r="L12" s="26">
        <f t="shared" si="3"/>
        <v>-1186</v>
      </c>
      <c r="M12" s="28">
        <f t="shared" si="3"/>
        <v>-1040</v>
      </c>
    </row>
    <row r="13" spans="1:13" s="16" customFormat="1" ht="14.25" thickBot="1" x14ac:dyDescent="0.3">
      <c r="A13" s="18" t="s">
        <v>23</v>
      </c>
      <c r="B13" s="19">
        <f t="shared" ref="B13:M13" si="4">SUM(B12/B11)</f>
        <v>-0.30089285714285713</v>
      </c>
      <c r="C13" s="19">
        <f t="shared" si="4"/>
        <v>-0.16356877323420074</v>
      </c>
      <c r="D13" s="19">
        <f t="shared" si="4"/>
        <v>-0.20886075949367089</v>
      </c>
      <c r="E13" s="19">
        <f t="shared" si="4"/>
        <v>-1</v>
      </c>
      <c r="F13" s="19">
        <f t="shared" si="4"/>
        <v>-1</v>
      </c>
      <c r="G13" s="19">
        <f t="shared" si="4"/>
        <v>-1</v>
      </c>
      <c r="H13" s="29">
        <f t="shared" si="4"/>
        <v>-1</v>
      </c>
      <c r="I13" s="29">
        <f t="shared" si="4"/>
        <v>-1</v>
      </c>
      <c r="J13" s="29">
        <f t="shared" si="4"/>
        <v>-1</v>
      </c>
      <c r="K13" s="29">
        <f t="shared" si="4"/>
        <v>-1</v>
      </c>
      <c r="L13" s="19">
        <f t="shared" si="4"/>
        <v>-1</v>
      </c>
      <c r="M13" s="30">
        <f t="shared" si="4"/>
        <v>-1</v>
      </c>
    </row>
    <row r="14" spans="1:13" s="16" customFormat="1" ht="14.25" thickBot="1" x14ac:dyDescent="0.3">
      <c r="B14" s="22"/>
      <c r="C14" s="22"/>
      <c r="D14" s="22"/>
      <c r="E14" s="22"/>
      <c r="F14" s="22"/>
      <c r="G14" s="22"/>
      <c r="H14" s="23"/>
      <c r="I14" s="23"/>
      <c r="J14" s="23"/>
      <c r="K14" s="23"/>
      <c r="L14" s="22"/>
      <c r="M14" s="22"/>
    </row>
    <row r="15" spans="1:13" s="16" customFormat="1" ht="13.5" x14ac:dyDescent="0.25">
      <c r="A15" s="14" t="s">
        <v>28</v>
      </c>
      <c r="B15" s="15" t="s">
        <v>4</v>
      </c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H15" s="15" t="s">
        <v>10</v>
      </c>
      <c r="I15" s="15" t="s">
        <v>11</v>
      </c>
      <c r="J15" s="15" t="s">
        <v>12</v>
      </c>
      <c r="K15" s="15" t="s">
        <v>13</v>
      </c>
      <c r="L15" s="15" t="s">
        <v>14</v>
      </c>
      <c r="M15" s="24" t="s">
        <v>15</v>
      </c>
    </row>
    <row r="16" spans="1:13" s="16" customFormat="1" ht="13.5" x14ac:dyDescent="0.25">
      <c r="A16" s="17" t="s">
        <v>20</v>
      </c>
      <c r="B16" s="31">
        <f>SUM(Grimmered!B18)</f>
        <v>754</v>
      </c>
      <c r="C16" s="31">
        <f>SUM(Grimmered!C18)</f>
        <v>884</v>
      </c>
      <c r="D16" s="31">
        <f>SUM(Grimmered!D18)</f>
        <v>1064</v>
      </c>
      <c r="E16" s="31">
        <f>SUM(Grimmered!E18)</f>
        <v>0</v>
      </c>
      <c r="F16" s="31">
        <f>SUM(Grimmered!F18)</f>
        <v>0</v>
      </c>
      <c r="G16" s="31">
        <f>SUM(Grimmered!G18)</f>
        <v>0</v>
      </c>
      <c r="H16" s="31">
        <f>SUM(Grimmered!H18)</f>
        <v>0</v>
      </c>
      <c r="I16" s="31">
        <f>SUM(Grimmered!I18)</f>
        <v>0</v>
      </c>
      <c r="J16" s="31">
        <f>SUM(Grimmered!J18)</f>
        <v>0</v>
      </c>
      <c r="K16" s="31">
        <f>SUM(Grimmered!K18)</f>
        <v>0</v>
      </c>
      <c r="L16" s="31">
        <f>SUM(Grimmered!L18)</f>
        <v>0</v>
      </c>
      <c r="M16" s="32">
        <f>SUM(Grimmered!M18)</f>
        <v>0</v>
      </c>
    </row>
    <row r="17" spans="1:13" s="16" customFormat="1" ht="13.5" x14ac:dyDescent="0.25">
      <c r="A17" s="17" t="s">
        <v>21</v>
      </c>
      <c r="B17" s="31">
        <f>SUM(Grimmered!B39)</f>
        <v>1005</v>
      </c>
      <c r="C17" s="31">
        <f>SUM(Grimmered!C39)</f>
        <v>1045</v>
      </c>
      <c r="D17" s="31">
        <f>SUM(Grimmered!D39)</f>
        <v>1045</v>
      </c>
      <c r="E17" s="31">
        <f>SUM(Grimmered!E39)</f>
        <v>1020</v>
      </c>
      <c r="F17" s="31">
        <f>SUM(Grimmered!F39)</f>
        <v>1025</v>
      </c>
      <c r="G17" s="31">
        <f>SUM(Grimmered!G39)</f>
        <v>1045</v>
      </c>
      <c r="H17" s="31">
        <f>SUM(Grimmered!H39)</f>
        <v>500</v>
      </c>
      <c r="I17" s="31">
        <f>SUM(Grimmered!I39)</f>
        <v>530</v>
      </c>
      <c r="J17" s="31">
        <f>SUM(Grimmered!J39)</f>
        <v>1040</v>
      </c>
      <c r="K17" s="31">
        <f>SUM(Grimmered!K39)</f>
        <v>1040</v>
      </c>
      <c r="L17" s="31">
        <f>SUM(Grimmered!L39)</f>
        <v>1040</v>
      </c>
      <c r="M17" s="32">
        <f>SUM(Grimmered!M39)</f>
        <v>960</v>
      </c>
    </row>
    <row r="18" spans="1:13" s="16" customFormat="1" ht="13.5" x14ac:dyDescent="0.25">
      <c r="A18" s="25" t="s">
        <v>22</v>
      </c>
      <c r="B18" s="26">
        <f>B16-B17</f>
        <v>-251</v>
      </c>
      <c r="C18" s="26">
        <f t="shared" ref="C18:M18" si="5">C16-C17</f>
        <v>-161</v>
      </c>
      <c r="D18" s="26">
        <f t="shared" si="5"/>
        <v>19</v>
      </c>
      <c r="E18" s="26">
        <f t="shared" si="5"/>
        <v>-1020</v>
      </c>
      <c r="F18" s="26">
        <f t="shared" si="5"/>
        <v>-1025</v>
      </c>
      <c r="G18" s="26">
        <f t="shared" si="5"/>
        <v>-1045</v>
      </c>
      <c r="H18" s="26">
        <f t="shared" si="5"/>
        <v>-500</v>
      </c>
      <c r="I18" s="27">
        <f t="shared" si="5"/>
        <v>-530</v>
      </c>
      <c r="J18" s="27">
        <f t="shared" si="5"/>
        <v>-1040</v>
      </c>
      <c r="K18" s="26">
        <f t="shared" si="5"/>
        <v>-1040</v>
      </c>
      <c r="L18" s="26">
        <f t="shared" si="5"/>
        <v>-1040</v>
      </c>
      <c r="M18" s="28">
        <f t="shared" si="5"/>
        <v>-960</v>
      </c>
    </row>
    <row r="19" spans="1:13" s="16" customFormat="1" ht="14.25" thickBot="1" x14ac:dyDescent="0.3">
      <c r="A19" s="18" t="s">
        <v>23</v>
      </c>
      <c r="B19" s="19">
        <f t="shared" ref="B19:M19" si="6">SUM(B18/B17)</f>
        <v>-0.24975124378109453</v>
      </c>
      <c r="C19" s="19">
        <f t="shared" si="6"/>
        <v>-0.15406698564593302</v>
      </c>
      <c r="D19" s="19">
        <f t="shared" si="6"/>
        <v>1.8181818181818181E-2</v>
      </c>
      <c r="E19" s="19">
        <f t="shared" si="6"/>
        <v>-1</v>
      </c>
      <c r="F19" s="19">
        <f t="shared" si="6"/>
        <v>-1</v>
      </c>
      <c r="G19" s="19">
        <f t="shared" si="6"/>
        <v>-1</v>
      </c>
      <c r="H19" s="29">
        <f t="shared" si="6"/>
        <v>-1</v>
      </c>
      <c r="I19" s="29">
        <f t="shared" si="6"/>
        <v>-1</v>
      </c>
      <c r="J19" s="29">
        <f t="shared" si="6"/>
        <v>-1</v>
      </c>
      <c r="K19" s="29">
        <f t="shared" si="6"/>
        <v>-1</v>
      </c>
      <c r="L19" s="19">
        <f t="shared" si="6"/>
        <v>-1</v>
      </c>
      <c r="M19" s="30">
        <f t="shared" si="6"/>
        <v>-1</v>
      </c>
    </row>
    <row r="20" spans="1:13" s="16" customFormat="1" ht="14.25" thickBot="1" x14ac:dyDescent="0.3">
      <c r="B20" s="22"/>
      <c r="C20" s="22"/>
      <c r="D20" s="22"/>
      <c r="E20" s="22"/>
      <c r="F20" s="22"/>
      <c r="G20" s="22"/>
      <c r="H20" s="23"/>
      <c r="I20" s="23"/>
      <c r="J20" s="23"/>
      <c r="K20" s="23"/>
      <c r="L20" s="22"/>
      <c r="M20" s="22"/>
    </row>
    <row r="21" spans="1:13" s="16" customFormat="1" ht="13.5" x14ac:dyDescent="0.25">
      <c r="A21" s="14" t="s">
        <v>29</v>
      </c>
      <c r="B21" s="15" t="s">
        <v>4</v>
      </c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H21" s="15" t="s">
        <v>10</v>
      </c>
      <c r="I21" s="15" t="s">
        <v>11</v>
      </c>
      <c r="J21" s="15" t="s">
        <v>12</v>
      </c>
      <c r="K21" s="15" t="s">
        <v>13</v>
      </c>
      <c r="L21" s="15" t="s">
        <v>14</v>
      </c>
      <c r="M21" s="24" t="s">
        <v>15</v>
      </c>
    </row>
    <row r="22" spans="1:13" s="16" customFormat="1" ht="13.5" x14ac:dyDescent="0.25">
      <c r="A22" s="17" t="s">
        <v>20</v>
      </c>
      <c r="B22" s="31">
        <f>SUM(Majorna!B18)</f>
        <v>894</v>
      </c>
      <c r="C22" s="31">
        <f>SUM(Majorna!C18)</f>
        <v>962</v>
      </c>
      <c r="D22" s="31">
        <f>SUM(Majorna!D18)</f>
        <v>1003</v>
      </c>
      <c r="E22" s="31">
        <f>SUM(Majorna!E18)</f>
        <v>0</v>
      </c>
      <c r="F22" s="31">
        <f>SUM(Majorna!F18)</f>
        <v>0</v>
      </c>
      <c r="G22" s="31">
        <f>SUM(Majorna!G18)</f>
        <v>0</v>
      </c>
      <c r="H22" s="31">
        <f>SUM(Majorna!H18)</f>
        <v>0</v>
      </c>
      <c r="I22" s="31">
        <f>SUM(Majorna!I18)</f>
        <v>0</v>
      </c>
      <c r="J22" s="31">
        <f>SUM(Majorna!J18)</f>
        <v>0</v>
      </c>
      <c r="K22" s="31">
        <f>SUM(Majorna!K18)</f>
        <v>0</v>
      </c>
      <c r="L22" s="31">
        <f>SUM(Majorna!L18)</f>
        <v>0</v>
      </c>
      <c r="M22" s="32">
        <f>SUM(Majorna!M18)</f>
        <v>0</v>
      </c>
    </row>
    <row r="23" spans="1:13" s="16" customFormat="1" ht="13.5" x14ac:dyDescent="0.25">
      <c r="A23" s="17" t="s">
        <v>21</v>
      </c>
      <c r="B23" s="31">
        <f>SUM(Majorna!B39)</f>
        <v>987</v>
      </c>
      <c r="C23" s="31">
        <f>SUM(Majorna!C39)</f>
        <v>1132</v>
      </c>
      <c r="D23" s="31">
        <f>SUM(Majorna!D39)</f>
        <v>1197</v>
      </c>
      <c r="E23" s="31">
        <f>SUM(Majorna!E39)</f>
        <v>1232</v>
      </c>
      <c r="F23" s="31">
        <f>SUM(Majorna!F39)</f>
        <v>1242</v>
      </c>
      <c r="G23" s="31">
        <f>SUM(Majorna!G39)</f>
        <v>1020</v>
      </c>
      <c r="H23" s="31">
        <f>SUM(Majorna!H39)</f>
        <v>560</v>
      </c>
      <c r="I23" s="31">
        <f>SUM(Majorna!I39)</f>
        <v>660</v>
      </c>
      <c r="J23" s="31">
        <f>SUM(Majorna!J39)</f>
        <v>1252</v>
      </c>
      <c r="K23" s="31">
        <f>SUM(Majorna!K39)</f>
        <v>1252</v>
      </c>
      <c r="L23" s="31">
        <f>SUM(Majorna!L39)</f>
        <v>1252</v>
      </c>
      <c r="M23" s="31">
        <f>SUM(Majorna!M39)</f>
        <v>1050</v>
      </c>
    </row>
    <row r="24" spans="1:13" s="16" customFormat="1" ht="13.5" x14ac:dyDescent="0.25">
      <c r="A24" s="25" t="s">
        <v>22</v>
      </c>
      <c r="B24" s="26">
        <f>B22-B23</f>
        <v>-93</v>
      </c>
      <c r="C24" s="26">
        <f t="shared" ref="C24:M24" si="7">C22-C23</f>
        <v>-170</v>
      </c>
      <c r="D24" s="26">
        <f t="shared" si="7"/>
        <v>-194</v>
      </c>
      <c r="E24" s="26">
        <f t="shared" si="7"/>
        <v>-1232</v>
      </c>
      <c r="F24" s="26">
        <f t="shared" si="7"/>
        <v>-1242</v>
      </c>
      <c r="G24" s="26">
        <f t="shared" si="7"/>
        <v>-1020</v>
      </c>
      <c r="H24" s="26">
        <f t="shared" si="7"/>
        <v>-560</v>
      </c>
      <c r="I24" s="27">
        <f t="shared" si="7"/>
        <v>-660</v>
      </c>
      <c r="J24" s="27">
        <f t="shared" si="7"/>
        <v>-1252</v>
      </c>
      <c r="K24" s="26">
        <f t="shared" si="7"/>
        <v>-1252</v>
      </c>
      <c r="L24" s="26">
        <f t="shared" si="7"/>
        <v>-1252</v>
      </c>
      <c r="M24" s="28">
        <f t="shared" si="7"/>
        <v>-1050</v>
      </c>
    </row>
    <row r="25" spans="1:13" s="16" customFormat="1" ht="14.25" thickBot="1" x14ac:dyDescent="0.3">
      <c r="A25" s="18" t="s">
        <v>23</v>
      </c>
      <c r="B25" s="19">
        <f t="shared" ref="B25:M25" si="8">SUM(B24/B23)</f>
        <v>-9.4224924012158054E-2</v>
      </c>
      <c r="C25" s="19">
        <f t="shared" si="8"/>
        <v>-0.15017667844522969</v>
      </c>
      <c r="D25" s="19">
        <f t="shared" si="8"/>
        <v>-0.16207184628237259</v>
      </c>
      <c r="E25" s="19">
        <f t="shared" si="8"/>
        <v>-1</v>
      </c>
      <c r="F25" s="19">
        <f t="shared" si="8"/>
        <v>-1</v>
      </c>
      <c r="G25" s="19">
        <f t="shared" si="8"/>
        <v>-1</v>
      </c>
      <c r="H25" s="29">
        <f t="shared" si="8"/>
        <v>-1</v>
      </c>
      <c r="I25" s="29">
        <f t="shared" si="8"/>
        <v>-1</v>
      </c>
      <c r="J25" s="29">
        <f t="shared" si="8"/>
        <v>-1</v>
      </c>
      <c r="K25" s="29">
        <f t="shared" si="8"/>
        <v>-1</v>
      </c>
      <c r="L25" s="19">
        <f t="shared" si="8"/>
        <v>-1</v>
      </c>
      <c r="M25" s="30">
        <f t="shared" si="8"/>
        <v>-1</v>
      </c>
    </row>
    <row r="26" spans="1:13" s="16" customFormat="1" ht="14.25" thickBot="1" x14ac:dyDescent="0.3">
      <c r="B26" s="22"/>
      <c r="C26" s="22"/>
      <c r="D26" s="22"/>
      <c r="E26" s="22"/>
      <c r="F26" s="22"/>
      <c r="G26" s="22"/>
      <c r="H26" s="23"/>
      <c r="I26" s="23"/>
      <c r="J26" s="23"/>
      <c r="K26" s="23"/>
      <c r="L26" s="22"/>
      <c r="M26" s="22"/>
    </row>
    <row r="27" spans="1:13" s="16" customFormat="1" ht="13.5" x14ac:dyDescent="0.25">
      <c r="A27" s="14" t="s">
        <v>30</v>
      </c>
      <c r="B27" s="15" t="s">
        <v>4</v>
      </c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H27" s="15" t="s">
        <v>10</v>
      </c>
      <c r="I27" s="15" t="s">
        <v>11</v>
      </c>
      <c r="J27" s="15" t="s">
        <v>12</v>
      </c>
      <c r="K27" s="15" t="s">
        <v>13</v>
      </c>
      <c r="L27" s="15" t="s">
        <v>14</v>
      </c>
      <c r="M27" s="24" t="s">
        <v>15</v>
      </c>
    </row>
    <row r="28" spans="1:13" s="16" customFormat="1" ht="13.5" x14ac:dyDescent="0.25">
      <c r="A28" s="17" t="s">
        <v>20</v>
      </c>
      <c r="B28" s="31">
        <f>'Pedagogen Park'!B18</f>
        <v>478</v>
      </c>
      <c r="C28" s="31">
        <f>'Pedagogen Park'!C18</f>
        <v>532</v>
      </c>
      <c r="D28" s="31">
        <f>'Pedagogen Park'!D18</f>
        <v>785</v>
      </c>
      <c r="E28" s="31">
        <f>'Pedagogen Park'!E18</f>
        <v>0</v>
      </c>
      <c r="F28" s="31">
        <f>'Pedagogen Park'!F18</f>
        <v>0</v>
      </c>
      <c r="G28" s="31">
        <f>'Pedagogen Park'!G18</f>
        <v>0</v>
      </c>
      <c r="H28" s="31">
        <f>'Pedagogen Park'!H18</f>
        <v>0</v>
      </c>
      <c r="I28" s="31">
        <f>'Pedagogen Park'!I18</f>
        <v>0</v>
      </c>
      <c r="J28" s="31">
        <f>'Pedagogen Park'!J18</f>
        <v>0</v>
      </c>
      <c r="K28" s="31">
        <f>'Pedagogen Park'!K18</f>
        <v>0</v>
      </c>
      <c r="L28" s="31">
        <f>'Pedagogen Park'!L18</f>
        <v>0</v>
      </c>
      <c r="M28" s="31">
        <f>'Pedagogen Park'!M18</f>
        <v>0</v>
      </c>
    </row>
    <row r="29" spans="1:13" s="16" customFormat="1" ht="13.5" x14ac:dyDescent="0.25">
      <c r="A29" s="17" t="s">
        <v>21</v>
      </c>
      <c r="B29" s="31">
        <f>'Pedagogen Park'!B39</f>
        <v>600</v>
      </c>
      <c r="C29" s="31">
        <f>'Pedagogen Park'!C39</f>
        <v>660</v>
      </c>
      <c r="D29" s="31">
        <f>'Pedagogen Park'!D39</f>
        <v>730</v>
      </c>
      <c r="E29" s="31">
        <f>'Pedagogen Park'!E39</f>
        <v>735</v>
      </c>
      <c r="F29" s="31">
        <f>'Pedagogen Park'!F39</f>
        <v>760</v>
      </c>
      <c r="G29" s="31">
        <f>'Pedagogen Park'!G39</f>
        <v>800</v>
      </c>
      <c r="H29" s="31">
        <f>'Pedagogen Park'!H39</f>
        <v>600</v>
      </c>
      <c r="I29" s="31">
        <f>'Pedagogen Park'!I39</f>
        <v>660</v>
      </c>
      <c r="J29" s="31">
        <f>'Pedagogen Park'!J39</f>
        <v>760</v>
      </c>
      <c r="K29" s="31">
        <f>'Pedagogen Park'!K39</f>
        <v>800</v>
      </c>
      <c r="L29" s="31">
        <f>'Pedagogen Park'!L39</f>
        <v>800</v>
      </c>
      <c r="M29" s="31">
        <f>'Pedagogen Park'!M39</f>
        <v>675</v>
      </c>
    </row>
    <row r="30" spans="1:13" s="16" customFormat="1" ht="13.5" x14ac:dyDescent="0.25">
      <c r="A30" s="25" t="s">
        <v>22</v>
      </c>
      <c r="B30" s="26">
        <f>B28-B29</f>
        <v>-122</v>
      </c>
      <c r="C30" s="26">
        <f t="shared" ref="C30:M30" si="9">C28-C29</f>
        <v>-128</v>
      </c>
      <c r="D30" s="26">
        <f t="shared" si="9"/>
        <v>55</v>
      </c>
      <c r="E30" s="26">
        <f t="shared" si="9"/>
        <v>-735</v>
      </c>
      <c r="F30" s="26">
        <f t="shared" si="9"/>
        <v>-760</v>
      </c>
      <c r="G30" s="26">
        <f t="shared" si="9"/>
        <v>-800</v>
      </c>
      <c r="H30" s="26">
        <f t="shared" si="9"/>
        <v>-600</v>
      </c>
      <c r="I30" s="27">
        <f t="shared" si="9"/>
        <v>-660</v>
      </c>
      <c r="J30" s="27">
        <f t="shared" si="9"/>
        <v>-760</v>
      </c>
      <c r="K30" s="26">
        <f t="shared" si="9"/>
        <v>-800</v>
      </c>
      <c r="L30" s="26">
        <f t="shared" si="9"/>
        <v>-800</v>
      </c>
      <c r="M30" s="28">
        <f t="shared" si="9"/>
        <v>-675</v>
      </c>
    </row>
    <row r="31" spans="1:13" s="16" customFormat="1" ht="14.25" thickBot="1" x14ac:dyDescent="0.3">
      <c r="A31" s="18" t="s">
        <v>23</v>
      </c>
      <c r="B31" s="19">
        <f t="shared" ref="B31:M31" si="10">SUM(B30/B29)</f>
        <v>-0.20333333333333334</v>
      </c>
      <c r="C31" s="19">
        <f t="shared" si="10"/>
        <v>-0.19393939393939394</v>
      </c>
      <c r="D31" s="19">
        <f t="shared" si="10"/>
        <v>7.5342465753424653E-2</v>
      </c>
      <c r="E31" s="19">
        <f t="shared" si="10"/>
        <v>-1</v>
      </c>
      <c r="F31" s="19">
        <f t="shared" si="10"/>
        <v>-1</v>
      </c>
      <c r="G31" s="19">
        <f t="shared" si="10"/>
        <v>-1</v>
      </c>
      <c r="H31" s="29">
        <f t="shared" si="10"/>
        <v>-1</v>
      </c>
      <c r="I31" s="29">
        <f t="shared" si="10"/>
        <v>-1</v>
      </c>
      <c r="J31" s="29">
        <f t="shared" si="10"/>
        <v>-1</v>
      </c>
      <c r="K31" s="29">
        <f t="shared" si="10"/>
        <v>-1</v>
      </c>
      <c r="L31" s="19">
        <f t="shared" si="10"/>
        <v>-1</v>
      </c>
      <c r="M31" s="30">
        <f t="shared" si="10"/>
        <v>-1</v>
      </c>
    </row>
    <row r="32" spans="1:13" s="16" customFormat="1" ht="14.25" thickBot="1" x14ac:dyDescent="0.3"/>
    <row r="33" spans="1:13" s="16" customFormat="1" ht="13.5" x14ac:dyDescent="0.25">
      <c r="A33" s="14" t="s">
        <v>31</v>
      </c>
      <c r="B33" s="15" t="s">
        <v>4</v>
      </c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H33" s="15" t="s">
        <v>10</v>
      </c>
      <c r="I33" s="15" t="s">
        <v>11</v>
      </c>
      <c r="J33" s="15" t="s">
        <v>12</v>
      </c>
      <c r="K33" s="15" t="s">
        <v>13</v>
      </c>
      <c r="L33" s="15" t="s">
        <v>14</v>
      </c>
      <c r="M33" s="24" t="s">
        <v>15</v>
      </c>
    </row>
    <row r="34" spans="1:13" s="16" customFormat="1" ht="13.5" x14ac:dyDescent="0.25">
      <c r="A34" s="17" t="s">
        <v>20</v>
      </c>
      <c r="B34" s="31">
        <f>SUM(Åby!B18)</f>
        <v>926</v>
      </c>
      <c r="C34" s="31">
        <f>SUM(Åby!C18)</f>
        <v>1054</v>
      </c>
      <c r="D34" s="31">
        <f>SUM(Åby!D18)</f>
        <v>1103</v>
      </c>
      <c r="E34" s="31">
        <f>SUM(Åby!E18)</f>
        <v>0</v>
      </c>
      <c r="F34" s="31">
        <f>SUM(Åby!F18)</f>
        <v>0</v>
      </c>
      <c r="G34" s="31">
        <f>SUM(Åby!G18)</f>
        <v>0</v>
      </c>
      <c r="H34" s="31">
        <f>SUM(Åby!H18)</f>
        <v>0</v>
      </c>
      <c r="I34" s="31">
        <f>SUM(Åby!I18)</f>
        <v>0</v>
      </c>
      <c r="J34" s="31">
        <f>SUM(Åby!J18)</f>
        <v>0</v>
      </c>
      <c r="K34" s="31">
        <f>SUM(Åby!K18)</f>
        <v>0</v>
      </c>
      <c r="L34" s="31">
        <f>SUM(Åby!L18)</f>
        <v>0</v>
      </c>
      <c r="M34" s="32">
        <f>SUM(Åby!M18)</f>
        <v>0</v>
      </c>
    </row>
    <row r="35" spans="1:13" s="16" customFormat="1" ht="13.5" x14ac:dyDescent="0.25">
      <c r="A35" s="17" t="s">
        <v>21</v>
      </c>
      <c r="B35" s="31">
        <f>SUM(Åby!B39)</f>
        <v>890</v>
      </c>
      <c r="C35" s="31">
        <f>SUM(Åby!C39)</f>
        <v>1105</v>
      </c>
      <c r="D35" s="31">
        <f>SUM(Åby!D39)</f>
        <v>1295</v>
      </c>
      <c r="E35" s="31">
        <f>SUM(Åby!E39)</f>
        <v>1050</v>
      </c>
      <c r="F35" s="31">
        <f>SUM(Åby!F39)</f>
        <v>1180</v>
      </c>
      <c r="G35" s="31">
        <f>SUM(Åby!G39)</f>
        <v>890</v>
      </c>
      <c r="H35" s="31">
        <f>SUM(Åby!H39)</f>
        <v>240</v>
      </c>
      <c r="I35" s="31">
        <f>SUM(Åby!I39)</f>
        <v>1040</v>
      </c>
      <c r="J35" s="31">
        <f>SUM(Åby!J39)</f>
        <v>1285</v>
      </c>
      <c r="K35" s="31">
        <f>SUM(Åby!K39)</f>
        <v>1283</v>
      </c>
      <c r="L35" s="31">
        <f>SUM(Åby!L39)</f>
        <v>1188</v>
      </c>
      <c r="M35" s="32">
        <f>SUM(Åby!M39)</f>
        <v>1040</v>
      </c>
    </row>
    <row r="36" spans="1:13" s="16" customFormat="1" ht="13.5" x14ac:dyDescent="0.25">
      <c r="A36" s="25" t="s">
        <v>22</v>
      </c>
      <c r="B36" s="26">
        <f>B34-B35</f>
        <v>36</v>
      </c>
      <c r="C36" s="26">
        <f t="shared" ref="C36:M36" si="11">C34-C35</f>
        <v>-51</v>
      </c>
      <c r="D36" s="26">
        <f t="shared" si="11"/>
        <v>-192</v>
      </c>
      <c r="E36" s="26">
        <f t="shared" si="11"/>
        <v>-1050</v>
      </c>
      <c r="F36" s="26">
        <f t="shared" si="11"/>
        <v>-1180</v>
      </c>
      <c r="G36" s="26">
        <f t="shared" si="11"/>
        <v>-890</v>
      </c>
      <c r="H36" s="26">
        <f t="shared" si="11"/>
        <v>-240</v>
      </c>
      <c r="I36" s="27">
        <f t="shared" si="11"/>
        <v>-1040</v>
      </c>
      <c r="J36" s="27">
        <f t="shared" si="11"/>
        <v>-1285</v>
      </c>
      <c r="K36" s="26">
        <f t="shared" si="11"/>
        <v>-1283</v>
      </c>
      <c r="L36" s="26">
        <f t="shared" si="11"/>
        <v>-1188</v>
      </c>
      <c r="M36" s="28">
        <f t="shared" si="11"/>
        <v>-1040</v>
      </c>
    </row>
    <row r="37" spans="1:13" s="16" customFormat="1" ht="14.25" thickBot="1" x14ac:dyDescent="0.3">
      <c r="A37" s="18" t="s">
        <v>23</v>
      </c>
      <c r="B37" s="19">
        <f t="shared" ref="B37:M37" si="12">SUM(B36/B35)</f>
        <v>4.0449438202247189E-2</v>
      </c>
      <c r="C37" s="19">
        <f t="shared" si="12"/>
        <v>-4.6153846153846156E-2</v>
      </c>
      <c r="D37" s="19">
        <f t="shared" si="12"/>
        <v>-0.14826254826254825</v>
      </c>
      <c r="E37" s="19">
        <f t="shared" si="12"/>
        <v>-1</v>
      </c>
      <c r="F37" s="19">
        <f t="shared" si="12"/>
        <v>-1</v>
      </c>
      <c r="G37" s="19">
        <f t="shared" si="12"/>
        <v>-1</v>
      </c>
      <c r="H37" s="29">
        <f t="shared" si="12"/>
        <v>-1</v>
      </c>
      <c r="I37" s="29">
        <f t="shared" si="12"/>
        <v>-1</v>
      </c>
      <c r="J37" s="29">
        <f t="shared" si="12"/>
        <v>-1</v>
      </c>
      <c r="K37" s="29">
        <f t="shared" si="12"/>
        <v>-1</v>
      </c>
      <c r="L37" s="19">
        <f t="shared" si="12"/>
        <v>-1</v>
      </c>
      <c r="M37" s="30">
        <f t="shared" si="12"/>
        <v>-1</v>
      </c>
    </row>
    <row r="38" spans="1:13" s="16" customFormat="1" ht="14.25" thickBot="1" x14ac:dyDescent="0.3"/>
    <row r="39" spans="1:13" s="16" customFormat="1" ht="13.5" x14ac:dyDescent="0.25">
      <c r="A39" s="14" t="s">
        <v>32</v>
      </c>
      <c r="B39" s="15" t="s">
        <v>4</v>
      </c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H39" s="15" t="s">
        <v>10</v>
      </c>
      <c r="I39" s="15" t="s">
        <v>11</v>
      </c>
      <c r="J39" s="15" t="s">
        <v>12</v>
      </c>
      <c r="K39" s="15" t="s">
        <v>13</v>
      </c>
      <c r="L39" s="15" t="s">
        <v>14</v>
      </c>
      <c r="M39" s="24" t="s">
        <v>15</v>
      </c>
    </row>
    <row r="40" spans="1:13" s="16" customFormat="1" ht="13.5" x14ac:dyDescent="0.25">
      <c r="A40" s="17" t="s">
        <v>20</v>
      </c>
      <c r="B40" s="31">
        <f>SUM(Olskroken!B18)</f>
        <v>554</v>
      </c>
      <c r="C40" s="31">
        <f>SUM(Olskroken!C18)</f>
        <v>488</v>
      </c>
      <c r="D40" s="31">
        <f>SUM(Olskroken!D18)</f>
        <v>628</v>
      </c>
      <c r="E40" s="31">
        <f>SUM(Olskroken!E18)</f>
        <v>0</v>
      </c>
      <c r="F40" s="31">
        <f>SUM(Olskroken!F18)</f>
        <v>0</v>
      </c>
      <c r="G40" s="31">
        <f>SUM(Olskroken!G18)</f>
        <v>0</v>
      </c>
      <c r="H40" s="31">
        <f>SUM(Olskroken!H18)</f>
        <v>0</v>
      </c>
      <c r="I40" s="31">
        <f>SUM(Olskroken!I18)</f>
        <v>0</v>
      </c>
      <c r="J40" s="31">
        <f>SUM(Olskroken!J18)</f>
        <v>0</v>
      </c>
      <c r="K40" s="31">
        <f>SUM(Olskroken!K18)</f>
        <v>0</v>
      </c>
      <c r="L40" s="31">
        <f>SUM(Olskroken!L18)</f>
        <v>0</v>
      </c>
      <c r="M40" s="32">
        <f>SUM(Olskroken!M18)</f>
        <v>0</v>
      </c>
    </row>
    <row r="41" spans="1:13" s="16" customFormat="1" ht="13.5" x14ac:dyDescent="0.25">
      <c r="A41" s="17" t="s">
        <v>21</v>
      </c>
      <c r="B41" s="31">
        <f>SUM(Olskroken!B39)</f>
        <v>625</v>
      </c>
      <c r="C41" s="31">
        <f>SUM(Olskroken!C39)</f>
        <v>710</v>
      </c>
      <c r="D41" s="31">
        <f>SUM(Olskroken!D39)</f>
        <v>795</v>
      </c>
      <c r="E41" s="31">
        <f>SUM(Olskroken!E39)</f>
        <v>805</v>
      </c>
      <c r="F41" s="31">
        <f>SUM(Olskroken!F39)</f>
        <v>875</v>
      </c>
      <c r="G41" s="31">
        <f>SUM(Olskroken!G39)</f>
        <v>845</v>
      </c>
      <c r="H41" s="31">
        <f>SUM(Olskroken!H39)</f>
        <v>380</v>
      </c>
      <c r="I41" s="31">
        <f>SUM(Olskroken!I39)</f>
        <v>545</v>
      </c>
      <c r="J41" s="31">
        <f>SUM(Olskroken!J39)</f>
        <v>800</v>
      </c>
      <c r="K41" s="31">
        <f>SUM(Olskroken!K39)</f>
        <v>860</v>
      </c>
      <c r="L41" s="31">
        <f>SUM(Olskroken!L39)</f>
        <v>860</v>
      </c>
      <c r="M41" s="32">
        <f>SUM(Olskroken!M39)</f>
        <v>660</v>
      </c>
    </row>
    <row r="42" spans="1:13" s="16" customFormat="1" ht="13.5" x14ac:dyDescent="0.25">
      <c r="A42" s="25" t="s">
        <v>22</v>
      </c>
      <c r="B42" s="26">
        <f>B40-B41</f>
        <v>-71</v>
      </c>
      <c r="C42" s="26">
        <f t="shared" ref="C42:M42" si="13">C40-C41</f>
        <v>-222</v>
      </c>
      <c r="D42" s="26">
        <f t="shared" si="13"/>
        <v>-167</v>
      </c>
      <c r="E42" s="26">
        <f t="shared" si="13"/>
        <v>-805</v>
      </c>
      <c r="F42" s="26">
        <f t="shared" si="13"/>
        <v>-875</v>
      </c>
      <c r="G42" s="26">
        <f t="shared" si="13"/>
        <v>-845</v>
      </c>
      <c r="H42" s="26">
        <f t="shared" si="13"/>
        <v>-380</v>
      </c>
      <c r="I42" s="27">
        <f t="shared" si="13"/>
        <v>-545</v>
      </c>
      <c r="J42" s="27">
        <f t="shared" si="13"/>
        <v>-800</v>
      </c>
      <c r="K42" s="26">
        <f t="shared" si="13"/>
        <v>-860</v>
      </c>
      <c r="L42" s="26">
        <f t="shared" si="13"/>
        <v>-860</v>
      </c>
      <c r="M42" s="28">
        <f t="shared" si="13"/>
        <v>-660</v>
      </c>
    </row>
    <row r="43" spans="1:13" s="16" customFormat="1" ht="14.25" thickBot="1" x14ac:dyDescent="0.3">
      <c r="A43" s="18" t="s">
        <v>23</v>
      </c>
      <c r="B43" s="19">
        <f>SUM(B42/B41)</f>
        <v>-0.11360000000000001</v>
      </c>
      <c r="C43" s="19">
        <f t="shared" ref="C43:M43" si="14">SUM(C42/C41)</f>
        <v>-0.3126760563380282</v>
      </c>
      <c r="D43" s="19">
        <f t="shared" si="14"/>
        <v>-0.21006289308176102</v>
      </c>
      <c r="E43" s="19">
        <f t="shared" si="14"/>
        <v>-1</v>
      </c>
      <c r="F43" s="19">
        <f t="shared" si="14"/>
        <v>-1</v>
      </c>
      <c r="G43" s="19">
        <f t="shared" si="14"/>
        <v>-1</v>
      </c>
      <c r="H43" s="29">
        <f t="shared" si="14"/>
        <v>-1</v>
      </c>
      <c r="I43" s="29">
        <f t="shared" si="14"/>
        <v>-1</v>
      </c>
      <c r="J43" s="29">
        <f t="shared" si="14"/>
        <v>-1</v>
      </c>
      <c r="K43" s="29">
        <f t="shared" si="14"/>
        <v>-1</v>
      </c>
      <c r="L43" s="19">
        <f t="shared" si="14"/>
        <v>-1</v>
      </c>
      <c r="M43" s="30">
        <f t="shared" si="14"/>
        <v>-1</v>
      </c>
    </row>
    <row r="44" spans="1:13" ht="15.75" thickBot="1" x14ac:dyDescent="0.3"/>
    <row r="45" spans="1:13" x14ac:dyDescent="0.25">
      <c r="A45" s="14" t="s">
        <v>33</v>
      </c>
      <c r="B45" s="15" t="s">
        <v>4</v>
      </c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H45" s="15" t="s">
        <v>10</v>
      </c>
      <c r="I45" s="15" t="s">
        <v>11</v>
      </c>
      <c r="J45" s="15" t="s">
        <v>12</v>
      </c>
      <c r="K45" s="15" t="s">
        <v>13</v>
      </c>
      <c r="L45" s="15" t="s">
        <v>14</v>
      </c>
      <c r="M45" s="24" t="s">
        <v>15</v>
      </c>
    </row>
    <row r="46" spans="1:13" x14ac:dyDescent="0.25">
      <c r="A46" s="17" t="s">
        <v>20</v>
      </c>
      <c r="B46" s="31">
        <f>Avenyn!B18</f>
        <v>886</v>
      </c>
      <c r="C46" s="31">
        <f>Avenyn!C18</f>
        <v>910</v>
      </c>
      <c r="D46" s="31">
        <f>Avenyn!D18</f>
        <v>1253</v>
      </c>
      <c r="E46" s="31">
        <f>Avenyn!E18</f>
        <v>0</v>
      </c>
      <c r="F46" s="31">
        <f>Avenyn!F18</f>
        <v>0</v>
      </c>
      <c r="G46" s="31">
        <f>Avenyn!G18</f>
        <v>0</v>
      </c>
      <c r="H46" s="31">
        <f>Avenyn!H18</f>
        <v>0</v>
      </c>
      <c r="I46" s="31">
        <f>Avenyn!I18</f>
        <v>0</v>
      </c>
      <c r="J46" s="31">
        <f>Avenyn!J18</f>
        <v>0</v>
      </c>
      <c r="K46" s="31">
        <f>Avenyn!K18</f>
        <v>0</v>
      </c>
      <c r="L46" s="31">
        <f>Avenyn!L18</f>
        <v>0</v>
      </c>
      <c r="M46" s="32">
        <f>Avenyn!M18</f>
        <v>0</v>
      </c>
    </row>
    <row r="47" spans="1:13" x14ac:dyDescent="0.25">
      <c r="A47" s="17" t="s">
        <v>21</v>
      </c>
      <c r="B47" s="31">
        <f>Avenyn!B39</f>
        <v>1170</v>
      </c>
      <c r="C47" s="31">
        <f>Avenyn!C39</f>
        <v>1175</v>
      </c>
      <c r="D47" s="31">
        <f>Avenyn!D39</f>
        <v>1280</v>
      </c>
      <c r="E47" s="31">
        <f>Avenyn!E39</f>
        <v>1180</v>
      </c>
      <c r="F47" s="31">
        <f>Avenyn!F39</f>
        <v>1290</v>
      </c>
      <c r="G47" s="31">
        <f>Avenyn!G39</f>
        <v>1300</v>
      </c>
      <c r="H47" s="31">
        <f>Avenyn!H39</f>
        <v>660</v>
      </c>
      <c r="I47" s="31">
        <f>Avenyn!I39</f>
        <v>860</v>
      </c>
      <c r="J47" s="31">
        <f>Avenyn!J39</f>
        <v>1470</v>
      </c>
      <c r="K47" s="31">
        <f>Avenyn!K39</f>
        <v>1480</v>
      </c>
      <c r="L47" s="31">
        <f>Avenyn!L39</f>
        <v>1490</v>
      </c>
      <c r="M47" s="32">
        <f>Avenyn!M39</f>
        <v>1140</v>
      </c>
    </row>
    <row r="48" spans="1:13" x14ac:dyDescent="0.25">
      <c r="A48" s="25" t="s">
        <v>22</v>
      </c>
      <c r="B48" s="26">
        <f>B46-B47</f>
        <v>-284</v>
      </c>
      <c r="C48" s="26">
        <f t="shared" ref="C48:M48" si="15">C46-C47</f>
        <v>-265</v>
      </c>
      <c r="D48" s="26">
        <f t="shared" si="15"/>
        <v>-27</v>
      </c>
      <c r="E48" s="26">
        <f t="shared" si="15"/>
        <v>-1180</v>
      </c>
      <c r="F48" s="26">
        <f t="shared" si="15"/>
        <v>-1290</v>
      </c>
      <c r="G48" s="26">
        <f t="shared" si="15"/>
        <v>-1300</v>
      </c>
      <c r="H48" s="26">
        <f t="shared" si="15"/>
        <v>-660</v>
      </c>
      <c r="I48" s="27">
        <f t="shared" si="15"/>
        <v>-860</v>
      </c>
      <c r="J48" s="27">
        <f t="shared" si="15"/>
        <v>-1470</v>
      </c>
      <c r="K48" s="26">
        <f t="shared" si="15"/>
        <v>-1480</v>
      </c>
      <c r="L48" s="26">
        <f t="shared" si="15"/>
        <v>-1490</v>
      </c>
      <c r="M48" s="28">
        <f t="shared" si="15"/>
        <v>-1140</v>
      </c>
    </row>
    <row r="49" spans="1:13" ht="15.75" thickBot="1" x14ac:dyDescent="0.3">
      <c r="A49" s="18" t="s">
        <v>23</v>
      </c>
      <c r="B49" s="19">
        <f>SUM(B48/B47)</f>
        <v>-0.24273504273504273</v>
      </c>
      <c r="C49" s="19">
        <f t="shared" ref="C49:M49" si="16">SUM(C48/C47)</f>
        <v>-0.22553191489361701</v>
      </c>
      <c r="D49" s="19">
        <f t="shared" si="16"/>
        <v>-2.1093750000000001E-2</v>
      </c>
      <c r="E49" s="19">
        <f t="shared" si="16"/>
        <v>-1</v>
      </c>
      <c r="F49" s="19">
        <f t="shared" si="16"/>
        <v>-1</v>
      </c>
      <c r="G49" s="19">
        <f t="shared" si="16"/>
        <v>-1</v>
      </c>
      <c r="H49" s="29">
        <f t="shared" si="16"/>
        <v>-1</v>
      </c>
      <c r="I49" s="29">
        <f t="shared" si="16"/>
        <v>-1</v>
      </c>
      <c r="J49" s="29">
        <f t="shared" si="16"/>
        <v>-1</v>
      </c>
      <c r="K49" s="29">
        <f t="shared" si="16"/>
        <v>-1</v>
      </c>
      <c r="L49" s="19">
        <f t="shared" si="16"/>
        <v>-1</v>
      </c>
      <c r="M49" s="30">
        <f t="shared" si="16"/>
        <v>-1</v>
      </c>
    </row>
    <row r="50" spans="1:13" ht="15.75" thickBot="1" x14ac:dyDescent="0.3"/>
    <row r="51" spans="1:13" x14ac:dyDescent="0.25">
      <c r="A51" s="14" t="s">
        <v>34</v>
      </c>
      <c r="B51" s="15" t="s">
        <v>4</v>
      </c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H51" s="15" t="s">
        <v>10</v>
      </c>
      <c r="I51" s="15" t="s">
        <v>11</v>
      </c>
      <c r="J51" s="15" t="s">
        <v>12</v>
      </c>
      <c r="K51" s="15" t="s">
        <v>13</v>
      </c>
      <c r="L51" s="15" t="s">
        <v>14</v>
      </c>
      <c r="M51" s="24" t="s">
        <v>15</v>
      </c>
    </row>
    <row r="52" spans="1:13" x14ac:dyDescent="0.25">
      <c r="A52" s="17" t="s">
        <v>20</v>
      </c>
      <c r="B52" s="31">
        <f>Karlastaden!B18</f>
        <v>226</v>
      </c>
      <c r="C52" s="31">
        <f>Karlastaden!C18</f>
        <v>244</v>
      </c>
      <c r="D52" s="31">
        <f>Karlastaden!D18</f>
        <v>306</v>
      </c>
      <c r="E52" s="31">
        <f>Karlastaden!E18</f>
        <v>0</v>
      </c>
      <c r="F52" s="31">
        <f>Karlastaden!F18</f>
        <v>0</v>
      </c>
      <c r="G52" s="31">
        <f>Karlastaden!G18</f>
        <v>0</v>
      </c>
      <c r="H52" s="31">
        <f>Karlastaden!H18</f>
        <v>0</v>
      </c>
      <c r="I52" s="31">
        <f>Karlastaden!I18</f>
        <v>0</v>
      </c>
      <c r="J52" s="31">
        <f>Karlastaden!J18</f>
        <v>0</v>
      </c>
      <c r="K52" s="31">
        <f>Karlastaden!K18</f>
        <v>0</v>
      </c>
      <c r="L52" s="31">
        <f>Karlastaden!L18</f>
        <v>0</v>
      </c>
      <c r="M52" s="32">
        <f>Karlastaden!M18</f>
        <v>0</v>
      </c>
    </row>
    <row r="53" spans="1:13" x14ac:dyDescent="0.25">
      <c r="A53" s="17" t="s">
        <v>21</v>
      </c>
      <c r="B53" s="31">
        <f>Karlastaden!B39</f>
        <v>452</v>
      </c>
      <c r="C53" s="31">
        <f>Karlastaden!C39</f>
        <v>482</v>
      </c>
      <c r="D53" s="31">
        <f>Karlastaden!D39</f>
        <v>526</v>
      </c>
      <c r="E53" s="31">
        <f>Karlastaden!E39</f>
        <v>520</v>
      </c>
      <c r="F53" s="31">
        <f>Karlastaden!F39</f>
        <v>520</v>
      </c>
      <c r="G53" s="31">
        <f>Karlastaden!G39</f>
        <v>480</v>
      </c>
      <c r="H53" s="31">
        <f>Karlastaden!H39</f>
        <v>225</v>
      </c>
      <c r="I53" s="31">
        <f>Karlastaden!I39</f>
        <v>265</v>
      </c>
      <c r="J53" s="31">
        <f>Karlastaden!J39</f>
        <v>540</v>
      </c>
      <c r="K53" s="31">
        <f>Karlastaden!K39</f>
        <v>556</v>
      </c>
      <c r="L53" s="31">
        <f>Karlastaden!L39</f>
        <v>556</v>
      </c>
      <c r="M53" s="32">
        <f>Karlastaden!M39</f>
        <v>440</v>
      </c>
    </row>
    <row r="54" spans="1:13" x14ac:dyDescent="0.25">
      <c r="A54" s="25" t="s">
        <v>22</v>
      </c>
      <c r="B54" s="26">
        <f>B52-B53</f>
        <v>-226</v>
      </c>
      <c r="C54" s="26">
        <f t="shared" ref="C54:M54" si="17">C52-C53</f>
        <v>-238</v>
      </c>
      <c r="D54" s="26">
        <f t="shared" si="17"/>
        <v>-220</v>
      </c>
      <c r="E54" s="26">
        <f t="shared" si="17"/>
        <v>-520</v>
      </c>
      <c r="F54" s="26">
        <f t="shared" si="17"/>
        <v>-520</v>
      </c>
      <c r="G54" s="26">
        <f t="shared" si="17"/>
        <v>-480</v>
      </c>
      <c r="H54" s="26">
        <f t="shared" si="17"/>
        <v>-225</v>
      </c>
      <c r="I54" s="27">
        <f t="shared" si="17"/>
        <v>-265</v>
      </c>
      <c r="J54" s="27">
        <f t="shared" si="17"/>
        <v>-540</v>
      </c>
      <c r="K54" s="26">
        <f t="shared" si="17"/>
        <v>-556</v>
      </c>
      <c r="L54" s="26">
        <f t="shared" si="17"/>
        <v>-556</v>
      </c>
      <c r="M54" s="28">
        <f t="shared" si="17"/>
        <v>-440</v>
      </c>
    </row>
    <row r="55" spans="1:13" ht="15.75" thickBot="1" x14ac:dyDescent="0.3">
      <c r="A55" s="18" t="s">
        <v>23</v>
      </c>
      <c r="B55" s="19">
        <f>SUM(B54/B53)</f>
        <v>-0.5</v>
      </c>
      <c r="C55" s="19">
        <f t="shared" ref="C55:M55" si="18">SUM(C54/C53)</f>
        <v>-0.49377593360995853</v>
      </c>
      <c r="D55" s="19">
        <f t="shared" si="18"/>
        <v>-0.41825095057034223</v>
      </c>
      <c r="E55" s="19">
        <f t="shared" si="18"/>
        <v>-1</v>
      </c>
      <c r="F55" s="19">
        <f t="shared" si="18"/>
        <v>-1</v>
      </c>
      <c r="G55" s="19">
        <f t="shared" si="18"/>
        <v>-1</v>
      </c>
      <c r="H55" s="29">
        <f t="shared" si="18"/>
        <v>-1</v>
      </c>
      <c r="I55" s="29">
        <f t="shared" si="18"/>
        <v>-1</v>
      </c>
      <c r="J55" s="29">
        <f t="shared" si="18"/>
        <v>-1</v>
      </c>
      <c r="K55" s="29">
        <f t="shared" si="18"/>
        <v>-1</v>
      </c>
      <c r="L55" s="19">
        <f t="shared" si="18"/>
        <v>-1</v>
      </c>
      <c r="M55" s="30">
        <f t="shared" si="18"/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DA17-8295-4BF5-AE01-20C42C0E0817}">
  <dimension ref="A1:M46"/>
  <sheetViews>
    <sheetView zoomScaleNormal="100" workbookViewId="0">
      <selection activeCell="T39" sqref="T39"/>
    </sheetView>
  </sheetViews>
  <sheetFormatPr defaultRowHeight="15" x14ac:dyDescent="0.25"/>
  <cols>
    <col min="1" max="1" width="32.28515625" bestFit="1" customWidth="1"/>
    <col min="2" max="3" width="11" bestFit="1" customWidth="1"/>
  </cols>
  <sheetData>
    <row r="1" spans="1:13" s="2" customFormat="1" x14ac:dyDescent="0.25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40</v>
      </c>
      <c r="B4" s="10">
        <v>138</v>
      </c>
      <c r="C4" s="10">
        <v>82</v>
      </c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41</v>
      </c>
      <c r="B5" s="10">
        <v>178</v>
      </c>
      <c r="C5" s="10">
        <v>156</v>
      </c>
      <c r="D5" s="10">
        <v>188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42</v>
      </c>
      <c r="B6" s="10">
        <v>112</v>
      </c>
      <c r="C6" s="10">
        <v>179</v>
      </c>
      <c r="D6" s="10">
        <v>181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43</v>
      </c>
      <c r="B7" s="10">
        <v>91</v>
      </c>
      <c r="C7" s="10">
        <v>164</v>
      </c>
      <c r="D7" s="10">
        <v>141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44</v>
      </c>
      <c r="B8" s="10">
        <v>139</v>
      </c>
      <c r="C8" s="10">
        <v>190</v>
      </c>
      <c r="D8" s="10">
        <v>194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t="s">
        <v>45</v>
      </c>
      <c r="B9" s="10">
        <v>125</v>
      </c>
      <c r="C9" s="10">
        <v>52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t="s">
        <v>46</v>
      </c>
      <c r="B10" s="10"/>
      <c r="C10" s="10">
        <v>77</v>
      </c>
      <c r="D10" s="10">
        <v>171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783</v>
      </c>
      <c r="C18" s="11">
        <f t="shared" si="0"/>
        <v>900</v>
      </c>
      <c r="D18" s="11">
        <f t="shared" si="0"/>
        <v>875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40</v>
      </c>
      <c r="B22" s="12">
        <f t="shared" ref="B22:M35" si="1">SUM(B4-B40)</f>
        <v>-82</v>
      </c>
      <c r="C22" s="12">
        <f t="shared" si="1"/>
        <v>-48</v>
      </c>
      <c r="D22" s="12">
        <f t="shared" si="1"/>
        <v>-140</v>
      </c>
      <c r="E22" s="12">
        <f t="shared" si="1"/>
        <v>-130</v>
      </c>
      <c r="F22" s="12">
        <f t="shared" si="1"/>
        <v>0</v>
      </c>
      <c r="G22" s="12">
        <f t="shared" si="1"/>
        <v>0</v>
      </c>
      <c r="H22" s="12">
        <f t="shared" si="1"/>
        <v>0</v>
      </c>
      <c r="I22" s="12">
        <f t="shared" si="1"/>
        <v>0</v>
      </c>
      <c r="J22" s="12">
        <f t="shared" si="1"/>
        <v>0</v>
      </c>
      <c r="K22" s="12">
        <f t="shared" si="1"/>
        <v>0</v>
      </c>
      <c r="L22" s="12">
        <f t="shared" si="1"/>
        <v>0</v>
      </c>
      <c r="M22" s="12">
        <f t="shared" si="1"/>
        <v>0</v>
      </c>
    </row>
    <row r="23" spans="1:13" x14ac:dyDescent="0.25">
      <c r="A23" t="s">
        <v>41</v>
      </c>
      <c r="B23" s="12">
        <f t="shared" si="1"/>
        <v>-42</v>
      </c>
      <c r="C23" s="12">
        <f t="shared" si="1"/>
        <v>-74</v>
      </c>
      <c r="D23" s="12">
        <f t="shared" si="1"/>
        <v>-42</v>
      </c>
      <c r="E23" s="12">
        <f t="shared" si="1"/>
        <v>-230</v>
      </c>
      <c r="F23" s="12">
        <f t="shared" si="1"/>
        <v>-230</v>
      </c>
      <c r="G23" s="12">
        <f t="shared" si="1"/>
        <v>-120</v>
      </c>
      <c r="H23" s="12">
        <f t="shared" si="1"/>
        <v>-180</v>
      </c>
      <c r="I23" s="12">
        <f t="shared" si="1"/>
        <v>-120</v>
      </c>
      <c r="J23" s="12">
        <f t="shared" si="1"/>
        <v>-230</v>
      </c>
      <c r="K23" s="12">
        <f t="shared" si="1"/>
        <v>-230</v>
      </c>
      <c r="L23" s="12">
        <f t="shared" si="1"/>
        <v>-230</v>
      </c>
      <c r="M23" s="12">
        <f t="shared" si="1"/>
        <v>-200</v>
      </c>
    </row>
    <row r="24" spans="1:13" x14ac:dyDescent="0.25">
      <c r="A24" t="s">
        <v>42</v>
      </c>
      <c r="B24" s="12">
        <f t="shared" si="1"/>
        <v>-98</v>
      </c>
      <c r="C24" s="12">
        <f t="shared" si="1"/>
        <v>-51</v>
      </c>
      <c r="D24" s="12">
        <f t="shared" si="1"/>
        <v>-49</v>
      </c>
      <c r="E24" s="12">
        <f t="shared" si="1"/>
        <v>-220</v>
      </c>
      <c r="F24" s="12">
        <f t="shared" si="1"/>
        <v>-220</v>
      </c>
      <c r="G24" s="12">
        <f t="shared" si="1"/>
        <v>-220</v>
      </c>
      <c r="H24" s="12">
        <f t="shared" si="1"/>
        <v>0</v>
      </c>
      <c r="I24" s="12">
        <f t="shared" si="1"/>
        <v>-220</v>
      </c>
      <c r="J24" s="12">
        <f t="shared" si="1"/>
        <v>-230</v>
      </c>
      <c r="K24" s="12">
        <f t="shared" si="1"/>
        <v>-230</v>
      </c>
      <c r="L24" s="12">
        <f t="shared" si="1"/>
        <v>-230</v>
      </c>
      <c r="M24" s="12">
        <f t="shared" si="1"/>
        <v>-190</v>
      </c>
    </row>
    <row r="25" spans="1:13" x14ac:dyDescent="0.25">
      <c r="A25" t="s">
        <v>43</v>
      </c>
      <c r="B25" s="12">
        <f t="shared" si="1"/>
        <v>-99</v>
      </c>
      <c r="C25" s="12">
        <f t="shared" si="1"/>
        <v>-26</v>
      </c>
      <c r="D25" s="12">
        <f t="shared" si="1"/>
        <v>-69</v>
      </c>
      <c r="E25" s="12">
        <f t="shared" si="1"/>
        <v>-200</v>
      </c>
      <c r="F25" s="12">
        <f t="shared" si="1"/>
        <v>-210</v>
      </c>
      <c r="G25" s="12">
        <f t="shared" si="1"/>
        <v>-210</v>
      </c>
      <c r="H25" s="12">
        <f t="shared" si="1"/>
        <v>-180</v>
      </c>
      <c r="I25" s="12">
        <f t="shared" si="1"/>
        <v>0</v>
      </c>
      <c r="J25" s="12">
        <f t="shared" si="1"/>
        <v>-220</v>
      </c>
      <c r="K25" s="12">
        <f t="shared" si="1"/>
        <v>-230</v>
      </c>
      <c r="L25" s="12">
        <f t="shared" si="1"/>
        <v>-230</v>
      </c>
      <c r="M25" s="12">
        <f t="shared" si="1"/>
        <v>-200</v>
      </c>
    </row>
    <row r="26" spans="1:13" x14ac:dyDescent="0.25">
      <c r="A26" t="s">
        <v>44</v>
      </c>
      <c r="B26" s="12">
        <f t="shared" si="1"/>
        <v>-51</v>
      </c>
      <c r="C26" s="12">
        <f t="shared" si="1"/>
        <v>-10</v>
      </c>
      <c r="D26" s="12">
        <f t="shared" si="1"/>
        <v>-6</v>
      </c>
      <c r="E26" s="12">
        <f t="shared" si="1"/>
        <v>-190</v>
      </c>
      <c r="F26" s="12">
        <f t="shared" si="1"/>
        <v>-200</v>
      </c>
      <c r="G26" s="12">
        <f t="shared" si="1"/>
        <v>-200</v>
      </c>
      <c r="H26" s="12">
        <f t="shared" si="1"/>
        <v>0</v>
      </c>
      <c r="I26" s="12">
        <f t="shared" si="1"/>
        <v>-200</v>
      </c>
      <c r="J26" s="12">
        <f t="shared" si="1"/>
        <v>-200</v>
      </c>
      <c r="K26" s="12">
        <f t="shared" si="1"/>
        <v>-200</v>
      </c>
      <c r="L26" s="12">
        <f t="shared" si="1"/>
        <v>-200</v>
      </c>
      <c r="M26" s="12">
        <f t="shared" si="1"/>
        <v>-190</v>
      </c>
    </row>
    <row r="27" spans="1:13" x14ac:dyDescent="0.25">
      <c r="A27" t="s">
        <v>45</v>
      </c>
      <c r="B27" s="12">
        <f t="shared" si="1"/>
        <v>35</v>
      </c>
      <c r="C27" s="12">
        <f t="shared" si="1"/>
        <v>-44</v>
      </c>
      <c r="D27" s="12">
        <f t="shared" si="1"/>
        <v>-96</v>
      </c>
      <c r="E27" s="12">
        <f t="shared" si="1"/>
        <v>-96</v>
      </c>
      <c r="F27" s="12">
        <f t="shared" si="1"/>
        <v>-96</v>
      </c>
      <c r="G27" s="12">
        <f t="shared" si="1"/>
        <v>-80</v>
      </c>
      <c r="H27" s="12">
        <f t="shared" si="1"/>
        <v>-96</v>
      </c>
      <c r="I27" s="12">
        <f t="shared" si="1"/>
        <v>0</v>
      </c>
      <c r="J27" s="12">
        <f t="shared" si="1"/>
        <v>-96</v>
      </c>
      <c r="K27" s="12">
        <f t="shared" si="1"/>
        <v>-96</v>
      </c>
      <c r="L27" s="12">
        <f t="shared" si="1"/>
        <v>-96</v>
      </c>
      <c r="M27" s="12">
        <f t="shared" si="1"/>
        <v>-80</v>
      </c>
    </row>
    <row r="28" spans="1:13" x14ac:dyDescent="0.25">
      <c r="A28" t="s">
        <v>46</v>
      </c>
      <c r="B28" s="12">
        <f t="shared" si="1"/>
        <v>0</v>
      </c>
      <c r="C28" s="12">
        <f t="shared" si="1"/>
        <v>77</v>
      </c>
      <c r="D28" s="12">
        <f t="shared" si="1"/>
        <v>171</v>
      </c>
      <c r="E28" s="12">
        <f t="shared" si="1"/>
        <v>0</v>
      </c>
      <c r="F28" s="12">
        <f t="shared" si="1"/>
        <v>-120</v>
      </c>
      <c r="G28" s="12">
        <f t="shared" si="1"/>
        <v>-180</v>
      </c>
      <c r="H28" s="12">
        <f t="shared" si="1"/>
        <v>0</v>
      </c>
      <c r="I28" s="12">
        <f t="shared" si="1"/>
        <v>-180</v>
      </c>
      <c r="J28" s="12">
        <f t="shared" si="1"/>
        <v>-200</v>
      </c>
      <c r="K28" s="12">
        <f t="shared" si="1"/>
        <v>-200</v>
      </c>
      <c r="L28" s="12">
        <f t="shared" si="1"/>
        <v>-200</v>
      </c>
      <c r="M28" s="12">
        <f t="shared" si="1"/>
        <v>-180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-337</v>
      </c>
      <c r="C36" s="11">
        <f t="shared" si="2"/>
        <v>-176</v>
      </c>
      <c r="D36" s="11">
        <f t="shared" si="2"/>
        <v>-231</v>
      </c>
      <c r="E36" s="11">
        <f t="shared" si="2"/>
        <v>-1066</v>
      </c>
      <c r="F36" s="11">
        <f t="shared" si="2"/>
        <v>-1076</v>
      </c>
      <c r="G36" s="11">
        <f t="shared" si="2"/>
        <v>-1010</v>
      </c>
      <c r="H36" s="11">
        <f t="shared" si="2"/>
        <v>-456</v>
      </c>
      <c r="I36" s="11">
        <f t="shared" si="2"/>
        <v>-720</v>
      </c>
      <c r="J36" s="11">
        <f t="shared" si="2"/>
        <v>-1176</v>
      </c>
      <c r="K36" s="11">
        <f t="shared" si="2"/>
        <v>-1186</v>
      </c>
      <c r="L36" s="11">
        <f t="shared" si="2"/>
        <v>-1186</v>
      </c>
      <c r="M36" s="11">
        <f t="shared" si="2"/>
        <v>-1040</v>
      </c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 x14ac:dyDescent="0.25">
      <c r="A39" s="1" t="s">
        <v>2</v>
      </c>
      <c r="B39" s="1">
        <f>SUM(B40:B46)</f>
        <v>1120</v>
      </c>
      <c r="C39" s="1">
        <f t="shared" ref="C39:M39" si="3">SUM(C40:C46)</f>
        <v>1076</v>
      </c>
      <c r="D39" s="1">
        <f t="shared" si="3"/>
        <v>1106</v>
      </c>
      <c r="E39" s="1">
        <f t="shared" si="3"/>
        <v>1066</v>
      </c>
      <c r="F39" s="1">
        <f t="shared" si="3"/>
        <v>1076</v>
      </c>
      <c r="G39" s="1">
        <f t="shared" si="3"/>
        <v>1010</v>
      </c>
      <c r="H39" s="1">
        <f t="shared" si="3"/>
        <v>456</v>
      </c>
      <c r="I39" s="1">
        <f t="shared" si="3"/>
        <v>720</v>
      </c>
      <c r="J39" s="1">
        <f t="shared" si="3"/>
        <v>1176</v>
      </c>
      <c r="K39" s="1">
        <f t="shared" si="3"/>
        <v>1186</v>
      </c>
      <c r="L39" s="1">
        <f t="shared" si="3"/>
        <v>1186</v>
      </c>
      <c r="M39" s="1">
        <f t="shared" si="3"/>
        <v>1040</v>
      </c>
    </row>
    <row r="40" spans="1:13" x14ac:dyDescent="0.25">
      <c r="A40" t="s">
        <v>40</v>
      </c>
      <c r="B40">
        <v>220</v>
      </c>
      <c r="C40">
        <v>130</v>
      </c>
      <c r="D40">
        <v>140</v>
      </c>
      <c r="E40">
        <v>130</v>
      </c>
    </row>
    <row r="41" spans="1:13" x14ac:dyDescent="0.25">
      <c r="A41" t="s">
        <v>41</v>
      </c>
      <c r="B41">
        <v>220</v>
      </c>
      <c r="C41">
        <v>230</v>
      </c>
      <c r="D41">
        <v>230</v>
      </c>
      <c r="E41">
        <v>230</v>
      </c>
      <c r="F41">
        <v>230</v>
      </c>
      <c r="G41">
        <v>120</v>
      </c>
      <c r="H41">
        <v>180</v>
      </c>
      <c r="I41">
        <v>120</v>
      </c>
      <c r="J41">
        <v>230</v>
      </c>
      <c r="K41">
        <v>230</v>
      </c>
      <c r="L41">
        <v>230</v>
      </c>
      <c r="M41">
        <v>200</v>
      </c>
    </row>
    <row r="42" spans="1:13" x14ac:dyDescent="0.25">
      <c r="A42" t="s">
        <v>42</v>
      </c>
      <c r="B42">
        <v>210</v>
      </c>
      <c r="C42">
        <v>230</v>
      </c>
      <c r="D42">
        <v>230</v>
      </c>
      <c r="E42">
        <v>220</v>
      </c>
      <c r="F42">
        <v>220</v>
      </c>
      <c r="G42">
        <v>220</v>
      </c>
      <c r="H42">
        <v>0</v>
      </c>
      <c r="I42">
        <v>220</v>
      </c>
      <c r="J42">
        <v>230</v>
      </c>
      <c r="K42">
        <v>230</v>
      </c>
      <c r="L42">
        <v>230</v>
      </c>
      <c r="M42">
        <v>190</v>
      </c>
    </row>
    <row r="43" spans="1:13" x14ac:dyDescent="0.25">
      <c r="A43" t="s">
        <v>43</v>
      </c>
      <c r="B43">
        <v>190</v>
      </c>
      <c r="C43">
        <v>190</v>
      </c>
      <c r="D43">
        <v>210</v>
      </c>
      <c r="E43">
        <v>200</v>
      </c>
      <c r="F43">
        <v>210</v>
      </c>
      <c r="G43">
        <v>210</v>
      </c>
      <c r="H43">
        <v>180</v>
      </c>
      <c r="I43">
        <v>0</v>
      </c>
      <c r="J43">
        <v>220</v>
      </c>
      <c r="K43">
        <v>230</v>
      </c>
      <c r="L43">
        <v>230</v>
      </c>
      <c r="M43">
        <v>200</v>
      </c>
    </row>
    <row r="44" spans="1:13" x14ac:dyDescent="0.25">
      <c r="A44" t="s">
        <v>44</v>
      </c>
      <c r="B44">
        <v>190</v>
      </c>
      <c r="C44">
        <v>200</v>
      </c>
      <c r="D44">
        <v>200</v>
      </c>
      <c r="E44">
        <v>190</v>
      </c>
      <c r="F44">
        <v>200</v>
      </c>
      <c r="G44">
        <v>200</v>
      </c>
      <c r="H44">
        <v>0</v>
      </c>
      <c r="I44">
        <v>200</v>
      </c>
      <c r="J44">
        <v>200</v>
      </c>
      <c r="K44">
        <v>200</v>
      </c>
      <c r="L44">
        <v>200</v>
      </c>
      <c r="M44">
        <v>190</v>
      </c>
    </row>
    <row r="45" spans="1:13" x14ac:dyDescent="0.25">
      <c r="A45" t="s">
        <v>45</v>
      </c>
      <c r="B45">
        <v>90</v>
      </c>
      <c r="C45">
        <v>96</v>
      </c>
      <c r="D45">
        <v>96</v>
      </c>
      <c r="E45">
        <v>96</v>
      </c>
      <c r="F45">
        <v>96</v>
      </c>
      <c r="G45">
        <v>80</v>
      </c>
      <c r="H45">
        <v>96</v>
      </c>
      <c r="I45">
        <v>0</v>
      </c>
      <c r="J45">
        <v>96</v>
      </c>
      <c r="K45">
        <v>96</v>
      </c>
      <c r="L45">
        <v>96</v>
      </c>
      <c r="M45">
        <v>80</v>
      </c>
    </row>
    <row r="46" spans="1:13" x14ac:dyDescent="0.25">
      <c r="A46" t="s">
        <v>46</v>
      </c>
      <c r="F46">
        <v>120</v>
      </c>
      <c r="G46">
        <v>180</v>
      </c>
      <c r="H46">
        <v>0</v>
      </c>
      <c r="I46">
        <v>180</v>
      </c>
      <c r="J46">
        <v>200</v>
      </c>
      <c r="K46">
        <v>200</v>
      </c>
      <c r="L46">
        <v>200</v>
      </c>
      <c r="M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5972-B11A-4C0D-898E-D5644FAEA3CD}">
  <dimension ref="A1:M47"/>
  <sheetViews>
    <sheetView zoomScaleNormal="100" workbookViewId="0">
      <selection activeCell="A6" sqref="A6"/>
    </sheetView>
  </sheetViews>
  <sheetFormatPr defaultRowHeight="15" x14ac:dyDescent="0.25"/>
  <cols>
    <col min="1" max="1" width="32.28515625" bestFit="1" customWidth="1"/>
    <col min="2" max="4" width="11" bestFit="1" customWidth="1"/>
  </cols>
  <sheetData>
    <row r="1" spans="1:13" s="2" customFormat="1" x14ac:dyDescent="0.25">
      <c r="A1" s="5" t="s">
        <v>3</v>
      </c>
      <c r="B1" s="6">
        <v>46081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87</v>
      </c>
      <c r="B4" s="10">
        <v>83</v>
      </c>
      <c r="C4" s="10">
        <v>157</v>
      </c>
      <c r="D4" s="10">
        <v>164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86</v>
      </c>
      <c r="B5" s="10">
        <v>179</v>
      </c>
      <c r="C5" s="10">
        <v>199</v>
      </c>
      <c r="D5" s="10">
        <v>250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85</v>
      </c>
      <c r="B6" s="10">
        <v>195</v>
      </c>
      <c r="C6" s="10">
        <v>261</v>
      </c>
      <c r="D6" s="10">
        <v>217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84</v>
      </c>
      <c r="B7" s="10">
        <v>114</v>
      </c>
      <c r="C7" s="10">
        <v>97</v>
      </c>
      <c r="D7" s="10">
        <v>179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83</v>
      </c>
      <c r="B8" s="10">
        <v>183</v>
      </c>
      <c r="C8" s="10">
        <v>170</v>
      </c>
      <c r="D8" s="10">
        <v>254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754</v>
      </c>
      <c r="C18" s="11">
        <f t="shared" si="0"/>
        <v>884</v>
      </c>
      <c r="D18" s="11">
        <f t="shared" si="0"/>
        <v>1064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47</v>
      </c>
      <c r="B22" s="12">
        <f t="shared" ref="B22:M35" si="1">SUM(B4-B40)</f>
        <v>-107</v>
      </c>
      <c r="C22" s="37">
        <f t="shared" si="1"/>
        <v>-33</v>
      </c>
      <c r="D22" s="37">
        <f t="shared" si="1"/>
        <v>-26</v>
      </c>
      <c r="E22" s="37">
        <f t="shared" si="1"/>
        <v>-190</v>
      </c>
      <c r="F22" s="37">
        <f t="shared" si="1"/>
        <v>-190</v>
      </c>
      <c r="G22" s="37">
        <f t="shared" si="1"/>
        <v>-190</v>
      </c>
      <c r="H22" s="37">
        <f t="shared" si="1"/>
        <v>0</v>
      </c>
      <c r="I22" s="37">
        <f t="shared" si="1"/>
        <v>-190</v>
      </c>
      <c r="J22" s="37">
        <f t="shared" si="1"/>
        <v>-190</v>
      </c>
      <c r="K22" s="37">
        <f t="shared" si="1"/>
        <v>-190</v>
      </c>
      <c r="L22" s="37">
        <f t="shared" si="1"/>
        <v>-190</v>
      </c>
      <c r="M22" s="37">
        <f t="shared" si="1"/>
        <v>-190</v>
      </c>
    </row>
    <row r="23" spans="1:13" x14ac:dyDescent="0.25">
      <c r="A23" t="s">
        <v>48</v>
      </c>
      <c r="B23" s="12">
        <f t="shared" si="1"/>
        <v>-41</v>
      </c>
      <c r="C23" s="37">
        <f t="shared" si="1"/>
        <v>-31</v>
      </c>
      <c r="D23" s="37">
        <f t="shared" si="1"/>
        <v>20</v>
      </c>
      <c r="E23" s="37">
        <f t="shared" si="1"/>
        <v>-220</v>
      </c>
      <c r="F23" s="37">
        <f t="shared" si="1"/>
        <v>-220</v>
      </c>
      <c r="G23" s="37">
        <f t="shared" si="1"/>
        <v>-230</v>
      </c>
      <c r="H23" s="37">
        <f t="shared" si="1"/>
        <v>-210</v>
      </c>
      <c r="I23" s="37">
        <f t="shared" si="1"/>
        <v>0</v>
      </c>
      <c r="J23" s="37">
        <f t="shared" si="1"/>
        <v>-230</v>
      </c>
      <c r="K23" s="37">
        <f t="shared" si="1"/>
        <v>-230</v>
      </c>
      <c r="L23" s="37">
        <f t="shared" si="1"/>
        <v>-230</v>
      </c>
      <c r="M23" s="37">
        <f t="shared" si="1"/>
        <v>-190</v>
      </c>
    </row>
    <row r="24" spans="1:13" x14ac:dyDescent="0.25">
      <c r="A24" t="s">
        <v>49</v>
      </c>
      <c r="B24" s="12">
        <f t="shared" si="1"/>
        <v>-25</v>
      </c>
      <c r="C24" s="37">
        <f t="shared" si="1"/>
        <v>31</v>
      </c>
      <c r="D24" s="37">
        <f t="shared" si="1"/>
        <v>-13</v>
      </c>
      <c r="E24" s="37">
        <f t="shared" si="1"/>
        <v>-220</v>
      </c>
      <c r="F24" s="37">
        <f t="shared" si="1"/>
        <v>-220</v>
      </c>
      <c r="G24" s="37">
        <f t="shared" si="1"/>
        <v>-230</v>
      </c>
      <c r="H24" s="37">
        <f t="shared" si="1"/>
        <v>0</v>
      </c>
      <c r="I24" s="37">
        <f t="shared" si="1"/>
        <v>-230</v>
      </c>
      <c r="J24" s="37">
        <f t="shared" si="1"/>
        <v>-230</v>
      </c>
      <c r="K24" s="37">
        <f t="shared" si="1"/>
        <v>-230</v>
      </c>
      <c r="L24" s="37">
        <f t="shared" si="1"/>
        <v>-230</v>
      </c>
      <c r="M24" s="37">
        <f t="shared" si="1"/>
        <v>-200</v>
      </c>
    </row>
    <row r="25" spans="1:13" x14ac:dyDescent="0.25">
      <c r="A25" t="s">
        <v>50</v>
      </c>
      <c r="B25" s="12">
        <f t="shared" si="1"/>
        <v>-61</v>
      </c>
      <c r="C25" s="37">
        <f t="shared" si="1"/>
        <v>-98</v>
      </c>
      <c r="D25" s="37">
        <f t="shared" si="1"/>
        <v>-16</v>
      </c>
      <c r="E25" s="37">
        <f t="shared" si="1"/>
        <v>-190</v>
      </c>
      <c r="F25" s="37">
        <f t="shared" si="1"/>
        <v>-195</v>
      </c>
      <c r="G25" s="37">
        <f t="shared" si="1"/>
        <v>-195</v>
      </c>
      <c r="H25" s="37">
        <f t="shared" si="1"/>
        <v>-180</v>
      </c>
      <c r="I25" s="37">
        <f t="shared" si="1"/>
        <v>0</v>
      </c>
      <c r="J25" s="37">
        <f t="shared" si="1"/>
        <v>-190</v>
      </c>
      <c r="K25" s="37">
        <f t="shared" si="1"/>
        <v>-190</v>
      </c>
      <c r="L25" s="37">
        <f t="shared" si="1"/>
        <v>-190</v>
      </c>
      <c r="M25" s="37">
        <f t="shared" si="1"/>
        <v>-180</v>
      </c>
    </row>
    <row r="26" spans="1:13" x14ac:dyDescent="0.25">
      <c r="A26" t="s">
        <v>1</v>
      </c>
      <c r="B26" s="12">
        <f t="shared" si="1"/>
        <v>-17</v>
      </c>
      <c r="C26" s="37">
        <f t="shared" si="1"/>
        <v>-30</v>
      </c>
      <c r="D26" s="37">
        <f t="shared" si="1"/>
        <v>54</v>
      </c>
      <c r="E26" s="37">
        <f t="shared" si="1"/>
        <v>-200</v>
      </c>
      <c r="F26" s="37">
        <f t="shared" si="1"/>
        <v>-200</v>
      </c>
      <c r="G26" s="37">
        <f t="shared" si="1"/>
        <v>-200</v>
      </c>
      <c r="H26" s="37">
        <f t="shared" si="1"/>
        <v>-110</v>
      </c>
      <c r="I26" s="37">
        <f t="shared" si="1"/>
        <v>-110</v>
      </c>
      <c r="J26" s="37">
        <f t="shared" si="1"/>
        <v>-200</v>
      </c>
      <c r="K26" s="37">
        <f t="shared" si="1"/>
        <v>-200</v>
      </c>
      <c r="L26" s="37">
        <f t="shared" si="1"/>
        <v>-200</v>
      </c>
      <c r="M26" s="37">
        <f t="shared" si="1"/>
        <v>-200</v>
      </c>
    </row>
    <row r="27" spans="1:13" x14ac:dyDescent="0.25">
      <c r="B27" s="12">
        <f t="shared" si="1"/>
        <v>0</v>
      </c>
      <c r="C27" s="12">
        <f t="shared" si="1"/>
        <v>0</v>
      </c>
      <c r="D27" s="12">
        <f t="shared" si="1"/>
        <v>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3" x14ac:dyDescent="0.25">
      <c r="B28" s="12">
        <f t="shared" si="1"/>
        <v>0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-251</v>
      </c>
      <c r="C36" s="11">
        <f t="shared" si="2"/>
        <v>-161</v>
      </c>
      <c r="D36" s="11">
        <f t="shared" si="2"/>
        <v>19</v>
      </c>
      <c r="E36" s="11">
        <f t="shared" si="2"/>
        <v>-1020</v>
      </c>
      <c r="F36" s="11">
        <f t="shared" si="2"/>
        <v>-1025</v>
      </c>
      <c r="G36" s="11">
        <f t="shared" si="2"/>
        <v>-1045</v>
      </c>
      <c r="H36" s="11">
        <f t="shared" si="2"/>
        <v>-500</v>
      </c>
      <c r="I36" s="11">
        <f t="shared" si="2"/>
        <v>-530</v>
      </c>
      <c r="J36" s="11">
        <f t="shared" si="2"/>
        <v>-1040</v>
      </c>
      <c r="K36" s="11">
        <f t="shared" si="2"/>
        <v>-1040</v>
      </c>
      <c r="L36" s="11">
        <f t="shared" si="2"/>
        <v>-1040</v>
      </c>
      <c r="M36" s="11">
        <f t="shared" si="2"/>
        <v>-960</v>
      </c>
    </row>
    <row r="37" spans="1:13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SUM(B40:B47)</f>
        <v>1005</v>
      </c>
      <c r="C39" s="1">
        <f t="shared" ref="C39:M39" si="3">SUM(C40:C47)</f>
        <v>1045</v>
      </c>
      <c r="D39" s="1">
        <f t="shared" si="3"/>
        <v>1045</v>
      </c>
      <c r="E39" s="1">
        <f t="shared" si="3"/>
        <v>1020</v>
      </c>
      <c r="F39" s="1">
        <f t="shared" si="3"/>
        <v>1025</v>
      </c>
      <c r="G39" s="1">
        <f t="shared" si="3"/>
        <v>1045</v>
      </c>
      <c r="H39" s="1">
        <f t="shared" si="3"/>
        <v>500</v>
      </c>
      <c r="I39" s="1">
        <f t="shared" si="3"/>
        <v>530</v>
      </c>
      <c r="J39" s="1">
        <f t="shared" si="3"/>
        <v>1040</v>
      </c>
      <c r="K39" s="1">
        <f t="shared" si="3"/>
        <v>1040</v>
      </c>
      <c r="L39" s="1">
        <f t="shared" si="3"/>
        <v>1040</v>
      </c>
      <c r="M39" s="1">
        <f t="shared" si="3"/>
        <v>960</v>
      </c>
    </row>
    <row r="40" spans="1:13" x14ac:dyDescent="0.25">
      <c r="A40" s="4" t="s">
        <v>47</v>
      </c>
      <c r="B40" s="4">
        <v>190</v>
      </c>
      <c r="C40" s="4">
        <v>190</v>
      </c>
      <c r="D40" s="4">
        <v>190</v>
      </c>
      <c r="E40" s="4">
        <v>190</v>
      </c>
      <c r="F40" s="4">
        <v>190</v>
      </c>
      <c r="G40" s="4">
        <v>190</v>
      </c>
      <c r="H40" s="4">
        <v>0</v>
      </c>
      <c r="I40" s="4">
        <v>190</v>
      </c>
      <c r="J40" s="4">
        <v>190</v>
      </c>
      <c r="K40" s="4">
        <v>190</v>
      </c>
      <c r="L40" s="4">
        <v>190</v>
      </c>
      <c r="M40" s="4">
        <v>190</v>
      </c>
    </row>
    <row r="41" spans="1:13" x14ac:dyDescent="0.25">
      <c r="A41" s="4" t="s">
        <v>48</v>
      </c>
      <c r="B41" s="4">
        <v>220</v>
      </c>
      <c r="C41" s="4">
        <v>230</v>
      </c>
      <c r="D41" s="4">
        <v>230</v>
      </c>
      <c r="E41" s="4">
        <v>220</v>
      </c>
      <c r="F41" s="4">
        <v>220</v>
      </c>
      <c r="G41" s="4">
        <v>230</v>
      </c>
      <c r="H41" s="4">
        <v>210</v>
      </c>
      <c r="I41" s="4">
        <v>0</v>
      </c>
      <c r="J41" s="4">
        <v>230</v>
      </c>
      <c r="K41" s="4">
        <v>230</v>
      </c>
      <c r="L41" s="4">
        <v>230</v>
      </c>
      <c r="M41" s="4">
        <v>190</v>
      </c>
    </row>
    <row r="42" spans="1:13" x14ac:dyDescent="0.25">
      <c r="A42" s="4" t="s">
        <v>49</v>
      </c>
      <c r="B42" s="4">
        <v>220</v>
      </c>
      <c r="C42" s="4">
        <v>230</v>
      </c>
      <c r="D42" s="4">
        <v>230</v>
      </c>
      <c r="E42" s="4">
        <v>220</v>
      </c>
      <c r="F42" s="4">
        <v>220</v>
      </c>
      <c r="G42" s="4">
        <v>230</v>
      </c>
      <c r="H42" s="4">
        <v>0</v>
      </c>
      <c r="I42" s="4">
        <v>230</v>
      </c>
      <c r="J42" s="4">
        <v>230</v>
      </c>
      <c r="K42" s="4">
        <v>230</v>
      </c>
      <c r="L42" s="4">
        <v>230</v>
      </c>
      <c r="M42" s="4">
        <v>200</v>
      </c>
    </row>
    <row r="43" spans="1:13" x14ac:dyDescent="0.25">
      <c r="A43" s="4" t="s">
        <v>50</v>
      </c>
      <c r="B43" s="4">
        <v>175</v>
      </c>
      <c r="C43" s="4">
        <v>195</v>
      </c>
      <c r="D43" s="4">
        <v>195</v>
      </c>
      <c r="E43" s="4">
        <v>190</v>
      </c>
      <c r="F43" s="4">
        <v>195</v>
      </c>
      <c r="G43" s="4">
        <v>195</v>
      </c>
      <c r="H43" s="4">
        <v>180</v>
      </c>
      <c r="I43" s="4">
        <v>0</v>
      </c>
      <c r="J43" s="4">
        <v>190</v>
      </c>
      <c r="K43" s="4">
        <v>190</v>
      </c>
      <c r="L43" s="4">
        <v>190</v>
      </c>
      <c r="M43" s="4">
        <v>180</v>
      </c>
    </row>
    <row r="44" spans="1:13" x14ac:dyDescent="0.25">
      <c r="A44" s="4" t="s">
        <v>1</v>
      </c>
      <c r="B44" s="4">
        <v>200</v>
      </c>
      <c r="C44" s="4">
        <v>200</v>
      </c>
      <c r="D44" s="4">
        <v>200</v>
      </c>
      <c r="E44" s="4">
        <v>200</v>
      </c>
      <c r="F44" s="4">
        <v>200</v>
      </c>
      <c r="G44" s="4">
        <v>200</v>
      </c>
      <c r="H44" s="4">
        <v>110</v>
      </c>
      <c r="I44" s="4">
        <v>110</v>
      </c>
      <c r="J44" s="4">
        <v>200</v>
      </c>
      <c r="K44" s="4">
        <v>200</v>
      </c>
      <c r="L44" s="4">
        <v>200</v>
      </c>
      <c r="M44" s="4">
        <v>200</v>
      </c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B783-2E34-4C01-848E-CF889B0D887D}">
  <dimension ref="A1:M53"/>
  <sheetViews>
    <sheetView zoomScaleNormal="100" workbookViewId="0">
      <selection activeCell="D10" sqref="D10"/>
    </sheetView>
  </sheetViews>
  <sheetFormatPr defaultColWidth="9.28515625" defaultRowHeight="15" x14ac:dyDescent="0.25"/>
  <cols>
    <col min="1" max="1" width="31.5703125" style="2" bestFit="1" customWidth="1"/>
    <col min="2" max="3" width="11.7109375" style="2" bestFit="1" customWidth="1"/>
    <col min="4" max="7" width="9.42578125" style="2" bestFit="1" customWidth="1"/>
    <col min="8" max="8" width="9.28515625" style="2" bestFit="1" customWidth="1"/>
    <col min="9" max="12" width="9.42578125" style="2" bestFit="1" customWidth="1"/>
    <col min="13" max="13" width="11.28515625" style="2" bestFit="1" customWidth="1"/>
    <col min="14" max="16384" width="9.28515625" style="2"/>
  </cols>
  <sheetData>
    <row r="1" spans="1:13" x14ac:dyDescent="0.25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s="2" t="s">
        <v>51</v>
      </c>
      <c r="B4" s="10">
        <v>186</v>
      </c>
      <c r="C4" s="10">
        <v>206</v>
      </c>
      <c r="D4" s="10">
        <v>165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2" t="s">
        <v>50</v>
      </c>
      <c r="B5" s="10">
        <v>170</v>
      </c>
      <c r="C5" s="10">
        <v>144</v>
      </c>
      <c r="D5" s="10">
        <v>186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2" t="s">
        <v>52</v>
      </c>
      <c r="B6" s="10">
        <v>151</v>
      </c>
      <c r="C6" s="10">
        <v>163</v>
      </c>
      <c r="D6" s="10">
        <v>216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2" t="s">
        <v>53</v>
      </c>
      <c r="B7" s="10">
        <v>211</v>
      </c>
      <c r="C7" s="10">
        <v>232</v>
      </c>
      <c r="D7" s="10">
        <v>202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2" t="s">
        <v>54</v>
      </c>
      <c r="B8" s="10">
        <v>88</v>
      </c>
      <c r="C8" s="10">
        <v>103</v>
      </c>
      <c r="D8" s="10">
        <v>110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2" t="s">
        <v>55</v>
      </c>
      <c r="B9" s="10">
        <v>88</v>
      </c>
      <c r="C9" s="10">
        <v>114</v>
      </c>
      <c r="D9" s="10">
        <v>124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894</v>
      </c>
      <c r="C18" s="11">
        <f t="shared" si="0"/>
        <v>962</v>
      </c>
      <c r="D18" s="11">
        <f t="shared" si="0"/>
        <v>1003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19" spans="1:13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s="2" t="s">
        <v>51</v>
      </c>
      <c r="B22" s="12">
        <f t="shared" ref="B22:M22" si="1">SUM(B4-B40)</f>
        <v>-6</v>
      </c>
      <c r="C22" s="12">
        <f t="shared" si="1"/>
        <v>14</v>
      </c>
      <c r="D22" s="12">
        <f t="shared" si="1"/>
        <v>-27</v>
      </c>
      <c r="E22" s="12">
        <f t="shared" si="1"/>
        <v>-192</v>
      </c>
      <c r="F22" s="12">
        <f t="shared" si="1"/>
        <v>-192</v>
      </c>
      <c r="G22" s="12">
        <f t="shared" si="1"/>
        <v>-150</v>
      </c>
      <c r="H22" s="12">
        <f t="shared" si="1"/>
        <v>-100</v>
      </c>
      <c r="I22" s="12">
        <f t="shared" si="1"/>
        <v>-100</v>
      </c>
      <c r="J22" s="12">
        <f t="shared" si="1"/>
        <v>-192</v>
      </c>
      <c r="K22" s="12">
        <f t="shared" si="1"/>
        <v>-192</v>
      </c>
      <c r="L22" s="12">
        <f t="shared" si="1"/>
        <v>-192</v>
      </c>
      <c r="M22" s="12">
        <f t="shared" si="1"/>
        <v>-165</v>
      </c>
    </row>
    <row r="23" spans="1:13" x14ac:dyDescent="0.25">
      <c r="A23" s="2" t="s">
        <v>50</v>
      </c>
      <c r="B23" s="12">
        <f t="shared" ref="B23:M35" si="2">SUM(B5-B41)</f>
        <v>0</v>
      </c>
      <c r="C23" s="12">
        <f t="shared" si="2"/>
        <v>-46</v>
      </c>
      <c r="D23" s="12">
        <f t="shared" si="2"/>
        <v>-9</v>
      </c>
      <c r="E23" s="12">
        <f t="shared" si="2"/>
        <v>-190</v>
      </c>
      <c r="F23" s="12">
        <f t="shared" si="2"/>
        <v>-190</v>
      </c>
      <c r="G23" s="12">
        <f t="shared" si="2"/>
        <v>-190</v>
      </c>
      <c r="H23" s="12">
        <f t="shared" si="2"/>
        <v>-90</v>
      </c>
      <c r="I23" s="12">
        <f t="shared" si="2"/>
        <v>-90</v>
      </c>
      <c r="J23" s="12">
        <f t="shared" si="2"/>
        <v>-190</v>
      </c>
      <c r="K23" s="12">
        <f t="shared" si="2"/>
        <v>-190</v>
      </c>
      <c r="L23" s="12">
        <f t="shared" si="2"/>
        <v>-190</v>
      </c>
      <c r="M23" s="12">
        <f t="shared" si="2"/>
        <v>-165</v>
      </c>
    </row>
    <row r="24" spans="1:13" x14ac:dyDescent="0.25">
      <c r="A24" s="2" t="s">
        <v>52</v>
      </c>
      <c r="B24" s="12">
        <f t="shared" si="2"/>
        <v>-64</v>
      </c>
      <c r="C24" s="12">
        <f t="shared" si="2"/>
        <v>-57</v>
      </c>
      <c r="D24" s="12">
        <f t="shared" si="2"/>
        <v>-24</v>
      </c>
      <c r="E24" s="12">
        <f t="shared" si="2"/>
        <v>-240</v>
      </c>
      <c r="F24" s="12">
        <f t="shared" si="2"/>
        <v>-240</v>
      </c>
      <c r="G24" s="12">
        <f t="shared" si="2"/>
        <v>-230</v>
      </c>
      <c r="H24" s="12">
        <f t="shared" si="2"/>
        <v>-60</v>
      </c>
      <c r="I24" s="12">
        <f t="shared" si="2"/>
        <v>-120</v>
      </c>
      <c r="J24" s="12">
        <f t="shared" si="2"/>
        <v>-240</v>
      </c>
      <c r="K24" s="12">
        <f t="shared" si="2"/>
        <v>-240</v>
      </c>
      <c r="L24" s="12">
        <f t="shared" si="2"/>
        <v>-240</v>
      </c>
      <c r="M24" s="12">
        <f t="shared" si="2"/>
        <v>-200</v>
      </c>
    </row>
    <row r="25" spans="1:13" x14ac:dyDescent="0.25">
      <c r="A25" s="2" t="s">
        <v>53</v>
      </c>
      <c r="B25" s="12">
        <f t="shared" si="2"/>
        <v>51</v>
      </c>
      <c r="C25" s="12">
        <f t="shared" si="2"/>
        <v>-8</v>
      </c>
      <c r="D25" s="12">
        <f t="shared" si="2"/>
        <v>-38</v>
      </c>
      <c r="E25" s="12">
        <f t="shared" si="2"/>
        <v>-240</v>
      </c>
      <c r="F25" s="12">
        <f t="shared" si="2"/>
        <v>-240</v>
      </c>
      <c r="G25" s="12">
        <f t="shared" si="2"/>
        <v>-120</v>
      </c>
      <c r="H25" s="12">
        <f t="shared" si="2"/>
        <v>-120</v>
      </c>
      <c r="I25" s="12">
        <f t="shared" si="2"/>
        <v>-120</v>
      </c>
      <c r="J25" s="12">
        <f t="shared" si="2"/>
        <v>-240</v>
      </c>
      <c r="K25" s="12">
        <f t="shared" si="2"/>
        <v>-240</v>
      </c>
      <c r="L25" s="12">
        <f t="shared" si="2"/>
        <v>-240</v>
      </c>
      <c r="M25" s="12">
        <f t="shared" si="2"/>
        <v>-190</v>
      </c>
    </row>
    <row r="26" spans="1:13" x14ac:dyDescent="0.25">
      <c r="A26" s="2" t="s">
        <v>54</v>
      </c>
      <c r="B26" s="12">
        <f t="shared" si="2"/>
        <v>-72</v>
      </c>
      <c r="C26" s="12">
        <f t="shared" si="2"/>
        <v>-67</v>
      </c>
      <c r="D26" s="12">
        <f t="shared" si="2"/>
        <v>-70</v>
      </c>
      <c r="E26" s="12">
        <f t="shared" si="2"/>
        <v>-180</v>
      </c>
      <c r="F26" s="12">
        <f t="shared" si="2"/>
        <v>-180</v>
      </c>
      <c r="G26" s="12">
        <f t="shared" si="2"/>
        <v>-130</v>
      </c>
      <c r="H26" s="12">
        <f t="shared" si="2"/>
        <v>-90</v>
      </c>
      <c r="I26" s="12">
        <f t="shared" si="2"/>
        <v>-130</v>
      </c>
      <c r="J26" s="12">
        <f t="shared" si="2"/>
        <v>-180</v>
      </c>
      <c r="K26" s="12">
        <f t="shared" si="2"/>
        <v>-180</v>
      </c>
      <c r="L26" s="12">
        <f t="shared" si="2"/>
        <v>-180</v>
      </c>
      <c r="M26" s="12">
        <f t="shared" si="2"/>
        <v>-150</v>
      </c>
    </row>
    <row r="27" spans="1:13" x14ac:dyDescent="0.25">
      <c r="A27" s="2" t="s">
        <v>55</v>
      </c>
      <c r="B27" s="12">
        <f t="shared" si="2"/>
        <v>-2</v>
      </c>
      <c r="C27" s="12">
        <f t="shared" si="2"/>
        <v>-6</v>
      </c>
      <c r="D27" s="12">
        <f t="shared" si="2"/>
        <v>-26</v>
      </c>
      <c r="E27" s="12">
        <f t="shared" si="2"/>
        <v>-190</v>
      </c>
      <c r="F27" s="12">
        <f t="shared" si="2"/>
        <v>-200</v>
      </c>
      <c r="G27" s="12">
        <f t="shared" si="2"/>
        <v>-200</v>
      </c>
      <c r="H27" s="12">
        <f t="shared" si="2"/>
        <v>-100</v>
      </c>
      <c r="I27" s="12">
        <f t="shared" si="2"/>
        <v>-100</v>
      </c>
      <c r="J27" s="12">
        <f t="shared" si="2"/>
        <v>-210</v>
      </c>
      <c r="K27" s="12">
        <f t="shared" si="2"/>
        <v>-210</v>
      </c>
      <c r="L27" s="12">
        <f t="shared" si="2"/>
        <v>-210</v>
      </c>
      <c r="M27" s="12">
        <f t="shared" si="2"/>
        <v>-180</v>
      </c>
    </row>
    <row r="28" spans="1:13" x14ac:dyDescent="0.25">
      <c r="B28" s="12">
        <f t="shared" si="2"/>
        <v>0</v>
      </c>
      <c r="C28" s="12">
        <f t="shared" si="2"/>
        <v>0</v>
      </c>
      <c r="D28" s="12">
        <f t="shared" si="2"/>
        <v>0</v>
      </c>
      <c r="E28" s="12">
        <f t="shared" si="2"/>
        <v>0</v>
      </c>
      <c r="F28" s="12">
        <f t="shared" si="2"/>
        <v>0</v>
      </c>
      <c r="G28" s="12">
        <f t="shared" si="2"/>
        <v>0</v>
      </c>
      <c r="H28" s="12">
        <f t="shared" si="2"/>
        <v>0</v>
      </c>
      <c r="I28" s="12">
        <f t="shared" si="2"/>
        <v>0</v>
      </c>
      <c r="J28" s="12">
        <f t="shared" si="2"/>
        <v>0</v>
      </c>
      <c r="K28" s="12">
        <f t="shared" si="2"/>
        <v>0</v>
      </c>
      <c r="L28" s="12">
        <f t="shared" si="2"/>
        <v>0</v>
      </c>
      <c r="M28" s="12">
        <f t="shared" si="2"/>
        <v>0</v>
      </c>
    </row>
    <row r="29" spans="1:13" x14ac:dyDescent="0.25">
      <c r="B29" s="12">
        <f t="shared" si="2"/>
        <v>0</v>
      </c>
      <c r="C29" s="12">
        <f t="shared" si="2"/>
        <v>0</v>
      </c>
      <c r="D29" s="12">
        <f t="shared" si="2"/>
        <v>0</v>
      </c>
      <c r="E29" s="12">
        <f t="shared" si="2"/>
        <v>0</v>
      </c>
      <c r="F29" s="12">
        <f t="shared" si="2"/>
        <v>0</v>
      </c>
      <c r="G29" s="12">
        <f t="shared" si="2"/>
        <v>0</v>
      </c>
      <c r="H29" s="12">
        <f t="shared" si="2"/>
        <v>0</v>
      </c>
      <c r="I29" s="12">
        <f t="shared" si="2"/>
        <v>0</v>
      </c>
      <c r="J29" s="12">
        <f t="shared" si="2"/>
        <v>0</v>
      </c>
      <c r="K29" s="12">
        <f t="shared" si="2"/>
        <v>0</v>
      </c>
      <c r="L29" s="12">
        <f t="shared" si="2"/>
        <v>0</v>
      </c>
      <c r="M29" s="12">
        <f t="shared" si="2"/>
        <v>0</v>
      </c>
    </row>
    <row r="30" spans="1:13" x14ac:dyDescent="0.25">
      <c r="B30" s="12">
        <f t="shared" si="2"/>
        <v>0</v>
      </c>
      <c r="C30" s="12">
        <f t="shared" si="2"/>
        <v>0</v>
      </c>
      <c r="D30" s="12">
        <f t="shared" si="2"/>
        <v>0</v>
      </c>
      <c r="E30" s="12">
        <f t="shared" si="2"/>
        <v>0</v>
      </c>
      <c r="F30" s="12">
        <f t="shared" si="2"/>
        <v>0</v>
      </c>
      <c r="G30" s="12">
        <f t="shared" si="2"/>
        <v>0</v>
      </c>
      <c r="H30" s="12">
        <f t="shared" si="2"/>
        <v>0</v>
      </c>
      <c r="I30" s="12">
        <f t="shared" si="2"/>
        <v>0</v>
      </c>
      <c r="J30" s="12">
        <f t="shared" si="2"/>
        <v>0</v>
      </c>
      <c r="K30" s="12">
        <f t="shared" si="2"/>
        <v>0</v>
      </c>
      <c r="L30" s="12">
        <f t="shared" si="2"/>
        <v>0</v>
      </c>
      <c r="M30" s="12">
        <f t="shared" si="2"/>
        <v>0</v>
      </c>
    </row>
    <row r="31" spans="1:13" x14ac:dyDescent="0.25">
      <c r="B31" s="12">
        <f t="shared" si="2"/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2">
        <f t="shared" si="2"/>
        <v>0</v>
      </c>
      <c r="H31" s="12">
        <f t="shared" si="2"/>
        <v>0</v>
      </c>
      <c r="I31" s="12">
        <f t="shared" si="2"/>
        <v>0</v>
      </c>
      <c r="J31" s="12">
        <f t="shared" si="2"/>
        <v>0</v>
      </c>
      <c r="K31" s="12">
        <f t="shared" si="2"/>
        <v>0</v>
      </c>
      <c r="L31" s="12">
        <f t="shared" si="2"/>
        <v>0</v>
      </c>
      <c r="M31" s="12">
        <f t="shared" si="2"/>
        <v>0</v>
      </c>
    </row>
    <row r="32" spans="1:13" x14ac:dyDescent="0.25">
      <c r="B32" s="12">
        <f t="shared" si="2"/>
        <v>0</v>
      </c>
      <c r="C32" s="12">
        <f t="shared" si="2"/>
        <v>0</v>
      </c>
      <c r="D32" s="12">
        <f t="shared" si="2"/>
        <v>0</v>
      </c>
      <c r="E32" s="12">
        <f t="shared" si="2"/>
        <v>0</v>
      </c>
      <c r="F32" s="12">
        <f t="shared" si="2"/>
        <v>0</v>
      </c>
      <c r="G32" s="12">
        <f t="shared" si="2"/>
        <v>0</v>
      </c>
      <c r="H32" s="12">
        <f t="shared" si="2"/>
        <v>0</v>
      </c>
      <c r="I32" s="12">
        <f t="shared" si="2"/>
        <v>0</v>
      </c>
      <c r="J32" s="12">
        <f t="shared" si="2"/>
        <v>0</v>
      </c>
      <c r="K32" s="12">
        <f t="shared" si="2"/>
        <v>0</v>
      </c>
      <c r="L32" s="12">
        <f t="shared" si="2"/>
        <v>0</v>
      </c>
      <c r="M32" s="12">
        <f t="shared" si="2"/>
        <v>0</v>
      </c>
    </row>
    <row r="33" spans="1:13" x14ac:dyDescent="0.25">
      <c r="B33" s="12">
        <f t="shared" si="2"/>
        <v>0</v>
      </c>
      <c r="C33" s="12">
        <f t="shared" si="2"/>
        <v>0</v>
      </c>
      <c r="D33" s="12">
        <f t="shared" si="2"/>
        <v>0</v>
      </c>
      <c r="E33" s="12">
        <f t="shared" si="2"/>
        <v>0</v>
      </c>
      <c r="F33" s="12">
        <f t="shared" si="2"/>
        <v>0</v>
      </c>
      <c r="G33" s="12">
        <f t="shared" si="2"/>
        <v>0</v>
      </c>
      <c r="H33" s="12">
        <f t="shared" si="2"/>
        <v>0</v>
      </c>
      <c r="I33" s="12">
        <f t="shared" si="2"/>
        <v>0</v>
      </c>
      <c r="J33" s="12">
        <f t="shared" si="2"/>
        <v>0</v>
      </c>
      <c r="K33" s="12">
        <f t="shared" si="2"/>
        <v>0</v>
      </c>
      <c r="L33" s="12">
        <f t="shared" si="2"/>
        <v>0</v>
      </c>
      <c r="M33" s="12">
        <f t="shared" si="2"/>
        <v>0</v>
      </c>
    </row>
    <row r="34" spans="1:13" x14ac:dyDescent="0.25">
      <c r="B34" s="12">
        <f t="shared" si="2"/>
        <v>0</v>
      </c>
      <c r="C34" s="12">
        <f t="shared" si="2"/>
        <v>0</v>
      </c>
      <c r="D34" s="12">
        <f t="shared" si="2"/>
        <v>0</v>
      </c>
      <c r="E34" s="12">
        <f t="shared" si="2"/>
        <v>0</v>
      </c>
      <c r="F34" s="12">
        <f t="shared" si="2"/>
        <v>0</v>
      </c>
      <c r="G34" s="12">
        <f t="shared" si="2"/>
        <v>0</v>
      </c>
      <c r="H34" s="12">
        <f t="shared" si="2"/>
        <v>0</v>
      </c>
      <c r="I34" s="12">
        <f t="shared" si="2"/>
        <v>0</v>
      </c>
      <c r="J34" s="12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</row>
    <row r="35" spans="1:13" ht="15.75" thickBot="1" x14ac:dyDescent="0.3">
      <c r="B35" s="12">
        <f t="shared" si="2"/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</row>
    <row r="36" spans="1:13" ht="15.75" thickBot="1" x14ac:dyDescent="0.3">
      <c r="B36" s="11">
        <f t="shared" ref="B36" si="3">SUM(B22:B35)</f>
        <v>-93</v>
      </c>
      <c r="C36" s="11">
        <f t="shared" ref="C36:M36" si="4">SUM(C22:C35)</f>
        <v>-170</v>
      </c>
      <c r="D36" s="11">
        <f t="shared" si="4"/>
        <v>-194</v>
      </c>
      <c r="E36" s="11">
        <f t="shared" si="4"/>
        <v>-1232</v>
      </c>
      <c r="F36" s="11">
        <f t="shared" si="4"/>
        <v>-1242</v>
      </c>
      <c r="G36" s="11">
        <f t="shared" si="4"/>
        <v>-1020</v>
      </c>
      <c r="H36" s="11">
        <f t="shared" si="4"/>
        <v>-560</v>
      </c>
      <c r="I36" s="11">
        <f t="shared" si="4"/>
        <v>-660</v>
      </c>
      <c r="J36" s="11">
        <f t="shared" si="4"/>
        <v>-1252</v>
      </c>
      <c r="K36" s="11">
        <f t="shared" si="4"/>
        <v>-1252</v>
      </c>
      <c r="L36" s="11">
        <f t="shared" si="4"/>
        <v>-1252</v>
      </c>
      <c r="M36" s="11">
        <f t="shared" si="4"/>
        <v>-1050</v>
      </c>
    </row>
    <row r="37" spans="1:13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SUM(B40:B53)</f>
        <v>987</v>
      </c>
      <c r="C39" s="1">
        <f t="shared" ref="C39:M39" si="5">SUM(C40:C53)</f>
        <v>1132</v>
      </c>
      <c r="D39" s="1">
        <f t="shared" si="5"/>
        <v>1197</v>
      </c>
      <c r="E39" s="1">
        <f t="shared" si="5"/>
        <v>1232</v>
      </c>
      <c r="F39" s="1">
        <f t="shared" si="5"/>
        <v>1242</v>
      </c>
      <c r="G39" s="1">
        <f t="shared" si="5"/>
        <v>1020</v>
      </c>
      <c r="H39" s="1">
        <f t="shared" si="5"/>
        <v>560</v>
      </c>
      <c r="I39" s="1">
        <f t="shared" si="5"/>
        <v>660</v>
      </c>
      <c r="J39" s="1">
        <f t="shared" si="5"/>
        <v>1252</v>
      </c>
      <c r="K39" s="1">
        <f t="shared" si="5"/>
        <v>1252</v>
      </c>
      <c r="L39" s="1">
        <f t="shared" si="5"/>
        <v>1252</v>
      </c>
      <c r="M39" s="1">
        <f t="shared" si="5"/>
        <v>1050</v>
      </c>
    </row>
    <row r="40" spans="1:13" x14ac:dyDescent="0.25">
      <c r="A40" s="4" t="s">
        <v>51</v>
      </c>
      <c r="B40" s="4">
        <v>192</v>
      </c>
      <c r="C40" s="4">
        <v>192</v>
      </c>
      <c r="D40" s="4">
        <v>192</v>
      </c>
      <c r="E40" s="4">
        <v>192</v>
      </c>
      <c r="F40" s="4">
        <v>192</v>
      </c>
      <c r="G40" s="4">
        <v>150</v>
      </c>
      <c r="H40" s="4">
        <v>100</v>
      </c>
      <c r="I40" s="4">
        <v>100</v>
      </c>
      <c r="J40" s="4">
        <v>192</v>
      </c>
      <c r="K40" s="4">
        <v>192</v>
      </c>
      <c r="L40" s="4">
        <v>192</v>
      </c>
      <c r="M40" s="4">
        <v>165</v>
      </c>
    </row>
    <row r="41" spans="1:13" x14ac:dyDescent="0.25">
      <c r="A41" s="4" t="s">
        <v>50</v>
      </c>
      <c r="B41" s="4">
        <v>170</v>
      </c>
      <c r="C41" s="4">
        <v>190</v>
      </c>
      <c r="D41" s="4">
        <v>195</v>
      </c>
      <c r="E41" s="4">
        <v>190</v>
      </c>
      <c r="F41" s="4">
        <v>190</v>
      </c>
      <c r="G41" s="4">
        <v>190</v>
      </c>
      <c r="H41" s="4">
        <v>90</v>
      </c>
      <c r="I41" s="4">
        <v>90</v>
      </c>
      <c r="J41" s="4">
        <v>190</v>
      </c>
      <c r="K41" s="4">
        <v>190</v>
      </c>
      <c r="L41" s="4">
        <v>190</v>
      </c>
      <c r="M41" s="4">
        <v>165</v>
      </c>
    </row>
    <row r="42" spans="1:13" x14ac:dyDescent="0.25">
      <c r="A42" s="4" t="s">
        <v>52</v>
      </c>
      <c r="B42" s="4">
        <v>215</v>
      </c>
      <c r="C42" s="4">
        <v>220</v>
      </c>
      <c r="D42" s="4">
        <v>240</v>
      </c>
      <c r="E42" s="4">
        <v>240</v>
      </c>
      <c r="F42" s="4">
        <v>240</v>
      </c>
      <c r="G42" s="4">
        <v>230</v>
      </c>
      <c r="H42" s="4">
        <v>60</v>
      </c>
      <c r="I42" s="4">
        <v>120</v>
      </c>
      <c r="J42" s="4">
        <v>240</v>
      </c>
      <c r="K42" s="4">
        <v>240</v>
      </c>
      <c r="L42" s="4">
        <v>240</v>
      </c>
      <c r="M42" s="4">
        <v>200</v>
      </c>
    </row>
    <row r="43" spans="1:13" x14ac:dyDescent="0.25">
      <c r="A43" s="4" t="s">
        <v>53</v>
      </c>
      <c r="B43" s="4">
        <v>160</v>
      </c>
      <c r="C43" s="4">
        <v>240</v>
      </c>
      <c r="D43" s="4">
        <v>240</v>
      </c>
      <c r="E43" s="4">
        <v>240</v>
      </c>
      <c r="F43" s="4">
        <v>240</v>
      </c>
      <c r="G43" s="4">
        <v>120</v>
      </c>
      <c r="H43" s="4">
        <v>120</v>
      </c>
      <c r="I43" s="4">
        <v>120</v>
      </c>
      <c r="J43" s="4">
        <v>240</v>
      </c>
      <c r="K43" s="4">
        <v>240</v>
      </c>
      <c r="L43" s="4">
        <v>240</v>
      </c>
      <c r="M43" s="4">
        <v>190</v>
      </c>
    </row>
    <row r="44" spans="1:13" x14ac:dyDescent="0.25">
      <c r="A44" s="4" t="s">
        <v>54</v>
      </c>
      <c r="B44" s="4">
        <v>160</v>
      </c>
      <c r="C44" s="4">
        <v>170</v>
      </c>
      <c r="D44" s="4">
        <v>180</v>
      </c>
      <c r="E44" s="4">
        <v>180</v>
      </c>
      <c r="F44" s="4">
        <v>180</v>
      </c>
      <c r="G44" s="4">
        <v>130</v>
      </c>
      <c r="H44" s="4">
        <v>90</v>
      </c>
      <c r="I44" s="4">
        <v>130</v>
      </c>
      <c r="J44" s="4">
        <v>180</v>
      </c>
      <c r="K44" s="4">
        <v>180</v>
      </c>
      <c r="L44" s="4">
        <v>180</v>
      </c>
      <c r="M44" s="4">
        <v>150</v>
      </c>
    </row>
    <row r="45" spans="1:13" x14ac:dyDescent="0.25">
      <c r="A45" s="4" t="s">
        <v>55</v>
      </c>
      <c r="B45" s="4">
        <v>90</v>
      </c>
      <c r="C45" s="4">
        <v>120</v>
      </c>
      <c r="D45" s="4">
        <v>150</v>
      </c>
      <c r="E45" s="4">
        <v>190</v>
      </c>
      <c r="F45" s="4">
        <v>200</v>
      </c>
      <c r="G45" s="4">
        <v>200</v>
      </c>
      <c r="H45" s="4">
        <v>100</v>
      </c>
      <c r="I45" s="4">
        <v>100</v>
      </c>
      <c r="J45" s="4">
        <v>210</v>
      </c>
      <c r="K45" s="4">
        <v>210</v>
      </c>
      <c r="L45" s="4">
        <v>210</v>
      </c>
      <c r="M45" s="4">
        <v>180</v>
      </c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zoomScaleNormal="100" workbookViewId="0">
      <selection activeCell="D8" sqref="D8"/>
    </sheetView>
  </sheetViews>
  <sheetFormatPr defaultRowHeight="15" x14ac:dyDescent="0.25"/>
  <cols>
    <col min="1" max="1" width="32.28515625" bestFit="1" customWidth="1"/>
    <col min="2" max="4" width="11" bestFit="1" customWidth="1"/>
    <col min="14" max="14" width="58.28515625" customWidth="1"/>
  </cols>
  <sheetData>
    <row r="1" spans="1:14" s="2" customFormat="1" x14ac:dyDescent="0.25">
      <c r="A1" s="5" t="s">
        <v>3</v>
      </c>
      <c r="B1" s="6">
        <v>46081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4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4" s="2" customFormat="1" ht="17.25" x14ac:dyDescent="0.4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4" t="s">
        <v>25</v>
      </c>
    </row>
    <row r="4" spans="1:14" x14ac:dyDescent="0.25">
      <c r="A4" t="s">
        <v>35</v>
      </c>
      <c r="B4" s="10">
        <v>101</v>
      </c>
      <c r="C4" s="10">
        <v>140</v>
      </c>
      <c r="D4" s="10">
        <v>145</v>
      </c>
      <c r="E4" s="10"/>
      <c r="F4" s="10"/>
      <c r="G4" s="10"/>
      <c r="H4" s="10"/>
      <c r="I4" s="10"/>
      <c r="J4" s="10"/>
      <c r="K4" s="10"/>
      <c r="L4" s="10"/>
      <c r="M4" s="10"/>
      <c r="N4" s="35"/>
    </row>
    <row r="5" spans="1:14" x14ac:dyDescent="0.25">
      <c r="A5" t="s">
        <v>36</v>
      </c>
      <c r="B5" s="10">
        <v>167</v>
      </c>
      <c r="C5" s="10">
        <v>171</v>
      </c>
      <c r="D5" s="10">
        <v>187</v>
      </c>
      <c r="E5" s="10"/>
      <c r="F5" s="10"/>
      <c r="G5" s="10"/>
      <c r="H5" s="10"/>
      <c r="I5" s="10"/>
      <c r="J5" s="10"/>
      <c r="K5" s="10"/>
      <c r="L5" s="10"/>
      <c r="M5" s="10"/>
      <c r="N5" s="35"/>
    </row>
    <row r="6" spans="1:14" x14ac:dyDescent="0.25">
      <c r="A6" t="s">
        <v>37</v>
      </c>
      <c r="B6" s="10">
        <v>111</v>
      </c>
      <c r="C6" s="10">
        <v>54</v>
      </c>
      <c r="D6" s="10">
        <v>202</v>
      </c>
      <c r="E6" s="10"/>
      <c r="F6" s="10"/>
      <c r="G6" s="10"/>
      <c r="H6" s="10"/>
      <c r="I6" s="10"/>
      <c r="J6" s="10"/>
      <c r="K6" s="10"/>
      <c r="L6" s="10"/>
      <c r="M6" s="10"/>
    </row>
    <row r="7" spans="1:14" x14ac:dyDescent="0.25">
      <c r="A7" t="s">
        <v>38</v>
      </c>
      <c r="B7" s="10">
        <v>99</v>
      </c>
      <c r="C7" s="10">
        <v>167</v>
      </c>
      <c r="D7" s="10">
        <v>251</v>
      </c>
      <c r="E7" s="10"/>
      <c r="F7" s="10"/>
      <c r="G7" s="10"/>
      <c r="H7" s="10"/>
      <c r="I7" s="10"/>
      <c r="J7" s="10"/>
      <c r="K7" s="10"/>
      <c r="L7" s="10"/>
      <c r="M7" s="10"/>
    </row>
    <row r="8" spans="1:14" x14ac:dyDescent="0.25">
      <c r="A8" t="s">
        <v>39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4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4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4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4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4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4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4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4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4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4" ht="15.75" thickBot="1" x14ac:dyDescent="0.3">
      <c r="B18" s="11">
        <f t="shared" ref="B18:M18" si="0">SUM(B4:B17)</f>
        <v>478</v>
      </c>
      <c r="C18" s="11">
        <f t="shared" si="0"/>
        <v>532</v>
      </c>
      <c r="D18" s="11">
        <f t="shared" si="0"/>
        <v>785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4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4" ht="17.25" x14ac:dyDescent="0.4">
      <c r="B21" s="36" t="s">
        <v>26</v>
      </c>
      <c r="C21" s="36" t="s">
        <v>26</v>
      </c>
      <c r="D21" s="36" t="s">
        <v>26</v>
      </c>
      <c r="E21" s="36" t="s">
        <v>26</v>
      </c>
      <c r="F21" s="36" t="s">
        <v>26</v>
      </c>
      <c r="G21" s="36" t="s">
        <v>26</v>
      </c>
      <c r="H21" s="36" t="s">
        <v>26</v>
      </c>
      <c r="I21" s="36" t="s">
        <v>26</v>
      </c>
      <c r="J21" s="36" t="s">
        <v>26</v>
      </c>
      <c r="K21" s="36" t="s">
        <v>26</v>
      </c>
      <c r="L21" s="36" t="s">
        <v>26</v>
      </c>
      <c r="M21" s="36" t="s">
        <v>26</v>
      </c>
      <c r="N21" s="34" t="s">
        <v>25</v>
      </c>
    </row>
    <row r="22" spans="1:14" x14ac:dyDescent="0.25">
      <c r="A22" t="s">
        <v>35</v>
      </c>
      <c r="B22" s="12">
        <f t="shared" ref="B22:M35" si="1">SUM(B4-B40)</f>
        <v>1</v>
      </c>
      <c r="C22" s="12">
        <f t="shared" si="1"/>
        <v>40</v>
      </c>
      <c r="D22" s="12">
        <f t="shared" si="1"/>
        <v>95</v>
      </c>
      <c r="E22" s="12">
        <f t="shared" si="1"/>
        <v>-40</v>
      </c>
      <c r="F22" s="12">
        <f t="shared" si="1"/>
        <v>-50</v>
      </c>
      <c r="G22" s="12">
        <f t="shared" si="1"/>
        <v>-140</v>
      </c>
      <c r="H22" s="12">
        <f t="shared" si="1"/>
        <v>-200</v>
      </c>
      <c r="I22" s="12">
        <f t="shared" si="1"/>
        <v>-200</v>
      </c>
      <c r="J22" s="12">
        <f t="shared" si="1"/>
        <v>-100</v>
      </c>
      <c r="K22" s="12">
        <f t="shared" si="1"/>
        <v>-100</v>
      </c>
      <c r="L22" s="12">
        <f t="shared" si="1"/>
        <v>-100</v>
      </c>
      <c r="M22" s="12">
        <f t="shared" si="1"/>
        <v>-70</v>
      </c>
    </row>
    <row r="23" spans="1:14" x14ac:dyDescent="0.25">
      <c r="A23" t="s">
        <v>36</v>
      </c>
      <c r="B23" s="12">
        <f t="shared" si="1"/>
        <v>-43</v>
      </c>
      <c r="C23" s="12">
        <f t="shared" si="1"/>
        <v>-69</v>
      </c>
      <c r="D23" s="12">
        <f t="shared" si="1"/>
        <v>-53</v>
      </c>
      <c r="E23" s="12">
        <f t="shared" si="1"/>
        <v>-220</v>
      </c>
      <c r="F23" s="12">
        <f t="shared" si="1"/>
        <v>-220</v>
      </c>
      <c r="G23" s="12">
        <f t="shared" si="1"/>
        <v>-220</v>
      </c>
      <c r="H23" s="12">
        <f t="shared" si="1"/>
        <v>-240</v>
      </c>
      <c r="I23" s="12">
        <f t="shared" si="1"/>
        <v>0</v>
      </c>
      <c r="J23" s="12">
        <f t="shared" si="1"/>
        <v>-200</v>
      </c>
      <c r="K23" s="12">
        <f t="shared" si="1"/>
        <v>-200</v>
      </c>
      <c r="L23" s="12">
        <f t="shared" si="1"/>
        <v>-200</v>
      </c>
      <c r="M23" s="12">
        <f t="shared" si="1"/>
        <v>-170</v>
      </c>
    </row>
    <row r="24" spans="1:14" x14ac:dyDescent="0.25">
      <c r="A24" t="s">
        <v>37</v>
      </c>
      <c r="B24" s="12">
        <f t="shared" si="1"/>
        <v>11</v>
      </c>
      <c r="C24" s="12">
        <f t="shared" si="1"/>
        <v>-66</v>
      </c>
      <c r="D24" s="12">
        <f t="shared" si="1"/>
        <v>-38</v>
      </c>
      <c r="E24" s="12">
        <f t="shared" si="1"/>
        <v>-210</v>
      </c>
      <c r="F24" s="12">
        <f t="shared" si="1"/>
        <v>-210</v>
      </c>
      <c r="G24" s="12">
        <f t="shared" si="1"/>
        <v>-200</v>
      </c>
      <c r="H24" s="12">
        <f t="shared" si="1"/>
        <v>-160</v>
      </c>
      <c r="I24" s="12">
        <f t="shared" si="1"/>
        <v>-220</v>
      </c>
      <c r="J24" s="12">
        <f t="shared" si="1"/>
        <v>-220</v>
      </c>
      <c r="K24" s="12">
        <f t="shared" si="1"/>
        <v>-220</v>
      </c>
      <c r="L24" s="12">
        <f t="shared" si="1"/>
        <v>-220</v>
      </c>
      <c r="M24" s="12">
        <f t="shared" si="1"/>
        <v>-200</v>
      </c>
    </row>
    <row r="25" spans="1:14" x14ac:dyDescent="0.25">
      <c r="A25" t="s">
        <v>38</v>
      </c>
      <c r="B25" s="12">
        <f t="shared" si="1"/>
        <v>-91</v>
      </c>
      <c r="C25" s="12">
        <f t="shared" si="1"/>
        <v>-33</v>
      </c>
      <c r="D25" s="12">
        <f t="shared" si="1"/>
        <v>51</v>
      </c>
      <c r="E25" s="12">
        <f t="shared" si="1"/>
        <v>-200</v>
      </c>
      <c r="F25" s="12">
        <f t="shared" si="1"/>
        <v>-200</v>
      </c>
      <c r="G25" s="12">
        <f t="shared" si="1"/>
        <v>-200</v>
      </c>
      <c r="H25" s="12">
        <f t="shared" si="1"/>
        <v>0</v>
      </c>
      <c r="I25" s="12">
        <f t="shared" si="1"/>
        <v>-200</v>
      </c>
      <c r="J25" s="12">
        <f t="shared" si="1"/>
        <v>-200</v>
      </c>
      <c r="K25" s="12">
        <f t="shared" si="1"/>
        <v>-200</v>
      </c>
      <c r="L25" s="12">
        <f t="shared" si="1"/>
        <v>-200</v>
      </c>
      <c r="M25" s="12">
        <f t="shared" si="1"/>
        <v>-170</v>
      </c>
    </row>
    <row r="26" spans="1:14" x14ac:dyDescent="0.25">
      <c r="A26" t="s">
        <v>39</v>
      </c>
      <c r="B26" s="12">
        <f t="shared" si="1"/>
        <v>0</v>
      </c>
      <c r="C26" s="12">
        <f t="shared" si="1"/>
        <v>0</v>
      </c>
      <c r="D26" s="12">
        <f t="shared" si="1"/>
        <v>0</v>
      </c>
      <c r="E26" s="12">
        <f t="shared" si="1"/>
        <v>-65</v>
      </c>
      <c r="F26" s="12">
        <f t="shared" si="1"/>
        <v>-80</v>
      </c>
      <c r="G26" s="12">
        <f t="shared" si="1"/>
        <v>-40</v>
      </c>
      <c r="H26" s="12">
        <f t="shared" si="1"/>
        <v>0</v>
      </c>
      <c r="I26" s="12">
        <f t="shared" si="1"/>
        <v>-40</v>
      </c>
      <c r="J26" s="12">
        <f t="shared" si="1"/>
        <v>-40</v>
      </c>
      <c r="K26" s="12">
        <f t="shared" si="1"/>
        <v>-80</v>
      </c>
      <c r="L26" s="12">
        <f t="shared" si="1"/>
        <v>-80</v>
      </c>
      <c r="M26" s="12">
        <f t="shared" si="1"/>
        <v>-65</v>
      </c>
    </row>
    <row r="27" spans="1:14" x14ac:dyDescent="0.25">
      <c r="B27" s="12">
        <f t="shared" si="1"/>
        <v>0</v>
      </c>
      <c r="C27" s="12">
        <f t="shared" si="1"/>
        <v>0</v>
      </c>
      <c r="D27" s="12">
        <f t="shared" si="1"/>
        <v>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4" x14ac:dyDescent="0.25">
      <c r="B28" s="12">
        <f t="shared" si="1"/>
        <v>0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4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4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4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4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-122</v>
      </c>
      <c r="C36" s="11">
        <f t="shared" si="2"/>
        <v>-128</v>
      </c>
      <c r="D36" s="11">
        <f t="shared" si="2"/>
        <v>55</v>
      </c>
      <c r="E36" s="11">
        <f t="shared" si="2"/>
        <v>-735</v>
      </c>
      <c r="F36" s="11">
        <f t="shared" si="2"/>
        <v>-760</v>
      </c>
      <c r="G36" s="11">
        <f t="shared" si="2"/>
        <v>-800</v>
      </c>
      <c r="H36" s="11">
        <f t="shared" si="2"/>
        <v>-600</v>
      </c>
      <c r="I36" s="11">
        <f t="shared" si="2"/>
        <v>-660</v>
      </c>
      <c r="J36" s="11">
        <f t="shared" si="2"/>
        <v>-760</v>
      </c>
      <c r="K36" s="11">
        <f t="shared" si="2"/>
        <v>-800</v>
      </c>
      <c r="L36" s="11">
        <f t="shared" si="2"/>
        <v>-800</v>
      </c>
      <c r="M36" s="11">
        <f t="shared" si="2"/>
        <v>-675</v>
      </c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SUM(B40:B44)</f>
        <v>600</v>
      </c>
      <c r="C39" s="1">
        <f t="shared" ref="C39:M39" si="3">SUM(C40:C44)</f>
        <v>660</v>
      </c>
      <c r="D39" s="1">
        <f t="shared" si="3"/>
        <v>730</v>
      </c>
      <c r="E39" s="1">
        <f t="shared" si="3"/>
        <v>735</v>
      </c>
      <c r="F39" s="1">
        <f t="shared" si="3"/>
        <v>760</v>
      </c>
      <c r="G39" s="1">
        <f t="shared" si="3"/>
        <v>800</v>
      </c>
      <c r="H39" s="1">
        <f t="shared" si="3"/>
        <v>600</v>
      </c>
      <c r="I39" s="1">
        <f t="shared" si="3"/>
        <v>660</v>
      </c>
      <c r="J39" s="1">
        <f t="shared" si="3"/>
        <v>760</v>
      </c>
      <c r="K39" s="1">
        <f t="shared" si="3"/>
        <v>800</v>
      </c>
      <c r="L39" s="1">
        <f t="shared" si="3"/>
        <v>800</v>
      </c>
      <c r="M39" s="1">
        <f t="shared" si="3"/>
        <v>675</v>
      </c>
    </row>
    <row r="40" spans="1:13" x14ac:dyDescent="0.25">
      <c r="A40" s="4" t="s">
        <v>35</v>
      </c>
      <c r="B40" s="4">
        <v>100</v>
      </c>
      <c r="C40" s="4">
        <v>100</v>
      </c>
      <c r="D40" s="4">
        <v>50</v>
      </c>
      <c r="E40" s="4">
        <v>40</v>
      </c>
      <c r="F40" s="4">
        <v>50</v>
      </c>
      <c r="G40" s="4">
        <v>140</v>
      </c>
      <c r="H40" s="4">
        <v>200</v>
      </c>
      <c r="I40" s="4">
        <v>200</v>
      </c>
      <c r="J40" s="4">
        <v>100</v>
      </c>
      <c r="K40" s="4">
        <v>100</v>
      </c>
      <c r="L40" s="4">
        <v>100</v>
      </c>
      <c r="M40" s="4">
        <v>70</v>
      </c>
    </row>
    <row r="41" spans="1:13" x14ac:dyDescent="0.25">
      <c r="A41" s="4" t="s">
        <v>36</v>
      </c>
      <c r="B41" s="4">
        <v>210</v>
      </c>
      <c r="C41" s="4">
        <v>240</v>
      </c>
      <c r="D41" s="4">
        <v>240</v>
      </c>
      <c r="E41" s="4">
        <v>220</v>
      </c>
      <c r="F41" s="4">
        <v>220</v>
      </c>
      <c r="G41" s="4">
        <v>220</v>
      </c>
      <c r="H41" s="4">
        <v>240</v>
      </c>
      <c r="I41" s="4">
        <v>0</v>
      </c>
      <c r="J41" s="4">
        <v>200</v>
      </c>
      <c r="K41" s="4">
        <v>200</v>
      </c>
      <c r="L41" s="4">
        <v>200</v>
      </c>
      <c r="M41" s="4">
        <v>170</v>
      </c>
    </row>
    <row r="42" spans="1:13" x14ac:dyDescent="0.25">
      <c r="A42" s="4" t="s">
        <v>37</v>
      </c>
      <c r="B42" s="4">
        <v>100</v>
      </c>
      <c r="C42" s="4">
        <v>120</v>
      </c>
      <c r="D42" s="4">
        <v>240</v>
      </c>
      <c r="E42" s="4">
        <v>210</v>
      </c>
      <c r="F42" s="4">
        <v>210</v>
      </c>
      <c r="G42" s="4">
        <v>200</v>
      </c>
      <c r="H42" s="4">
        <v>160</v>
      </c>
      <c r="I42" s="4">
        <v>220</v>
      </c>
      <c r="J42" s="4">
        <v>220</v>
      </c>
      <c r="K42" s="4">
        <v>220</v>
      </c>
      <c r="L42" s="4">
        <v>220</v>
      </c>
      <c r="M42" s="4">
        <v>200</v>
      </c>
    </row>
    <row r="43" spans="1:13" x14ac:dyDescent="0.25">
      <c r="A43" s="4" t="s">
        <v>38</v>
      </c>
      <c r="B43" s="4">
        <v>190</v>
      </c>
      <c r="C43" s="4">
        <v>200</v>
      </c>
      <c r="D43" s="4">
        <v>200</v>
      </c>
      <c r="E43" s="4">
        <v>200</v>
      </c>
      <c r="F43" s="4">
        <v>200</v>
      </c>
      <c r="G43" s="4">
        <v>200</v>
      </c>
      <c r="H43" s="4">
        <v>0</v>
      </c>
      <c r="I43" s="4">
        <v>200</v>
      </c>
      <c r="J43" s="4">
        <v>200</v>
      </c>
      <c r="K43" s="4">
        <v>200</v>
      </c>
      <c r="L43" s="4">
        <v>200</v>
      </c>
      <c r="M43" s="4">
        <v>170</v>
      </c>
    </row>
    <row r="44" spans="1:13" x14ac:dyDescent="0.25">
      <c r="A44" s="4" t="s">
        <v>39</v>
      </c>
      <c r="B44" s="4"/>
      <c r="C44" s="4"/>
      <c r="D44" s="4"/>
      <c r="E44" s="4">
        <v>65</v>
      </c>
      <c r="F44" s="4">
        <v>80</v>
      </c>
      <c r="G44" s="4">
        <v>40</v>
      </c>
      <c r="H44" s="4">
        <v>0</v>
      </c>
      <c r="I44" s="4">
        <v>40</v>
      </c>
      <c r="J44" s="4">
        <v>40</v>
      </c>
      <c r="K44" s="4">
        <v>80</v>
      </c>
      <c r="L44" s="4">
        <v>80</v>
      </c>
      <c r="M44" s="4">
        <v>65</v>
      </c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93B5-2D7D-47D6-8857-1B8DEE759EAC}">
  <dimension ref="A1:M46"/>
  <sheetViews>
    <sheetView zoomScaleNormal="100" workbookViewId="0">
      <selection activeCell="D10" sqref="D10"/>
    </sheetView>
  </sheetViews>
  <sheetFormatPr defaultRowHeight="15" x14ac:dyDescent="0.25"/>
  <cols>
    <col min="1" max="1" width="32.28515625" bestFit="1" customWidth="1"/>
    <col min="2" max="3" width="11" bestFit="1" customWidth="1"/>
  </cols>
  <sheetData>
    <row r="1" spans="1:13" s="2" customFormat="1" x14ac:dyDescent="0.25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56</v>
      </c>
      <c r="B4" s="10">
        <v>176</v>
      </c>
      <c r="C4" s="10">
        <v>133</v>
      </c>
      <c r="D4" s="10">
        <v>180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57</v>
      </c>
      <c r="B5" s="10">
        <v>204</v>
      </c>
      <c r="C5" s="10">
        <v>199</v>
      </c>
      <c r="D5" s="10">
        <v>219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58</v>
      </c>
      <c r="B6" s="10">
        <v>190</v>
      </c>
      <c r="C6" s="10">
        <v>251</v>
      </c>
      <c r="D6" s="10">
        <v>278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59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60</v>
      </c>
      <c r="B8" s="10">
        <v>204</v>
      </c>
      <c r="C8" s="10">
        <v>207</v>
      </c>
      <c r="D8" s="10">
        <v>178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t="s">
        <v>61</v>
      </c>
      <c r="B9" s="10">
        <v>147</v>
      </c>
      <c r="C9" s="10">
        <v>264</v>
      </c>
      <c r="D9" s="10">
        <v>248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t="s">
        <v>62</v>
      </c>
      <c r="B10" s="10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926</v>
      </c>
      <c r="C18" s="11">
        <f t="shared" si="0"/>
        <v>1054</v>
      </c>
      <c r="D18" s="11">
        <f t="shared" si="0"/>
        <v>1103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56</v>
      </c>
      <c r="B22" s="12">
        <f t="shared" ref="B22:M35" si="1">SUM(B4-B40)</f>
        <v>-14</v>
      </c>
      <c r="C22" s="12">
        <f t="shared" si="1"/>
        <v>-71</v>
      </c>
      <c r="D22" s="12">
        <f t="shared" si="1"/>
        <v>26</v>
      </c>
      <c r="E22" s="12">
        <f t="shared" si="1"/>
        <v>-192</v>
      </c>
      <c r="F22" s="12">
        <f t="shared" si="1"/>
        <v>-192</v>
      </c>
      <c r="G22" s="12">
        <f t="shared" si="1"/>
        <v>-143</v>
      </c>
      <c r="H22" s="12">
        <f t="shared" si="1"/>
        <v>-102</v>
      </c>
      <c r="I22" s="12">
        <f t="shared" si="1"/>
        <v>-153</v>
      </c>
      <c r="J22" s="12">
        <f t="shared" si="1"/>
        <v>-204</v>
      </c>
      <c r="K22" s="12">
        <f t="shared" si="1"/>
        <v>-204</v>
      </c>
      <c r="L22" s="12">
        <f t="shared" si="1"/>
        <v>-153</v>
      </c>
      <c r="M22" s="12">
        <f t="shared" si="1"/>
        <v>-144</v>
      </c>
    </row>
    <row r="23" spans="1:13" x14ac:dyDescent="0.25">
      <c r="A23" t="s">
        <v>57</v>
      </c>
      <c r="B23" s="12">
        <f t="shared" si="1"/>
        <v>41</v>
      </c>
      <c r="C23" s="12">
        <f t="shared" si="1"/>
        <v>55</v>
      </c>
      <c r="D23" s="12">
        <f t="shared" si="1"/>
        <v>27</v>
      </c>
      <c r="E23" s="12">
        <f t="shared" si="1"/>
        <v>-154</v>
      </c>
      <c r="F23" s="12">
        <f t="shared" si="1"/>
        <v>-190</v>
      </c>
      <c r="G23" s="12">
        <f t="shared" si="1"/>
        <v>-170</v>
      </c>
      <c r="H23" s="12">
        <f t="shared" si="1"/>
        <v>-48</v>
      </c>
      <c r="I23" s="12">
        <f t="shared" si="1"/>
        <v>-96</v>
      </c>
      <c r="J23" s="12">
        <f t="shared" si="1"/>
        <v>-192</v>
      </c>
      <c r="K23" s="12">
        <f t="shared" si="1"/>
        <v>-173</v>
      </c>
      <c r="L23" s="12">
        <f t="shared" si="1"/>
        <v>-192</v>
      </c>
      <c r="M23" s="12">
        <f t="shared" si="1"/>
        <v>-144</v>
      </c>
    </row>
    <row r="24" spans="1:13" x14ac:dyDescent="0.25">
      <c r="A24" t="s">
        <v>58</v>
      </c>
      <c r="B24" s="12">
        <f t="shared" si="1"/>
        <v>-2</v>
      </c>
      <c r="C24" s="12">
        <f t="shared" si="1"/>
        <v>131</v>
      </c>
      <c r="D24" s="12">
        <f t="shared" si="1"/>
        <v>62</v>
      </c>
      <c r="E24" s="12">
        <f t="shared" si="1"/>
        <v>-175</v>
      </c>
      <c r="F24" s="12">
        <f t="shared" si="1"/>
        <v>-192</v>
      </c>
      <c r="G24" s="12">
        <f t="shared" si="1"/>
        <v>-156</v>
      </c>
      <c r="H24" s="12">
        <f t="shared" si="1"/>
        <v>-120</v>
      </c>
      <c r="I24" s="12">
        <f t="shared" si="1"/>
        <v>-160</v>
      </c>
      <c r="J24" s="12">
        <f t="shared" si="1"/>
        <v>-150</v>
      </c>
      <c r="K24" s="12">
        <f t="shared" si="1"/>
        <v>-180</v>
      </c>
      <c r="L24" s="12">
        <f t="shared" si="1"/>
        <v>-220</v>
      </c>
      <c r="M24" s="12">
        <f t="shared" si="1"/>
        <v>-168</v>
      </c>
    </row>
    <row r="25" spans="1:13" x14ac:dyDescent="0.25">
      <c r="A25" t="s">
        <v>59</v>
      </c>
      <c r="B25" s="12">
        <f t="shared" si="1"/>
        <v>0</v>
      </c>
      <c r="C25" s="12">
        <f t="shared" si="1"/>
        <v>0</v>
      </c>
      <c r="D25" s="12">
        <f t="shared" si="1"/>
        <v>-100</v>
      </c>
      <c r="E25" s="12">
        <f t="shared" si="1"/>
        <v>-90</v>
      </c>
      <c r="F25" s="12">
        <f t="shared" si="1"/>
        <v>-120</v>
      </c>
      <c r="G25" s="12">
        <f t="shared" si="1"/>
        <v>-100</v>
      </c>
      <c r="H25" s="12">
        <f t="shared" si="1"/>
        <v>-30</v>
      </c>
      <c r="I25" s="12">
        <f t="shared" si="1"/>
        <v>-60</v>
      </c>
      <c r="J25" s="12">
        <f t="shared" si="1"/>
        <v>-100</v>
      </c>
      <c r="K25" s="12">
        <f t="shared" si="1"/>
        <v>-100</v>
      </c>
      <c r="L25" s="12">
        <f t="shared" si="1"/>
        <v>-100</v>
      </c>
      <c r="M25" s="12">
        <f t="shared" si="1"/>
        <v>-90</v>
      </c>
    </row>
    <row r="26" spans="1:13" x14ac:dyDescent="0.25">
      <c r="A26" t="s">
        <v>60</v>
      </c>
      <c r="B26" s="12">
        <f t="shared" si="1"/>
        <v>9</v>
      </c>
      <c r="C26" s="12">
        <f t="shared" si="1"/>
        <v>52</v>
      </c>
      <c r="D26" s="12">
        <f t="shared" si="1"/>
        <v>-26</v>
      </c>
      <c r="E26" s="12">
        <f t="shared" si="1"/>
        <v>-195</v>
      </c>
      <c r="F26" s="12">
        <f t="shared" si="1"/>
        <v>-195</v>
      </c>
      <c r="G26" s="12">
        <f t="shared" si="1"/>
        <v>-195</v>
      </c>
      <c r="H26" s="12">
        <f t="shared" si="1"/>
        <v>-100</v>
      </c>
      <c r="I26" s="12">
        <f t="shared" si="1"/>
        <v>-154</v>
      </c>
      <c r="J26" s="12">
        <f t="shared" si="1"/>
        <v>-204</v>
      </c>
      <c r="K26" s="12">
        <f t="shared" si="1"/>
        <v>-204</v>
      </c>
      <c r="L26" s="12">
        <f t="shared" si="1"/>
        <v>-204</v>
      </c>
      <c r="M26" s="12">
        <f t="shared" si="1"/>
        <v>-144</v>
      </c>
    </row>
    <row r="27" spans="1:13" x14ac:dyDescent="0.25">
      <c r="A27" t="s">
        <v>61</v>
      </c>
      <c r="B27" s="12">
        <f t="shared" si="1"/>
        <v>3</v>
      </c>
      <c r="C27" s="12">
        <f t="shared" si="1"/>
        <v>74</v>
      </c>
      <c r="D27" s="12">
        <f t="shared" si="1"/>
        <v>48</v>
      </c>
      <c r="E27" s="12">
        <f t="shared" si="1"/>
        <v>-200</v>
      </c>
      <c r="F27" s="12">
        <f t="shared" si="1"/>
        <v>-156</v>
      </c>
      <c r="G27" s="12">
        <f t="shared" si="1"/>
        <v>-200</v>
      </c>
      <c r="H27" s="12">
        <f t="shared" si="1"/>
        <v>-120</v>
      </c>
      <c r="I27" s="12">
        <f t="shared" si="1"/>
        <v>-120</v>
      </c>
      <c r="J27" s="12">
        <f t="shared" si="1"/>
        <v>-220</v>
      </c>
      <c r="K27" s="12">
        <f t="shared" si="1"/>
        <v>-228</v>
      </c>
      <c r="L27" s="12">
        <f t="shared" si="1"/>
        <v>-228</v>
      </c>
      <c r="M27" s="12">
        <f t="shared" si="1"/>
        <v>-180</v>
      </c>
    </row>
    <row r="28" spans="1:13" x14ac:dyDescent="0.25">
      <c r="A28" t="s">
        <v>62</v>
      </c>
      <c r="B28" s="12">
        <f t="shared" si="1"/>
        <v>5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42</v>
      </c>
      <c r="C36" s="11">
        <f t="shared" si="2"/>
        <v>241</v>
      </c>
      <c r="D36" s="11">
        <f t="shared" si="2"/>
        <v>37</v>
      </c>
      <c r="E36" s="11">
        <f t="shared" si="2"/>
        <v>-1006</v>
      </c>
      <c r="F36" s="11">
        <f t="shared" si="2"/>
        <v>-1045</v>
      </c>
      <c r="G36" s="11">
        <f t="shared" si="2"/>
        <v>-964</v>
      </c>
      <c r="H36" s="11">
        <f t="shared" si="2"/>
        <v>-520</v>
      </c>
      <c r="I36" s="11">
        <f t="shared" si="2"/>
        <v>-743</v>
      </c>
      <c r="J36" s="11">
        <f t="shared" si="2"/>
        <v>-1070</v>
      </c>
      <c r="K36" s="11">
        <f t="shared" si="2"/>
        <v>-1089</v>
      </c>
      <c r="L36" s="11">
        <f t="shared" si="2"/>
        <v>-1097</v>
      </c>
      <c r="M36" s="11">
        <f t="shared" si="2"/>
        <v>-870</v>
      </c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 x14ac:dyDescent="0.25">
      <c r="A39" s="1" t="s">
        <v>2</v>
      </c>
      <c r="B39" s="1">
        <v>890</v>
      </c>
      <c r="C39" s="1">
        <v>1105</v>
      </c>
      <c r="D39" s="1">
        <v>1295</v>
      </c>
      <c r="E39" s="1">
        <v>1050</v>
      </c>
      <c r="F39" s="1">
        <v>1180</v>
      </c>
      <c r="G39" s="1">
        <v>890</v>
      </c>
      <c r="H39" s="1">
        <v>240</v>
      </c>
      <c r="I39" s="1">
        <v>1040</v>
      </c>
      <c r="J39" s="1">
        <v>1285</v>
      </c>
      <c r="K39" s="1">
        <v>1283</v>
      </c>
      <c r="L39" s="1">
        <v>1188</v>
      </c>
      <c r="M39" s="1">
        <v>1040</v>
      </c>
    </row>
    <row r="40" spans="1:13" x14ac:dyDescent="0.25">
      <c r="A40" s="33" t="s">
        <v>56</v>
      </c>
      <c r="B40" s="33">
        <v>190</v>
      </c>
      <c r="C40" s="33">
        <v>204</v>
      </c>
      <c r="D40" s="33">
        <v>154</v>
      </c>
      <c r="E40" s="33">
        <v>192</v>
      </c>
      <c r="F40" s="33">
        <v>192</v>
      </c>
      <c r="G40" s="33">
        <v>143</v>
      </c>
      <c r="H40" s="33">
        <v>102</v>
      </c>
      <c r="I40" s="33">
        <v>153</v>
      </c>
      <c r="J40" s="33">
        <v>204</v>
      </c>
      <c r="K40" s="33">
        <v>204</v>
      </c>
      <c r="L40" s="33">
        <v>153</v>
      </c>
      <c r="M40" s="33">
        <v>144</v>
      </c>
    </row>
    <row r="41" spans="1:13" x14ac:dyDescent="0.25">
      <c r="A41" s="33" t="s">
        <v>57</v>
      </c>
      <c r="B41" s="33">
        <v>163</v>
      </c>
      <c r="C41" s="33">
        <v>144</v>
      </c>
      <c r="D41" s="33">
        <v>192</v>
      </c>
      <c r="E41" s="33">
        <v>154</v>
      </c>
      <c r="F41" s="33">
        <v>190</v>
      </c>
      <c r="G41" s="33">
        <v>170</v>
      </c>
      <c r="H41" s="33">
        <v>48</v>
      </c>
      <c r="I41" s="33">
        <v>96</v>
      </c>
      <c r="J41" s="33">
        <v>192</v>
      </c>
      <c r="K41" s="33">
        <v>173</v>
      </c>
      <c r="L41" s="33">
        <v>192</v>
      </c>
      <c r="M41" s="33">
        <v>144</v>
      </c>
    </row>
    <row r="42" spans="1:13" x14ac:dyDescent="0.25">
      <c r="A42" s="33" t="s">
        <v>58</v>
      </c>
      <c r="B42" s="33">
        <v>192</v>
      </c>
      <c r="C42" s="33">
        <v>120</v>
      </c>
      <c r="D42" s="33">
        <v>216</v>
      </c>
      <c r="E42" s="33">
        <v>175</v>
      </c>
      <c r="F42" s="33">
        <v>192</v>
      </c>
      <c r="G42" s="33">
        <v>156</v>
      </c>
      <c r="H42" s="33">
        <v>120</v>
      </c>
      <c r="I42" s="33">
        <v>160</v>
      </c>
      <c r="J42" s="33">
        <v>150</v>
      </c>
      <c r="K42" s="33">
        <v>180</v>
      </c>
      <c r="L42" s="33">
        <v>220</v>
      </c>
      <c r="M42" s="33">
        <v>168</v>
      </c>
    </row>
    <row r="43" spans="1:13" x14ac:dyDescent="0.25">
      <c r="A43" s="33" t="s">
        <v>59</v>
      </c>
      <c r="B43" s="33">
        <v>0</v>
      </c>
      <c r="C43" s="33">
        <v>0</v>
      </c>
      <c r="D43" s="33">
        <v>100</v>
      </c>
      <c r="E43" s="33">
        <v>90</v>
      </c>
      <c r="F43" s="33">
        <v>120</v>
      </c>
      <c r="G43" s="33">
        <v>100</v>
      </c>
      <c r="H43" s="33">
        <v>30</v>
      </c>
      <c r="I43" s="33">
        <v>60</v>
      </c>
      <c r="J43" s="33">
        <v>100</v>
      </c>
      <c r="K43" s="33">
        <v>100</v>
      </c>
      <c r="L43" s="33">
        <v>100</v>
      </c>
      <c r="M43" s="33">
        <v>90</v>
      </c>
    </row>
    <row r="44" spans="1:13" x14ac:dyDescent="0.25">
      <c r="A44" s="33" t="s">
        <v>60</v>
      </c>
      <c r="B44" s="33">
        <v>195</v>
      </c>
      <c r="C44" s="33">
        <v>155</v>
      </c>
      <c r="D44" s="33">
        <v>204</v>
      </c>
      <c r="E44" s="33">
        <v>195</v>
      </c>
      <c r="F44" s="33">
        <v>195</v>
      </c>
      <c r="G44" s="33">
        <v>195</v>
      </c>
      <c r="H44" s="33">
        <v>100</v>
      </c>
      <c r="I44" s="33">
        <v>154</v>
      </c>
      <c r="J44" s="33">
        <v>204</v>
      </c>
      <c r="K44" s="33">
        <v>204</v>
      </c>
      <c r="L44" s="33">
        <v>204</v>
      </c>
      <c r="M44" s="33">
        <v>144</v>
      </c>
    </row>
    <row r="45" spans="1:13" x14ac:dyDescent="0.25">
      <c r="A45" s="33" t="s">
        <v>61</v>
      </c>
      <c r="B45" s="33">
        <v>144</v>
      </c>
      <c r="C45" s="33">
        <v>190</v>
      </c>
      <c r="D45" s="33">
        <v>200</v>
      </c>
      <c r="E45" s="33">
        <v>200</v>
      </c>
      <c r="F45" s="33">
        <v>156</v>
      </c>
      <c r="G45" s="33">
        <v>200</v>
      </c>
      <c r="H45" s="33">
        <v>120</v>
      </c>
      <c r="I45" s="33">
        <v>120</v>
      </c>
      <c r="J45" s="33">
        <v>220</v>
      </c>
      <c r="K45" s="33">
        <v>228</v>
      </c>
      <c r="L45" s="33">
        <v>228</v>
      </c>
      <c r="M45" s="33">
        <v>180</v>
      </c>
    </row>
    <row r="46" spans="1:13" x14ac:dyDescent="0.25">
      <c r="A46" t="s">
        <v>62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700F-66DB-4B61-8014-D1A385DE0AAA}">
  <dimension ref="A1:M48"/>
  <sheetViews>
    <sheetView zoomScaleNormal="100" workbookViewId="0">
      <selection activeCell="A8" sqref="A8"/>
    </sheetView>
  </sheetViews>
  <sheetFormatPr defaultRowHeight="15" x14ac:dyDescent="0.25"/>
  <cols>
    <col min="1" max="1" width="36.42578125" bestFit="1" customWidth="1"/>
    <col min="2" max="4" width="11" bestFit="1" customWidth="1"/>
  </cols>
  <sheetData>
    <row r="1" spans="1:13" s="2" customFormat="1" x14ac:dyDescent="0.25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88</v>
      </c>
      <c r="B4" s="10">
        <v>184</v>
      </c>
      <c r="C4" s="10">
        <v>119</v>
      </c>
      <c r="D4" s="10">
        <v>253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64</v>
      </c>
      <c r="B5" s="10">
        <v>149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89</v>
      </c>
      <c r="B6" s="10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71</v>
      </c>
      <c r="B7" s="10"/>
      <c r="C7" s="10">
        <v>122</v>
      </c>
      <c r="D7" s="10">
        <v>186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82</v>
      </c>
      <c r="B8" s="10">
        <v>167</v>
      </c>
      <c r="C8" s="10">
        <v>148</v>
      </c>
      <c r="D8" s="10">
        <v>129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t="s">
        <v>70</v>
      </c>
      <c r="B9" s="10"/>
      <c r="C9" s="10">
        <v>7</v>
      </c>
      <c r="D9" s="10">
        <v>41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t="s">
        <v>69</v>
      </c>
      <c r="B10" s="10">
        <v>46</v>
      </c>
      <c r="C10" s="10">
        <v>92</v>
      </c>
      <c r="D10" s="10">
        <v>19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554</v>
      </c>
      <c r="C18" s="11">
        <f t="shared" si="0"/>
        <v>488</v>
      </c>
      <c r="D18" s="11">
        <f t="shared" si="0"/>
        <v>628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63</v>
      </c>
      <c r="B22" s="12">
        <f t="shared" ref="B22:M35" si="1">SUM(B4-B40)</f>
        <v>-6</v>
      </c>
      <c r="C22" s="12">
        <f t="shared" si="1"/>
        <v>-111</v>
      </c>
      <c r="D22" s="12">
        <f t="shared" si="1"/>
        <v>23</v>
      </c>
      <c r="E22" s="12">
        <f t="shared" si="1"/>
        <v>-200</v>
      </c>
      <c r="F22" s="12">
        <f t="shared" si="1"/>
        <v>-230</v>
      </c>
      <c r="G22" s="12">
        <f t="shared" si="1"/>
        <v>-220</v>
      </c>
      <c r="H22" s="12">
        <f t="shared" si="1"/>
        <v>-120</v>
      </c>
      <c r="I22" s="12">
        <f t="shared" si="1"/>
        <v>-165</v>
      </c>
      <c r="J22" s="12">
        <f t="shared" si="1"/>
        <v>-230</v>
      </c>
      <c r="K22" s="12">
        <f t="shared" si="1"/>
        <v>-230</v>
      </c>
      <c r="L22" s="12">
        <f t="shared" si="1"/>
        <v>-230</v>
      </c>
      <c r="M22" s="12">
        <f t="shared" si="1"/>
        <v>-180</v>
      </c>
    </row>
    <row r="23" spans="1:13" x14ac:dyDescent="0.25">
      <c r="A23" t="s">
        <v>64</v>
      </c>
      <c r="B23" s="12">
        <f t="shared" si="1"/>
        <v>-41</v>
      </c>
      <c r="C23" s="12">
        <f t="shared" si="1"/>
        <v>0</v>
      </c>
      <c r="D23" s="12">
        <f t="shared" si="1"/>
        <v>0</v>
      </c>
      <c r="E23" s="12">
        <f t="shared" si="1"/>
        <v>0</v>
      </c>
      <c r="F23" s="12">
        <f t="shared" si="1"/>
        <v>0</v>
      </c>
      <c r="G23" s="12">
        <f t="shared" si="1"/>
        <v>0</v>
      </c>
      <c r="H23" s="12">
        <f t="shared" si="1"/>
        <v>0</v>
      </c>
      <c r="I23" s="12">
        <f t="shared" si="1"/>
        <v>0</v>
      </c>
      <c r="J23" s="12">
        <f t="shared" si="1"/>
        <v>0</v>
      </c>
      <c r="K23" s="12">
        <f t="shared" si="1"/>
        <v>0</v>
      </c>
      <c r="L23" s="12">
        <f t="shared" si="1"/>
        <v>0</v>
      </c>
      <c r="M23" s="12">
        <f t="shared" si="1"/>
        <v>0</v>
      </c>
    </row>
    <row r="24" spans="1:13" x14ac:dyDescent="0.25">
      <c r="A24" t="s">
        <v>65</v>
      </c>
      <c r="B24" s="12">
        <f t="shared" si="1"/>
        <v>8</v>
      </c>
      <c r="C24" s="12">
        <f t="shared" si="1"/>
        <v>0</v>
      </c>
      <c r="D24" s="12">
        <f t="shared" si="1"/>
        <v>0</v>
      </c>
      <c r="E24" s="12">
        <f t="shared" si="1"/>
        <v>0</v>
      </c>
      <c r="F24" s="12">
        <f t="shared" si="1"/>
        <v>0</v>
      </c>
      <c r="G24" s="12">
        <f t="shared" si="1"/>
        <v>0</v>
      </c>
      <c r="H24" s="12">
        <f t="shared" si="1"/>
        <v>0</v>
      </c>
      <c r="I24" s="12">
        <f t="shared" si="1"/>
        <v>0</v>
      </c>
      <c r="J24" s="12">
        <f t="shared" si="1"/>
        <v>-120</v>
      </c>
      <c r="K24" s="12">
        <f t="shared" si="1"/>
        <v>-180</v>
      </c>
      <c r="L24" s="12">
        <f t="shared" si="1"/>
        <v>-180</v>
      </c>
      <c r="M24" s="12">
        <f t="shared" si="1"/>
        <v>-140</v>
      </c>
    </row>
    <row r="25" spans="1:13" x14ac:dyDescent="0.25">
      <c r="A25" t="s">
        <v>66</v>
      </c>
      <c r="B25" s="12">
        <f t="shared" si="1"/>
        <v>-80</v>
      </c>
      <c r="C25" s="12">
        <f t="shared" si="1"/>
        <v>-58</v>
      </c>
      <c r="D25" s="12">
        <f t="shared" si="1"/>
        <v>-14</v>
      </c>
      <c r="E25" s="12">
        <f t="shared" si="1"/>
        <v>-200</v>
      </c>
      <c r="F25" s="12">
        <f t="shared" si="1"/>
        <v>-220</v>
      </c>
      <c r="G25" s="12">
        <f t="shared" si="1"/>
        <v>-200</v>
      </c>
      <c r="H25" s="12">
        <f t="shared" si="1"/>
        <v>-40</v>
      </c>
      <c r="I25" s="12">
        <f t="shared" si="1"/>
        <v>-160</v>
      </c>
      <c r="J25" s="12">
        <f t="shared" si="1"/>
        <v>0</v>
      </c>
      <c r="K25" s="12">
        <f t="shared" si="1"/>
        <v>0</v>
      </c>
      <c r="L25" s="12">
        <f t="shared" si="1"/>
        <v>0</v>
      </c>
      <c r="M25" s="12">
        <f t="shared" si="1"/>
        <v>0</v>
      </c>
    </row>
    <row r="26" spans="1:13" x14ac:dyDescent="0.25">
      <c r="A26" t="s">
        <v>67</v>
      </c>
      <c r="B26" s="12">
        <f t="shared" si="1"/>
        <v>2</v>
      </c>
      <c r="C26" s="12">
        <f t="shared" si="1"/>
        <v>-52</v>
      </c>
      <c r="D26" s="12">
        <f t="shared" si="1"/>
        <v>-76</v>
      </c>
      <c r="E26" s="12">
        <f t="shared" si="1"/>
        <v>-205</v>
      </c>
      <c r="F26" s="12">
        <f t="shared" si="1"/>
        <v>-205</v>
      </c>
      <c r="G26" s="12">
        <f t="shared" si="1"/>
        <v>-205</v>
      </c>
      <c r="H26" s="12">
        <f t="shared" si="1"/>
        <v>-100</v>
      </c>
      <c r="I26" s="12">
        <f t="shared" si="1"/>
        <v>-100</v>
      </c>
      <c r="J26" s="12">
        <f t="shared" si="1"/>
        <v>-220</v>
      </c>
      <c r="K26" s="12">
        <f t="shared" si="1"/>
        <v>-220</v>
      </c>
      <c r="L26" s="12">
        <f t="shared" si="1"/>
        <v>-220</v>
      </c>
      <c r="M26" s="12">
        <f t="shared" si="1"/>
        <v>-160</v>
      </c>
    </row>
    <row r="27" spans="1:13" x14ac:dyDescent="0.25">
      <c r="A27" t="s">
        <v>68</v>
      </c>
      <c r="B27" s="12">
        <f t="shared" si="1"/>
        <v>0</v>
      </c>
      <c r="C27" s="12">
        <f t="shared" si="1"/>
        <v>-93</v>
      </c>
      <c r="D27" s="12">
        <f t="shared" si="1"/>
        <v>-119</v>
      </c>
      <c r="E27" s="12">
        <f t="shared" si="1"/>
        <v>-200</v>
      </c>
      <c r="F27" s="12">
        <f t="shared" si="1"/>
        <v>-220</v>
      </c>
      <c r="G27" s="12">
        <f t="shared" si="1"/>
        <v>-220</v>
      </c>
      <c r="H27" s="12">
        <f t="shared" si="1"/>
        <v>-120</v>
      </c>
      <c r="I27" s="12">
        <f t="shared" si="1"/>
        <v>-120</v>
      </c>
      <c r="J27" s="12">
        <f t="shared" si="1"/>
        <v>-230</v>
      </c>
      <c r="K27" s="12">
        <f t="shared" si="1"/>
        <v>-230</v>
      </c>
      <c r="L27" s="12">
        <f t="shared" si="1"/>
        <v>-230</v>
      </c>
      <c r="M27" s="12">
        <f t="shared" si="1"/>
        <v>-180</v>
      </c>
    </row>
    <row r="28" spans="1:13" x14ac:dyDescent="0.25">
      <c r="A28" t="s">
        <v>69</v>
      </c>
      <c r="B28" s="12">
        <f t="shared" si="1"/>
        <v>46</v>
      </c>
      <c r="C28" s="12">
        <f t="shared" si="1"/>
        <v>92</v>
      </c>
      <c r="D28" s="12">
        <f t="shared" si="1"/>
        <v>19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-71</v>
      </c>
      <c r="C36" s="11">
        <f t="shared" si="2"/>
        <v>-222</v>
      </c>
      <c r="D36" s="11">
        <f t="shared" si="2"/>
        <v>-167</v>
      </c>
      <c r="E36" s="11">
        <f t="shared" si="2"/>
        <v>-805</v>
      </c>
      <c r="F36" s="11">
        <f t="shared" si="2"/>
        <v>-875</v>
      </c>
      <c r="G36" s="11">
        <f t="shared" si="2"/>
        <v>-845</v>
      </c>
      <c r="H36" s="11">
        <f t="shared" si="2"/>
        <v>-380</v>
      </c>
      <c r="I36" s="11">
        <f t="shared" si="2"/>
        <v>-545</v>
      </c>
      <c r="J36" s="11">
        <f t="shared" si="2"/>
        <v>-800</v>
      </c>
      <c r="K36" s="11">
        <f t="shared" si="2"/>
        <v>-860</v>
      </c>
      <c r="L36" s="11">
        <f t="shared" si="2"/>
        <v>-860</v>
      </c>
      <c r="M36" s="11">
        <f t="shared" si="2"/>
        <v>-660</v>
      </c>
    </row>
    <row r="37" spans="1:13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SUM(B40:B48)</f>
        <v>625</v>
      </c>
      <c r="C39" s="1">
        <f t="shared" ref="C39:M39" si="3">SUM(C40:C48)</f>
        <v>710</v>
      </c>
      <c r="D39" s="1">
        <f t="shared" si="3"/>
        <v>795</v>
      </c>
      <c r="E39" s="1">
        <f t="shared" si="3"/>
        <v>805</v>
      </c>
      <c r="F39" s="1">
        <f t="shared" si="3"/>
        <v>875</v>
      </c>
      <c r="G39" s="1">
        <f t="shared" si="3"/>
        <v>845</v>
      </c>
      <c r="H39" s="1">
        <f t="shared" si="3"/>
        <v>380</v>
      </c>
      <c r="I39" s="1">
        <f t="shared" si="3"/>
        <v>545</v>
      </c>
      <c r="J39" s="1">
        <f t="shared" si="3"/>
        <v>800</v>
      </c>
      <c r="K39" s="1">
        <f t="shared" si="3"/>
        <v>860</v>
      </c>
      <c r="L39" s="1">
        <f t="shared" si="3"/>
        <v>860</v>
      </c>
      <c r="M39" s="1">
        <f t="shared" si="3"/>
        <v>660</v>
      </c>
    </row>
    <row r="40" spans="1:13" x14ac:dyDescent="0.25">
      <c r="A40" s="4" t="s">
        <v>63</v>
      </c>
      <c r="B40" s="4">
        <v>190</v>
      </c>
      <c r="C40" s="4">
        <v>230</v>
      </c>
      <c r="D40" s="4">
        <v>230</v>
      </c>
      <c r="E40" s="4">
        <v>200</v>
      </c>
      <c r="F40" s="4">
        <v>230</v>
      </c>
      <c r="G40" s="4">
        <v>220</v>
      </c>
      <c r="H40" s="4">
        <v>120</v>
      </c>
      <c r="I40" s="4">
        <v>165</v>
      </c>
      <c r="J40" s="4">
        <v>230</v>
      </c>
      <c r="K40" s="4">
        <v>230</v>
      </c>
      <c r="L40" s="4">
        <v>230</v>
      </c>
      <c r="M40" s="4">
        <v>180</v>
      </c>
    </row>
    <row r="41" spans="1:13" x14ac:dyDescent="0.25">
      <c r="A41" s="4" t="s">
        <v>64</v>
      </c>
      <c r="B41" s="4">
        <v>190</v>
      </c>
      <c r="C41" s="4">
        <v>0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4" t="s">
        <v>65</v>
      </c>
      <c r="B42" s="4"/>
      <c r="C42" s="4"/>
      <c r="D42" s="4"/>
      <c r="E42" s="4"/>
      <c r="F42" s="4"/>
      <c r="G42" s="4"/>
      <c r="H42" s="4"/>
      <c r="I42" s="4"/>
      <c r="J42" s="4">
        <v>120</v>
      </c>
      <c r="K42" s="4">
        <v>180</v>
      </c>
      <c r="L42" s="4">
        <v>180</v>
      </c>
      <c r="M42" s="4">
        <v>140</v>
      </c>
    </row>
    <row r="43" spans="1:13" x14ac:dyDescent="0.25">
      <c r="A43" s="4" t="s">
        <v>66</v>
      </c>
      <c r="B43" s="4">
        <v>80</v>
      </c>
      <c r="C43" s="4">
        <v>180</v>
      </c>
      <c r="D43" s="4">
        <v>200</v>
      </c>
      <c r="E43" s="4">
        <v>200</v>
      </c>
      <c r="F43" s="4">
        <v>220</v>
      </c>
      <c r="G43" s="4">
        <v>200</v>
      </c>
      <c r="H43" s="4">
        <v>40</v>
      </c>
      <c r="I43" s="4">
        <v>160</v>
      </c>
      <c r="J43" s="4"/>
      <c r="K43" s="4"/>
      <c r="L43" s="4"/>
      <c r="M43" s="4"/>
    </row>
    <row r="44" spans="1:13" x14ac:dyDescent="0.25">
      <c r="A44" s="4" t="s">
        <v>67</v>
      </c>
      <c r="B44" s="4">
        <v>165</v>
      </c>
      <c r="C44" s="4">
        <v>200</v>
      </c>
      <c r="D44" s="4">
        <v>205</v>
      </c>
      <c r="E44" s="4">
        <v>205</v>
      </c>
      <c r="F44" s="4">
        <v>205</v>
      </c>
      <c r="G44" s="4">
        <v>205</v>
      </c>
      <c r="H44" s="4">
        <v>100</v>
      </c>
      <c r="I44" s="4">
        <v>100</v>
      </c>
      <c r="J44" s="4">
        <v>220</v>
      </c>
      <c r="K44" s="4">
        <v>220</v>
      </c>
      <c r="L44" s="4">
        <v>220</v>
      </c>
      <c r="M44" s="4">
        <v>160</v>
      </c>
    </row>
    <row r="45" spans="1:13" x14ac:dyDescent="0.25">
      <c r="A45" s="4" t="s">
        <v>68</v>
      </c>
      <c r="B45" s="4"/>
      <c r="C45" s="4">
        <v>100</v>
      </c>
      <c r="D45" s="4">
        <v>160</v>
      </c>
      <c r="E45" s="4">
        <v>200</v>
      </c>
      <c r="F45" s="4">
        <v>220</v>
      </c>
      <c r="G45" s="4">
        <v>220</v>
      </c>
      <c r="H45" s="4">
        <v>120</v>
      </c>
      <c r="I45" s="4">
        <v>120</v>
      </c>
      <c r="J45" s="4">
        <v>230</v>
      </c>
      <c r="K45" s="4">
        <v>230</v>
      </c>
      <c r="L45" s="4">
        <v>230</v>
      </c>
      <c r="M45" s="4">
        <v>180</v>
      </c>
    </row>
    <row r="46" spans="1:13" x14ac:dyDescent="0.25">
      <c r="A46" s="4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59EA-D33B-42CE-8E4F-618B909AFED7}">
  <dimension ref="A1:M48"/>
  <sheetViews>
    <sheetView zoomScaleNormal="100" workbookViewId="0">
      <selection activeCell="A10" sqref="A10"/>
    </sheetView>
  </sheetViews>
  <sheetFormatPr defaultRowHeight="15" x14ac:dyDescent="0.25"/>
  <cols>
    <col min="1" max="1" width="36.42578125" bestFit="1" customWidth="1"/>
    <col min="2" max="3" width="11" bestFit="1" customWidth="1"/>
  </cols>
  <sheetData>
    <row r="1" spans="1:13" s="2" customFormat="1" x14ac:dyDescent="0.25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90</v>
      </c>
      <c r="B4" s="10">
        <v>117</v>
      </c>
      <c r="C4" s="10">
        <v>8</v>
      </c>
      <c r="D4" s="10">
        <v>57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91</v>
      </c>
      <c r="B5" s="10">
        <v>139</v>
      </c>
      <c r="C5" s="10">
        <v>221</v>
      </c>
      <c r="D5" s="10">
        <v>279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92</v>
      </c>
      <c r="B6" s="10">
        <v>121</v>
      </c>
      <c r="C6" s="10">
        <v>148</v>
      </c>
      <c r="D6" s="10">
        <v>174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93</v>
      </c>
      <c r="B7" s="10">
        <v>157</v>
      </c>
      <c r="C7" s="10">
        <v>177</v>
      </c>
      <c r="D7" s="10">
        <v>238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94</v>
      </c>
      <c r="B8" s="10">
        <v>153</v>
      </c>
      <c r="C8" s="10">
        <v>207</v>
      </c>
      <c r="D8" s="10">
        <v>197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t="s">
        <v>95</v>
      </c>
      <c r="B9" s="10">
        <v>199</v>
      </c>
      <c r="C9" s="10">
        <v>136</v>
      </c>
      <c r="D9" s="10">
        <v>220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38" t="s">
        <v>69</v>
      </c>
      <c r="B10" s="10"/>
      <c r="C10" s="10">
        <v>13</v>
      </c>
      <c r="D10" s="10">
        <v>88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886</v>
      </c>
      <c r="C18" s="11">
        <f t="shared" si="0"/>
        <v>910</v>
      </c>
      <c r="D18" s="11">
        <f t="shared" si="0"/>
        <v>1253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72</v>
      </c>
      <c r="B22" s="12">
        <f t="shared" ref="B22:M35" si="1">SUM(B4-B40)</f>
        <v>-23</v>
      </c>
      <c r="C22" s="12">
        <f t="shared" si="1"/>
        <v>-132</v>
      </c>
      <c r="D22" s="12">
        <f t="shared" si="1"/>
        <v>-103</v>
      </c>
      <c r="E22" s="12">
        <f t="shared" si="1"/>
        <v>-160</v>
      </c>
      <c r="F22" s="12">
        <f t="shared" si="1"/>
        <v>-160</v>
      </c>
      <c r="G22" s="12">
        <f t="shared" si="1"/>
        <v>-140</v>
      </c>
      <c r="H22" s="12">
        <f t="shared" si="1"/>
        <v>-70</v>
      </c>
      <c r="I22" s="12">
        <f t="shared" si="1"/>
        <v>-70</v>
      </c>
      <c r="J22" s="12">
        <f t="shared" si="1"/>
        <v>-160</v>
      </c>
      <c r="K22" s="12">
        <f t="shared" si="1"/>
        <v>-160</v>
      </c>
      <c r="L22" s="12">
        <f t="shared" si="1"/>
        <v>-160</v>
      </c>
      <c r="M22" s="12">
        <f t="shared" si="1"/>
        <v>-140</v>
      </c>
    </row>
    <row r="23" spans="1:13" x14ac:dyDescent="0.25">
      <c r="A23" t="s">
        <v>64</v>
      </c>
      <c r="B23" s="12">
        <f t="shared" si="1"/>
        <v>-71</v>
      </c>
      <c r="C23" s="12">
        <f t="shared" si="1"/>
        <v>-4</v>
      </c>
      <c r="D23" s="12">
        <f t="shared" si="1"/>
        <v>39</v>
      </c>
      <c r="E23" s="12">
        <f t="shared" si="1"/>
        <v>-220</v>
      </c>
      <c r="F23" s="12">
        <f t="shared" si="1"/>
        <v>-240</v>
      </c>
      <c r="G23" s="12">
        <f t="shared" si="1"/>
        <v>-220</v>
      </c>
      <c r="H23" s="12">
        <f t="shared" si="1"/>
        <v>-70</v>
      </c>
      <c r="I23" s="12">
        <f t="shared" si="1"/>
        <v>-180</v>
      </c>
      <c r="J23" s="12">
        <f t="shared" si="1"/>
        <v>-230</v>
      </c>
      <c r="K23" s="12">
        <f t="shared" si="1"/>
        <v>-200</v>
      </c>
      <c r="L23" s="12">
        <f t="shared" si="1"/>
        <v>-210</v>
      </c>
      <c r="M23" s="12">
        <f t="shared" si="1"/>
        <v>-170</v>
      </c>
    </row>
    <row r="24" spans="1:13" x14ac:dyDescent="0.25">
      <c r="A24" t="s">
        <v>73</v>
      </c>
      <c r="B24" s="12">
        <f t="shared" si="1"/>
        <v>-79</v>
      </c>
      <c r="C24" s="12">
        <f t="shared" si="1"/>
        <v>-52</v>
      </c>
      <c r="D24" s="12">
        <f t="shared" si="1"/>
        <v>-36</v>
      </c>
      <c r="E24" s="12">
        <f t="shared" si="1"/>
        <v>-170</v>
      </c>
      <c r="F24" s="12">
        <f t="shared" si="1"/>
        <v>-200</v>
      </c>
      <c r="G24" s="12">
        <f t="shared" si="1"/>
        <v>-180</v>
      </c>
      <c r="H24" s="12">
        <f t="shared" si="1"/>
        <v>0</v>
      </c>
      <c r="I24" s="12">
        <f t="shared" si="1"/>
        <v>-200</v>
      </c>
      <c r="J24" s="12">
        <f t="shared" si="1"/>
        <v>-200</v>
      </c>
      <c r="K24" s="12">
        <f t="shared" si="1"/>
        <v>-200</v>
      </c>
      <c r="L24" s="12">
        <f t="shared" si="1"/>
        <v>-200</v>
      </c>
      <c r="M24" s="12">
        <f t="shared" si="1"/>
        <v>-150</v>
      </c>
    </row>
    <row r="25" spans="1:13" x14ac:dyDescent="0.25">
      <c r="A25" t="s">
        <v>74</v>
      </c>
      <c r="B25" s="12">
        <f t="shared" si="1"/>
        <v>-53</v>
      </c>
      <c r="C25" s="12">
        <f t="shared" si="1"/>
        <v>-3</v>
      </c>
      <c r="D25" s="12">
        <f t="shared" si="1"/>
        <v>-2</v>
      </c>
      <c r="E25" s="12">
        <f t="shared" si="1"/>
        <v>-220</v>
      </c>
      <c r="F25" s="12">
        <f t="shared" si="1"/>
        <v>-240</v>
      </c>
      <c r="G25" s="12">
        <f t="shared" si="1"/>
        <v>-200</v>
      </c>
      <c r="H25" s="12">
        <f t="shared" si="1"/>
        <v>-120</v>
      </c>
      <c r="I25" s="12">
        <f t="shared" si="1"/>
        <v>-120</v>
      </c>
      <c r="J25" s="12">
        <f t="shared" si="1"/>
        <v>-220</v>
      </c>
      <c r="K25" s="12">
        <f t="shared" si="1"/>
        <v>-240</v>
      </c>
      <c r="L25" s="12">
        <f t="shared" si="1"/>
        <v>-240</v>
      </c>
      <c r="M25" s="12">
        <f t="shared" si="1"/>
        <v>-170</v>
      </c>
    </row>
    <row r="26" spans="1:13" x14ac:dyDescent="0.25">
      <c r="A26" t="s">
        <v>75</v>
      </c>
      <c r="B26" s="12">
        <f t="shared" si="1"/>
        <v>-47</v>
      </c>
      <c r="C26" s="12">
        <f t="shared" si="1"/>
        <v>-13</v>
      </c>
      <c r="D26" s="12">
        <f t="shared" si="1"/>
        <v>-23</v>
      </c>
      <c r="E26" s="12">
        <f t="shared" si="1"/>
        <v>-200</v>
      </c>
      <c r="F26" s="12">
        <f t="shared" si="1"/>
        <v>-190</v>
      </c>
      <c r="G26" s="12">
        <f t="shared" si="1"/>
        <v>-200</v>
      </c>
      <c r="H26" s="12">
        <f t="shared" si="1"/>
        <v>0</v>
      </c>
      <c r="I26" s="12">
        <f t="shared" si="1"/>
        <v>-230</v>
      </c>
      <c r="J26" s="12">
        <f t="shared" si="1"/>
        <v>-220</v>
      </c>
      <c r="K26" s="12">
        <f t="shared" si="1"/>
        <v>-220</v>
      </c>
      <c r="L26" s="12">
        <f t="shared" si="1"/>
        <v>-220</v>
      </c>
      <c r="M26" s="12">
        <f t="shared" si="1"/>
        <v>-170</v>
      </c>
    </row>
    <row r="27" spans="1:13" x14ac:dyDescent="0.25">
      <c r="A27" t="s">
        <v>76</v>
      </c>
      <c r="B27" s="12">
        <f t="shared" si="1"/>
        <v>-11</v>
      </c>
      <c r="C27" s="12">
        <f t="shared" si="1"/>
        <v>-74</v>
      </c>
      <c r="D27" s="12">
        <f t="shared" si="1"/>
        <v>10</v>
      </c>
      <c r="E27" s="12">
        <f t="shared" si="1"/>
        <v>-210</v>
      </c>
      <c r="F27" s="12">
        <f t="shared" si="1"/>
        <v>-200</v>
      </c>
      <c r="G27" s="12">
        <f t="shared" si="1"/>
        <v>-200</v>
      </c>
      <c r="H27" s="12">
        <f t="shared" si="1"/>
        <v>-200</v>
      </c>
      <c r="I27" s="12">
        <f t="shared" si="1"/>
        <v>-60</v>
      </c>
      <c r="J27" s="12">
        <f t="shared" si="1"/>
        <v>-240</v>
      </c>
      <c r="K27" s="12">
        <f t="shared" si="1"/>
        <v>-240</v>
      </c>
      <c r="L27" s="12">
        <f t="shared" si="1"/>
        <v>-240</v>
      </c>
      <c r="M27" s="12">
        <f t="shared" si="1"/>
        <v>-170</v>
      </c>
    </row>
    <row r="28" spans="1:13" x14ac:dyDescent="0.25">
      <c r="A28" t="s">
        <v>77</v>
      </c>
      <c r="B28" s="12">
        <f t="shared" si="1"/>
        <v>0</v>
      </c>
      <c r="C28" s="12">
        <f t="shared" si="1"/>
        <v>13</v>
      </c>
      <c r="D28" s="12">
        <f t="shared" si="1"/>
        <v>88</v>
      </c>
      <c r="E28" s="12">
        <f t="shared" si="1"/>
        <v>0</v>
      </c>
      <c r="F28" s="12">
        <f t="shared" si="1"/>
        <v>-60</v>
      </c>
      <c r="G28" s="12">
        <f t="shared" si="1"/>
        <v>-160</v>
      </c>
      <c r="H28" s="12">
        <f t="shared" si="1"/>
        <v>-200</v>
      </c>
      <c r="I28" s="12">
        <f t="shared" si="1"/>
        <v>0</v>
      </c>
      <c r="J28" s="12">
        <f t="shared" si="1"/>
        <v>-200</v>
      </c>
      <c r="K28" s="12">
        <f t="shared" si="1"/>
        <v>-220</v>
      </c>
      <c r="L28" s="12">
        <f t="shared" si="1"/>
        <v>-220</v>
      </c>
      <c r="M28" s="12">
        <f t="shared" si="1"/>
        <v>-170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-284</v>
      </c>
      <c r="C36" s="11">
        <f t="shared" si="2"/>
        <v>-265</v>
      </c>
      <c r="D36" s="11">
        <f t="shared" si="2"/>
        <v>-27</v>
      </c>
      <c r="E36" s="11">
        <f t="shared" si="2"/>
        <v>-1180</v>
      </c>
      <c r="F36" s="11">
        <f t="shared" si="2"/>
        <v>-1290</v>
      </c>
      <c r="G36" s="11">
        <f t="shared" si="2"/>
        <v>-1300</v>
      </c>
      <c r="H36" s="11">
        <f t="shared" si="2"/>
        <v>-660</v>
      </c>
      <c r="I36" s="11">
        <f t="shared" si="2"/>
        <v>-860</v>
      </c>
      <c r="J36" s="11">
        <f t="shared" si="2"/>
        <v>-1470</v>
      </c>
      <c r="K36" s="11">
        <f t="shared" si="2"/>
        <v>-1480</v>
      </c>
      <c r="L36" s="11">
        <f t="shared" si="2"/>
        <v>-1490</v>
      </c>
      <c r="M36" s="11">
        <f t="shared" si="2"/>
        <v>-1140</v>
      </c>
    </row>
    <row r="37" spans="1:13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SUM(B40:B48)</f>
        <v>1170</v>
      </c>
      <c r="C39" s="1">
        <f t="shared" ref="C39:M39" si="3">SUM(C40:C48)</f>
        <v>1175</v>
      </c>
      <c r="D39" s="1">
        <f t="shared" si="3"/>
        <v>1280</v>
      </c>
      <c r="E39" s="1">
        <f t="shared" si="3"/>
        <v>1180</v>
      </c>
      <c r="F39" s="1">
        <f t="shared" si="3"/>
        <v>1290</v>
      </c>
      <c r="G39" s="1">
        <f t="shared" si="3"/>
        <v>1300</v>
      </c>
      <c r="H39" s="1">
        <f t="shared" si="3"/>
        <v>660</v>
      </c>
      <c r="I39" s="1">
        <f t="shared" si="3"/>
        <v>860</v>
      </c>
      <c r="J39" s="1">
        <f t="shared" si="3"/>
        <v>1470</v>
      </c>
      <c r="K39" s="1">
        <f t="shared" si="3"/>
        <v>1480</v>
      </c>
      <c r="L39" s="1">
        <f t="shared" si="3"/>
        <v>1490</v>
      </c>
      <c r="M39" s="1">
        <f t="shared" si="3"/>
        <v>1140</v>
      </c>
    </row>
    <row r="40" spans="1:13" x14ac:dyDescent="0.25">
      <c r="A40" s="4" t="s">
        <v>72</v>
      </c>
      <c r="B40" s="4">
        <v>140</v>
      </c>
      <c r="C40" s="4">
        <v>140</v>
      </c>
      <c r="D40" s="4">
        <v>160</v>
      </c>
      <c r="E40" s="4">
        <v>160</v>
      </c>
      <c r="F40" s="4">
        <v>160</v>
      </c>
      <c r="G40" s="4">
        <v>140</v>
      </c>
      <c r="H40" s="4">
        <v>70</v>
      </c>
      <c r="I40" s="4">
        <v>70</v>
      </c>
      <c r="J40" s="4">
        <v>160</v>
      </c>
      <c r="K40" s="4">
        <v>160</v>
      </c>
      <c r="L40" s="4">
        <v>160</v>
      </c>
      <c r="M40" s="4">
        <v>140</v>
      </c>
    </row>
    <row r="41" spans="1:13" x14ac:dyDescent="0.25">
      <c r="A41" s="4" t="s">
        <v>64</v>
      </c>
      <c r="B41" s="4">
        <v>210</v>
      </c>
      <c r="C41" s="4">
        <v>225</v>
      </c>
      <c r="D41" s="4">
        <v>240</v>
      </c>
      <c r="E41" s="4">
        <v>220</v>
      </c>
      <c r="F41" s="4">
        <v>240</v>
      </c>
      <c r="G41" s="4">
        <v>220</v>
      </c>
      <c r="H41" s="4">
        <v>70</v>
      </c>
      <c r="I41" s="4">
        <v>180</v>
      </c>
      <c r="J41" s="4">
        <v>230</v>
      </c>
      <c r="K41" s="4">
        <v>200</v>
      </c>
      <c r="L41" s="4">
        <v>210</v>
      </c>
      <c r="M41" s="4">
        <v>170</v>
      </c>
    </row>
    <row r="42" spans="1:13" x14ac:dyDescent="0.25">
      <c r="A42" s="4" t="s">
        <v>73</v>
      </c>
      <c r="B42" s="4">
        <v>200</v>
      </c>
      <c r="C42" s="4">
        <v>200</v>
      </c>
      <c r="D42" s="4">
        <v>210</v>
      </c>
      <c r="E42" s="4">
        <v>170</v>
      </c>
      <c r="F42" s="4">
        <v>200</v>
      </c>
      <c r="G42" s="4">
        <v>180</v>
      </c>
      <c r="H42" s="4">
        <v>0</v>
      </c>
      <c r="I42" s="4">
        <v>200</v>
      </c>
      <c r="J42" s="4">
        <v>200</v>
      </c>
      <c r="K42" s="4">
        <v>200</v>
      </c>
      <c r="L42" s="4">
        <v>200</v>
      </c>
      <c r="M42" s="4">
        <v>150</v>
      </c>
    </row>
    <row r="43" spans="1:13" x14ac:dyDescent="0.25">
      <c r="A43" s="4" t="s">
        <v>74</v>
      </c>
      <c r="B43" s="4">
        <v>210</v>
      </c>
      <c r="C43" s="4">
        <v>180</v>
      </c>
      <c r="D43" s="4">
        <v>240</v>
      </c>
      <c r="E43" s="4">
        <v>220</v>
      </c>
      <c r="F43" s="4">
        <v>240</v>
      </c>
      <c r="G43" s="4">
        <v>200</v>
      </c>
      <c r="H43" s="4">
        <v>120</v>
      </c>
      <c r="I43" s="4">
        <v>120</v>
      </c>
      <c r="J43" s="4">
        <v>220</v>
      </c>
      <c r="K43" s="4">
        <v>240</v>
      </c>
      <c r="L43" s="4">
        <v>240</v>
      </c>
      <c r="M43" s="4">
        <v>170</v>
      </c>
    </row>
    <row r="44" spans="1:13" x14ac:dyDescent="0.25">
      <c r="A44" s="4" t="s">
        <v>75</v>
      </c>
      <c r="B44" s="4">
        <v>200</v>
      </c>
      <c r="C44" s="4">
        <v>220</v>
      </c>
      <c r="D44" s="4">
        <v>220</v>
      </c>
      <c r="E44" s="4">
        <v>200</v>
      </c>
      <c r="F44" s="4">
        <v>190</v>
      </c>
      <c r="G44" s="4">
        <v>200</v>
      </c>
      <c r="H44" s="4">
        <v>0</v>
      </c>
      <c r="I44" s="4">
        <v>230</v>
      </c>
      <c r="J44" s="4">
        <v>220</v>
      </c>
      <c r="K44" s="4">
        <v>220</v>
      </c>
      <c r="L44" s="4">
        <v>220</v>
      </c>
      <c r="M44" s="4">
        <v>170</v>
      </c>
    </row>
    <row r="45" spans="1:13" x14ac:dyDescent="0.25">
      <c r="A45" s="4" t="s">
        <v>76</v>
      </c>
      <c r="B45" s="4">
        <v>210</v>
      </c>
      <c r="C45" s="4">
        <v>210</v>
      </c>
      <c r="D45" s="4">
        <v>210</v>
      </c>
      <c r="E45" s="4">
        <v>210</v>
      </c>
      <c r="F45" s="4">
        <v>200</v>
      </c>
      <c r="G45" s="4">
        <v>200</v>
      </c>
      <c r="H45" s="4">
        <v>200</v>
      </c>
      <c r="I45" s="4">
        <v>60</v>
      </c>
      <c r="J45" s="4">
        <v>240</v>
      </c>
      <c r="K45" s="4">
        <v>240</v>
      </c>
      <c r="L45" s="4">
        <v>240</v>
      </c>
      <c r="M45" s="4">
        <v>170</v>
      </c>
    </row>
    <row r="46" spans="1:13" x14ac:dyDescent="0.25">
      <c r="A46" s="4" t="s">
        <v>77</v>
      </c>
      <c r="B46" s="4"/>
      <c r="C46" s="4"/>
      <c r="D46" s="4"/>
      <c r="E46" s="4"/>
      <c r="F46" s="4">
        <v>60</v>
      </c>
      <c r="G46" s="4">
        <v>160</v>
      </c>
      <c r="H46" s="4">
        <v>200</v>
      </c>
      <c r="I46" s="4">
        <v>0</v>
      </c>
      <c r="J46" s="4">
        <v>200</v>
      </c>
      <c r="K46" s="4">
        <v>220</v>
      </c>
      <c r="L46" s="4">
        <v>220</v>
      </c>
      <c r="M46" s="4">
        <v>170</v>
      </c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94B1-A45D-4698-B556-C5BDBE14C4AC}">
  <dimension ref="A1:M48"/>
  <sheetViews>
    <sheetView zoomScaleNormal="100" workbookViewId="0">
      <selection activeCell="N50" sqref="N50"/>
    </sheetView>
  </sheetViews>
  <sheetFormatPr defaultRowHeight="15" x14ac:dyDescent="0.25"/>
  <cols>
    <col min="1" max="1" width="36.42578125" bestFit="1" customWidth="1"/>
    <col min="2" max="4" width="11" bestFit="1" customWidth="1"/>
  </cols>
  <sheetData>
    <row r="1" spans="1:13" s="2" customFormat="1" x14ac:dyDescent="0.25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 x14ac:dyDescent="0.25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x14ac:dyDescent="0.25">
      <c r="A4" t="s">
        <v>78</v>
      </c>
      <c r="B4" s="10">
        <v>109</v>
      </c>
      <c r="C4" s="10">
        <v>127</v>
      </c>
      <c r="D4" s="10">
        <v>153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79</v>
      </c>
      <c r="B5" s="10">
        <v>107</v>
      </c>
      <c r="C5" s="10">
        <v>100</v>
      </c>
      <c r="D5" s="10">
        <v>54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t="s">
        <v>80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76</v>
      </c>
      <c r="B7" s="10">
        <v>0</v>
      </c>
      <c r="C7" s="10">
        <v>8</v>
      </c>
      <c r="D7" s="10">
        <v>70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t="s">
        <v>69</v>
      </c>
      <c r="B8" s="10">
        <v>2</v>
      </c>
      <c r="C8" s="10">
        <v>0</v>
      </c>
      <c r="D8" s="10">
        <v>29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t="s">
        <v>81</v>
      </c>
      <c r="B9" s="10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t="s">
        <v>82</v>
      </c>
      <c r="B10" s="10"/>
      <c r="C10" s="10">
        <v>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B18" s="11">
        <f t="shared" ref="B18:M18" si="0">SUM(B4:B17)</f>
        <v>226</v>
      </c>
      <c r="C18" s="11">
        <f t="shared" si="0"/>
        <v>244</v>
      </c>
      <c r="D18" s="11">
        <f t="shared" si="0"/>
        <v>306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 x14ac:dyDescent="0.25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 x14ac:dyDescent="0.25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t="s">
        <v>78</v>
      </c>
      <c r="B22" s="12">
        <f t="shared" ref="B22:M35" si="1">SUM(B4-B40)</f>
        <v>-83</v>
      </c>
      <c r="C22" s="12">
        <f t="shared" si="1"/>
        <v>-65</v>
      </c>
      <c r="D22" s="12">
        <f t="shared" si="1"/>
        <v>-63</v>
      </c>
      <c r="E22" s="12">
        <f t="shared" si="1"/>
        <v>-200</v>
      </c>
      <c r="F22" s="12">
        <f t="shared" si="1"/>
        <v>-200</v>
      </c>
      <c r="G22" s="12">
        <f t="shared" si="1"/>
        <v>-180</v>
      </c>
      <c r="H22" s="12">
        <f t="shared" si="1"/>
        <v>-80</v>
      </c>
      <c r="I22" s="12">
        <f t="shared" si="1"/>
        <v>-80</v>
      </c>
      <c r="J22" s="12">
        <f t="shared" si="1"/>
        <v>-200</v>
      </c>
      <c r="K22" s="12">
        <f t="shared" si="1"/>
        <v>-216</v>
      </c>
      <c r="L22" s="12">
        <f t="shared" si="1"/>
        <v>-216</v>
      </c>
      <c r="M22" s="12">
        <f t="shared" si="1"/>
        <v>-180</v>
      </c>
    </row>
    <row r="23" spans="1:13" x14ac:dyDescent="0.25">
      <c r="A23" t="s">
        <v>79</v>
      </c>
      <c r="B23" s="12">
        <f t="shared" si="1"/>
        <v>-53</v>
      </c>
      <c r="C23" s="12">
        <f t="shared" si="1"/>
        <v>-90</v>
      </c>
      <c r="D23" s="12">
        <f t="shared" si="1"/>
        <v>-156</v>
      </c>
      <c r="E23" s="12">
        <f t="shared" si="1"/>
        <v>-220</v>
      </c>
      <c r="F23" s="12">
        <f t="shared" si="1"/>
        <v>-220</v>
      </c>
      <c r="G23" s="12">
        <f t="shared" si="1"/>
        <v>-200</v>
      </c>
      <c r="H23" s="12">
        <f t="shared" si="1"/>
        <v>-100</v>
      </c>
      <c r="I23" s="12">
        <f t="shared" si="1"/>
        <v>-140</v>
      </c>
      <c r="J23" s="12">
        <f t="shared" si="1"/>
        <v>-240</v>
      </c>
      <c r="K23" s="12">
        <f t="shared" si="1"/>
        <v>-240</v>
      </c>
      <c r="L23" s="12">
        <f t="shared" si="1"/>
        <v>-240</v>
      </c>
      <c r="M23" s="12">
        <f t="shared" si="1"/>
        <v>-180</v>
      </c>
    </row>
    <row r="24" spans="1:13" x14ac:dyDescent="0.25">
      <c r="A24" t="s">
        <v>80</v>
      </c>
      <c r="B24" s="12">
        <f t="shared" si="1"/>
        <v>-100</v>
      </c>
      <c r="C24" s="12">
        <f t="shared" si="1"/>
        <v>-100</v>
      </c>
      <c r="D24" s="12">
        <f t="shared" si="1"/>
        <v>-100</v>
      </c>
      <c r="E24" s="12">
        <f t="shared" si="1"/>
        <v>-100</v>
      </c>
      <c r="F24" s="12">
        <f t="shared" si="1"/>
        <v>-100</v>
      </c>
      <c r="G24" s="12">
        <f t="shared" si="1"/>
        <v>-100</v>
      </c>
      <c r="H24" s="12">
        <f t="shared" si="1"/>
        <v>-45</v>
      </c>
      <c r="I24" s="12">
        <f t="shared" si="1"/>
        <v>-45</v>
      </c>
      <c r="J24" s="12">
        <f t="shared" si="1"/>
        <v>-100</v>
      </c>
      <c r="K24" s="12">
        <f t="shared" si="1"/>
        <v>-100</v>
      </c>
      <c r="L24" s="12">
        <f t="shared" si="1"/>
        <v>-100</v>
      </c>
      <c r="M24" s="12">
        <f t="shared" si="1"/>
        <v>-80</v>
      </c>
    </row>
    <row r="25" spans="1:13" x14ac:dyDescent="0.25">
      <c r="B25" s="12">
        <f t="shared" si="1"/>
        <v>0</v>
      </c>
      <c r="C25" s="12">
        <f t="shared" si="1"/>
        <v>8</v>
      </c>
      <c r="D25" s="12">
        <f t="shared" si="1"/>
        <v>70</v>
      </c>
      <c r="E25" s="12">
        <f t="shared" si="1"/>
        <v>0</v>
      </c>
      <c r="F25" s="12">
        <f t="shared" si="1"/>
        <v>0</v>
      </c>
      <c r="G25" s="12">
        <f t="shared" si="1"/>
        <v>0</v>
      </c>
      <c r="H25" s="12">
        <f t="shared" si="1"/>
        <v>0</v>
      </c>
      <c r="I25" s="12">
        <f t="shared" si="1"/>
        <v>0</v>
      </c>
      <c r="J25" s="12">
        <f t="shared" si="1"/>
        <v>0</v>
      </c>
      <c r="K25" s="12">
        <f t="shared" si="1"/>
        <v>0</v>
      </c>
      <c r="L25" s="12">
        <f t="shared" si="1"/>
        <v>0</v>
      </c>
      <c r="M25" s="12">
        <f t="shared" si="1"/>
        <v>0</v>
      </c>
    </row>
    <row r="26" spans="1:13" x14ac:dyDescent="0.25">
      <c r="B26" s="12">
        <f t="shared" si="1"/>
        <v>2</v>
      </c>
      <c r="C26" s="12">
        <f t="shared" si="1"/>
        <v>0</v>
      </c>
      <c r="D26" s="12">
        <f t="shared" si="1"/>
        <v>29</v>
      </c>
      <c r="E26" s="12">
        <f t="shared" si="1"/>
        <v>0</v>
      </c>
      <c r="F26" s="12">
        <f t="shared" si="1"/>
        <v>0</v>
      </c>
      <c r="G26" s="12">
        <f t="shared" si="1"/>
        <v>0</v>
      </c>
      <c r="H26" s="12">
        <f t="shared" si="1"/>
        <v>0</v>
      </c>
      <c r="I26" s="12">
        <f t="shared" si="1"/>
        <v>0</v>
      </c>
      <c r="J26" s="12">
        <f t="shared" si="1"/>
        <v>0</v>
      </c>
      <c r="K26" s="12">
        <f t="shared" si="1"/>
        <v>0</v>
      </c>
      <c r="L26" s="12">
        <f t="shared" si="1"/>
        <v>0</v>
      </c>
      <c r="M26" s="12">
        <f t="shared" si="1"/>
        <v>0</v>
      </c>
    </row>
    <row r="27" spans="1:13" x14ac:dyDescent="0.25">
      <c r="B27" s="12">
        <f t="shared" si="1"/>
        <v>8</v>
      </c>
      <c r="C27" s="12">
        <f t="shared" si="1"/>
        <v>0</v>
      </c>
      <c r="D27" s="12">
        <f t="shared" si="1"/>
        <v>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3" x14ac:dyDescent="0.25">
      <c r="B28" s="12">
        <f t="shared" si="1"/>
        <v>0</v>
      </c>
      <c r="C28" s="12">
        <f t="shared" si="1"/>
        <v>9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 x14ac:dyDescent="0.25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 x14ac:dyDescent="0.25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 x14ac:dyDescent="0.25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 x14ac:dyDescent="0.25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 x14ac:dyDescent="0.25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 x14ac:dyDescent="0.25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.75" thickBot="1" x14ac:dyDescent="0.3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.75" thickBot="1" x14ac:dyDescent="0.3">
      <c r="B36" s="11">
        <f t="shared" ref="B36:M36" si="2">SUM(B22:B35)</f>
        <v>-226</v>
      </c>
      <c r="C36" s="11">
        <f t="shared" si="2"/>
        <v>-238</v>
      </c>
      <c r="D36" s="11">
        <f t="shared" si="2"/>
        <v>-220</v>
      </c>
      <c r="E36" s="11">
        <f t="shared" si="2"/>
        <v>-520</v>
      </c>
      <c r="F36" s="11">
        <f t="shared" si="2"/>
        <v>-520</v>
      </c>
      <c r="G36" s="11">
        <f t="shared" si="2"/>
        <v>-480</v>
      </c>
      <c r="H36" s="11">
        <f t="shared" si="2"/>
        <v>-225</v>
      </c>
      <c r="I36" s="11">
        <f t="shared" si="2"/>
        <v>-265</v>
      </c>
      <c r="J36" s="11">
        <f t="shared" si="2"/>
        <v>-540</v>
      </c>
      <c r="K36" s="11">
        <f t="shared" si="2"/>
        <v>-556</v>
      </c>
      <c r="L36" s="11">
        <f t="shared" si="2"/>
        <v>-556</v>
      </c>
      <c r="M36" s="11">
        <f t="shared" si="2"/>
        <v>-440</v>
      </c>
    </row>
    <row r="37" spans="1:13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 x14ac:dyDescent="0.25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 x14ac:dyDescent="0.25">
      <c r="A39" s="1" t="s">
        <v>2</v>
      </c>
      <c r="B39" s="1">
        <f>SUM(B40:B48)</f>
        <v>452</v>
      </c>
      <c r="C39" s="1">
        <f t="shared" ref="C39:M39" si="3">SUM(C40:C48)</f>
        <v>482</v>
      </c>
      <c r="D39" s="1">
        <f t="shared" si="3"/>
        <v>526</v>
      </c>
      <c r="E39" s="1">
        <f t="shared" si="3"/>
        <v>520</v>
      </c>
      <c r="F39" s="1">
        <f t="shared" si="3"/>
        <v>520</v>
      </c>
      <c r="G39" s="1">
        <f t="shared" si="3"/>
        <v>480</v>
      </c>
      <c r="H39" s="1">
        <f t="shared" si="3"/>
        <v>225</v>
      </c>
      <c r="I39" s="1">
        <f t="shared" si="3"/>
        <v>265</v>
      </c>
      <c r="J39" s="1">
        <f t="shared" si="3"/>
        <v>540</v>
      </c>
      <c r="K39" s="1">
        <f t="shared" si="3"/>
        <v>556</v>
      </c>
      <c r="L39" s="1">
        <f t="shared" si="3"/>
        <v>556</v>
      </c>
      <c r="M39" s="1">
        <f t="shared" si="3"/>
        <v>440</v>
      </c>
    </row>
    <row r="40" spans="1:13" x14ac:dyDescent="0.25">
      <c r="A40" s="4" t="s">
        <v>78</v>
      </c>
      <c r="B40" s="4">
        <v>192</v>
      </c>
      <c r="C40" s="4">
        <v>192</v>
      </c>
      <c r="D40" s="4">
        <v>216</v>
      </c>
      <c r="E40" s="4">
        <v>200</v>
      </c>
      <c r="F40" s="4">
        <v>200</v>
      </c>
      <c r="G40" s="4">
        <v>180</v>
      </c>
      <c r="H40" s="4">
        <v>80</v>
      </c>
      <c r="I40" s="4">
        <v>80</v>
      </c>
      <c r="J40" s="4">
        <v>200</v>
      </c>
      <c r="K40" s="4">
        <v>216</v>
      </c>
      <c r="L40" s="4">
        <v>216</v>
      </c>
      <c r="M40" s="4">
        <v>180</v>
      </c>
    </row>
    <row r="41" spans="1:13" x14ac:dyDescent="0.25">
      <c r="A41" s="4" t="s">
        <v>79</v>
      </c>
      <c r="B41" s="4">
        <v>160</v>
      </c>
      <c r="C41" s="4">
        <v>190</v>
      </c>
      <c r="D41" s="4">
        <v>210</v>
      </c>
      <c r="E41" s="4">
        <v>220</v>
      </c>
      <c r="F41" s="4">
        <v>220</v>
      </c>
      <c r="G41" s="4">
        <v>200</v>
      </c>
      <c r="H41" s="4">
        <v>100</v>
      </c>
      <c r="I41" s="4">
        <v>140</v>
      </c>
      <c r="J41" s="4">
        <v>240</v>
      </c>
      <c r="K41" s="4">
        <v>240</v>
      </c>
      <c r="L41" s="4">
        <v>240</v>
      </c>
      <c r="M41" s="4">
        <v>180</v>
      </c>
    </row>
    <row r="42" spans="1:13" x14ac:dyDescent="0.25">
      <c r="A42" s="4" t="s">
        <v>80</v>
      </c>
      <c r="B42" s="4">
        <v>100</v>
      </c>
      <c r="C42" s="4">
        <v>100</v>
      </c>
      <c r="D42" s="4">
        <v>100</v>
      </c>
      <c r="E42" s="4">
        <v>100</v>
      </c>
      <c r="F42" s="4">
        <v>100</v>
      </c>
      <c r="G42" s="4">
        <v>100</v>
      </c>
      <c r="H42" s="4">
        <v>45</v>
      </c>
      <c r="I42" s="4">
        <v>45</v>
      </c>
      <c r="J42" s="4">
        <v>100</v>
      </c>
      <c r="K42" s="4">
        <v>100</v>
      </c>
      <c r="L42" s="4">
        <v>100</v>
      </c>
      <c r="M42" s="4">
        <v>80</v>
      </c>
    </row>
    <row r="43" spans="1:1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Enheterna AO Stor-GBG</vt:lpstr>
      <vt:lpstr>Frölunda Torg</vt:lpstr>
      <vt:lpstr>Grimmered</vt:lpstr>
      <vt:lpstr>Majorna</vt:lpstr>
      <vt:lpstr>Pedagogen Park</vt:lpstr>
      <vt:lpstr>Åby</vt:lpstr>
      <vt:lpstr>Olskroken</vt:lpstr>
      <vt:lpstr>Avenyn</vt:lpstr>
      <vt:lpstr>Karlastaden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 Rieck</dc:creator>
  <cp:lastModifiedBy>Ezzat Rajab</cp:lastModifiedBy>
  <dcterms:created xsi:type="dcterms:W3CDTF">2026-02-16T09:36:14Z</dcterms:created>
  <dcterms:modified xsi:type="dcterms:W3CDTF">2026-04-02T12:20:57Z</dcterms:modified>
</cp:coreProperties>
</file>